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codeName="ThisWorkbook"/>
  <mc:AlternateContent xmlns:mc="http://schemas.openxmlformats.org/markup-compatibility/2006">
    <mc:Choice Requires="x15">
      <x15ac:absPath xmlns:x15ac="http://schemas.microsoft.com/office/spreadsheetml/2010/11/ac" url="https://telecomteam.sharepoint.com/2025 Site Files/LUMOS/_CHESTERFIELD VA/Project Packages/CHST POLYGON 2/CHST 02-01/"/>
    </mc:Choice>
  </mc:AlternateContent>
  <xr:revisionPtr revIDLastSave="118" documentId="8_{3494E92C-869C-4FB0-AABC-30C987657343}" xr6:coauthVersionLast="47" xr6:coauthVersionMax="47" xr10:uidLastSave="{70D5F765-7D96-4BEE-A71B-5251F04964F9}"/>
  <bookViews>
    <workbookView xWindow="28680" yWindow="-120" windowWidth="29040" windowHeight="15720" tabRatio="848" xr2:uid="{00000000-000D-0000-FFFF-FFFF00000000}"/>
  </bookViews>
  <sheets>
    <sheet name="COVER SHEET" sheetId="1" r:id="rId1"/>
    <sheet name="MAP" sheetId="4" r:id="rId2"/>
    <sheet name="MATERIAL" sheetId="2" r:id="rId3"/>
    <sheet name="LABOR" sheetId="5" r:id="rId4"/>
    <sheet name="TOTALS" sheetId="19" r:id="rId5"/>
    <sheet name="CABLE SHEET" sheetId="17" r:id="rId6"/>
    <sheet name="LABOR SPAN SHEET" sheetId="13" r:id="rId7"/>
    <sheet name="House Count" sheetId="15" r:id="rId8"/>
    <sheet name="MEW" sheetId="20" r:id="rId9"/>
    <sheet name="CABLE TO 1X8 SPLICING" sheetId="21" r:id="rId10"/>
    <sheet name="SPLICING 1X8 TO 1X4 SPLITS" sheetId="22" r:id="rId11"/>
    <sheet name="FINAL ADDRESS LIST" sheetId="18" r:id="rId12"/>
    <sheet name="PERMITS" sheetId="6" r:id="rId13"/>
    <sheet name="Ring splicing" sheetId="23" r:id="rId14"/>
  </sheets>
  <definedNames>
    <definedName name="_xlnm._FilterDatabase" localSheetId="11" hidden="1">'FINAL ADDRESS LIST'!$A$1:$H$1500</definedName>
    <definedName name="_xlnm._FilterDatabase" localSheetId="7" hidden="1">'House Count'!$A$1:$I$1</definedName>
    <definedName name="_xlnm._FilterDatabase" localSheetId="3" hidden="1">LABOR!$B$5:$B$490</definedName>
    <definedName name="_xlnm._FilterDatabase" localSheetId="2" hidden="1">MATERIAL!$B$4:$B$342</definedName>
    <definedName name="PopCache_PA_FP_WEBADI_UPLOAD_INF_DELETE_FLAG" localSheetId="9" hidden="1">#REF!</definedName>
    <definedName name="PopCache_PA_FP_WEBADI_UPLOAD_INF_DELETE_FLAG" localSheetId="13" hidden="1">#REF!</definedName>
    <definedName name="PopCache_PA_FP_WEBADI_UPLOAD_INF_DELETE_FLAG" localSheetId="10" hidden="1">#REF!</definedName>
    <definedName name="PopCache_PA_FP_WEBADI_UPLOAD_INF_DELETE_FLAG" hidden="1">#REF!</definedName>
    <definedName name="Segment" localSheetId="9">#REF!</definedName>
    <definedName name="Segment" localSheetId="13">#REF!</definedName>
    <definedName name="Segment" localSheetId="10">#REF!</definedName>
    <definedName name="Segment">#REF!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8" l="1"/>
  <c r="H264" i="2"/>
  <c r="B264" i="2"/>
  <c r="K2" i="15"/>
  <c r="J2" i="15"/>
  <c r="H312" i="2"/>
  <c r="H313" i="2"/>
  <c r="H253" i="2"/>
  <c r="H255" i="2"/>
  <c r="H256" i="2"/>
  <c r="H265" i="2"/>
  <c r="H266" i="2"/>
  <c r="H267" i="2"/>
  <c r="H2" i="18"/>
  <c r="G2" i="18"/>
  <c r="F2" i="18" s="1"/>
  <c r="E2" i="18"/>
  <c r="D2" i="18"/>
  <c r="C2" i="18"/>
  <c r="B2" i="18"/>
  <c r="H326" i="2"/>
  <c r="H327" i="2"/>
  <c r="H328" i="2"/>
  <c r="H329" i="2"/>
  <c r="H330" i="2"/>
  <c r="H331" i="2"/>
  <c r="H332" i="2"/>
  <c r="H333" i="2"/>
  <c r="H325" i="2"/>
  <c r="H274" i="2"/>
  <c r="H275" i="2"/>
  <c r="H276" i="2"/>
  <c r="H277" i="2"/>
  <c r="H278" i="2"/>
  <c r="H279" i="2"/>
  <c r="H280" i="2"/>
  <c r="H281" i="2"/>
  <c r="H282" i="2"/>
  <c r="H283" i="2"/>
  <c r="H284" i="2"/>
  <c r="H285" i="2"/>
  <c r="H286" i="2"/>
  <c r="H287" i="2"/>
  <c r="H288" i="2"/>
  <c r="H244" i="2"/>
  <c r="H245" i="2"/>
  <c r="H246" i="2"/>
  <c r="H248" i="2"/>
  <c r="H250" i="2"/>
  <c r="H251" i="2"/>
  <c r="H252" i="2"/>
  <c r="H229" i="2"/>
  <c r="H230" i="2"/>
  <c r="H231" i="2"/>
  <c r="H232" i="2"/>
  <c r="H233" i="2"/>
  <c r="H234" i="2"/>
  <c r="H235" i="2"/>
  <c r="H236" i="2"/>
  <c r="H237"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176" i="2"/>
  <c r="H179" i="2"/>
  <c r="H161" i="2"/>
  <c r="H162" i="2"/>
  <c r="H163" i="2"/>
  <c r="H164" i="2"/>
  <c r="H165" i="2"/>
  <c r="H166" i="2"/>
  <c r="H167" i="2"/>
  <c r="H168" i="2"/>
  <c r="H169"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08" i="2"/>
  <c r="H111" i="2"/>
  <c r="H88" i="2"/>
  <c r="H89" i="2"/>
  <c r="H90" i="2"/>
  <c r="H91" i="2"/>
  <c r="H92" i="2"/>
  <c r="H93" i="2"/>
  <c r="H94" i="2"/>
  <c r="H95" i="2"/>
  <c r="H96" i="2"/>
  <c r="H97" i="2"/>
  <c r="H98" i="2"/>
  <c r="H99" i="2"/>
  <c r="H100"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35" i="2"/>
  <c r="I397" i="5" l="1"/>
  <c r="K400" i="5"/>
  <c r="L400" i="5" s="1"/>
  <c r="M400" i="5" s="1"/>
  <c r="N400" i="5" s="1"/>
  <c r="O400" i="5" s="1"/>
  <c r="P400" i="5" s="1"/>
  <c r="Q400" i="5" s="1"/>
  <c r="R400" i="5" s="1"/>
  <c r="S400" i="5" s="1"/>
  <c r="T400" i="5" s="1"/>
  <c r="U400" i="5" s="1"/>
  <c r="V400" i="5" s="1"/>
  <c r="W400" i="5" s="1"/>
  <c r="X400" i="5" s="1"/>
  <c r="Y400" i="5" s="1"/>
  <c r="Z400" i="5" s="1"/>
  <c r="AA400" i="5" s="1"/>
  <c r="AB400" i="5" s="1"/>
  <c r="AC400" i="5" s="1"/>
  <c r="AD400" i="5" s="1"/>
  <c r="AE400" i="5" s="1"/>
  <c r="AF400" i="5" s="1"/>
  <c r="AG400" i="5" s="1"/>
  <c r="AH400" i="5" s="1"/>
  <c r="AI400" i="5" s="1"/>
  <c r="AJ400" i="5" s="1"/>
  <c r="AK400" i="5" s="1"/>
  <c r="AL400" i="5" s="1"/>
  <c r="AM400" i="5" s="1"/>
  <c r="AN400" i="5" s="1"/>
  <c r="AO400" i="5" s="1"/>
  <c r="AP400" i="5" s="1"/>
  <c r="AQ400" i="5" s="1"/>
  <c r="AR400" i="5" s="1"/>
  <c r="F72" i="18" l="1"/>
  <c r="F73" i="18"/>
  <c r="F74" i="18"/>
  <c r="F75" i="18"/>
  <c r="F76" i="18"/>
  <c r="F77" i="18"/>
  <c r="F78" i="18"/>
  <c r="F79" i="18"/>
  <c r="F80" i="18"/>
  <c r="F81" i="18"/>
  <c r="F82" i="18"/>
  <c r="F83" i="18"/>
  <c r="F84" i="18"/>
  <c r="F85" i="18"/>
  <c r="F86" i="18"/>
  <c r="F87" i="18"/>
  <c r="F88" i="18"/>
  <c r="F89" i="18"/>
  <c r="F90" i="18"/>
  <c r="F91" i="18"/>
  <c r="F92" i="18"/>
  <c r="F93" i="18"/>
  <c r="F94" i="18"/>
  <c r="F95" i="18"/>
  <c r="F96" i="18"/>
  <c r="F97" i="18"/>
  <c r="F98" i="18"/>
  <c r="F99" i="18"/>
  <c r="F100" i="18"/>
  <c r="F101" i="18"/>
  <c r="F102" i="18"/>
  <c r="F103" i="18"/>
  <c r="F104" i="18"/>
  <c r="F105" i="18"/>
  <c r="F106" i="18"/>
  <c r="F107" i="18"/>
  <c r="F108" i="18"/>
  <c r="F109" i="18"/>
  <c r="F110" i="18"/>
  <c r="F111" i="18"/>
  <c r="F112" i="18"/>
  <c r="F113" i="18"/>
  <c r="F114" i="18"/>
  <c r="F115" i="18"/>
  <c r="F116" i="18"/>
  <c r="F117" i="18"/>
  <c r="F118" i="18"/>
  <c r="F119" i="18"/>
  <c r="F120" i="18"/>
  <c r="F121" i="18"/>
  <c r="F122" i="18"/>
  <c r="F123" i="18"/>
  <c r="F124" i="18"/>
  <c r="F125" i="18"/>
  <c r="F126" i="18"/>
  <c r="F127" i="18"/>
  <c r="F128" i="18"/>
  <c r="F129" i="18"/>
  <c r="F130" i="18"/>
  <c r="F131" i="18"/>
  <c r="F132" i="18"/>
  <c r="F133" i="18"/>
  <c r="F134" i="18"/>
  <c r="F135" i="18"/>
  <c r="F136" i="18"/>
  <c r="F137" i="18"/>
  <c r="F138" i="18"/>
  <c r="F139" i="18"/>
  <c r="F140" i="18"/>
  <c r="F141" i="18"/>
  <c r="F142" i="18"/>
  <c r="F143" i="18"/>
  <c r="F144" i="18"/>
  <c r="F145" i="18"/>
  <c r="F146" i="18"/>
  <c r="F147" i="18"/>
  <c r="F148" i="18"/>
  <c r="F149" i="18"/>
  <c r="F150" i="18"/>
  <c r="F151" i="18"/>
  <c r="F152" i="18"/>
  <c r="F153" i="18"/>
  <c r="F154" i="18"/>
  <c r="F155" i="18"/>
  <c r="F156" i="18"/>
  <c r="F157" i="18"/>
  <c r="F158" i="18"/>
  <c r="F159" i="18"/>
  <c r="F160" i="18"/>
  <c r="F161" i="18"/>
  <c r="F162" i="18"/>
  <c r="F163" i="18"/>
  <c r="F164" i="18"/>
  <c r="F165" i="18"/>
  <c r="F166" i="18"/>
  <c r="F167" i="18"/>
  <c r="F168" i="18"/>
  <c r="F169" i="18"/>
  <c r="F170" i="18"/>
  <c r="F171" i="18"/>
  <c r="F172" i="18"/>
  <c r="F173" i="18"/>
  <c r="F174" i="18"/>
  <c r="F175" i="18"/>
  <c r="F176" i="18"/>
  <c r="F177" i="18"/>
  <c r="F178" i="18"/>
  <c r="F179" i="18"/>
  <c r="F180" i="18"/>
  <c r="F181" i="18"/>
  <c r="F182" i="18"/>
  <c r="F183" i="18"/>
  <c r="F184" i="18"/>
  <c r="F185" i="18"/>
  <c r="F186" i="18"/>
  <c r="F187" i="18"/>
  <c r="F188" i="18"/>
  <c r="F189" i="18"/>
  <c r="F190" i="18"/>
  <c r="F191" i="18"/>
  <c r="F192" i="18"/>
  <c r="F193" i="18"/>
  <c r="F194" i="18"/>
  <c r="F195" i="18"/>
  <c r="F196" i="18"/>
  <c r="F197" i="18"/>
  <c r="F198" i="18"/>
  <c r="F199" i="18"/>
  <c r="F200" i="18"/>
  <c r="F201" i="18"/>
  <c r="F202" i="18"/>
  <c r="F203" i="18"/>
  <c r="F204" i="18"/>
  <c r="F205" i="18"/>
  <c r="F206" i="18"/>
  <c r="F207" i="18"/>
  <c r="F208" i="18"/>
  <c r="F209" i="18"/>
  <c r="F210" i="18"/>
  <c r="F211" i="18"/>
  <c r="F212" i="18"/>
  <c r="F213" i="18"/>
  <c r="F214" i="18"/>
  <c r="F215" i="18"/>
  <c r="F216" i="18"/>
  <c r="F217" i="18"/>
  <c r="F218" i="18"/>
  <c r="F219" i="18"/>
  <c r="F220" i="18"/>
  <c r="F221" i="18"/>
  <c r="F222" i="18"/>
  <c r="F223" i="18"/>
  <c r="F224" i="18"/>
  <c r="F225" i="18"/>
  <c r="F226" i="18"/>
  <c r="F227" i="18"/>
  <c r="F228" i="18"/>
  <c r="F229" i="18"/>
  <c r="F230" i="18"/>
  <c r="F231" i="18"/>
  <c r="F232" i="18"/>
  <c r="F233" i="18"/>
  <c r="F234" i="18"/>
  <c r="F235" i="18"/>
  <c r="F236" i="18"/>
  <c r="F237" i="18"/>
  <c r="F238" i="18"/>
  <c r="F239" i="18"/>
  <c r="F240" i="18"/>
  <c r="F241" i="18"/>
  <c r="F242" i="18"/>
  <c r="F243" i="18"/>
  <c r="F244" i="18"/>
  <c r="F245" i="18"/>
  <c r="F246" i="18"/>
  <c r="F247" i="18"/>
  <c r="F248" i="18"/>
  <c r="F249" i="18"/>
  <c r="F250" i="18"/>
  <c r="F251" i="18"/>
  <c r="F252" i="18"/>
  <c r="F253" i="18"/>
  <c r="F254" i="18"/>
  <c r="F255" i="18"/>
  <c r="F256" i="18"/>
  <c r="F257" i="18"/>
  <c r="F258" i="18"/>
  <c r="F259" i="18"/>
  <c r="F260" i="18"/>
  <c r="F261" i="18"/>
  <c r="F262" i="18"/>
  <c r="F263" i="18"/>
  <c r="F264" i="18"/>
  <c r="F265" i="18"/>
  <c r="F266" i="18"/>
  <c r="F267" i="18"/>
  <c r="F268" i="18"/>
  <c r="F269" i="18"/>
  <c r="F270" i="18"/>
  <c r="F271" i="18"/>
  <c r="F272" i="18"/>
  <c r="F273" i="18"/>
  <c r="F274" i="18"/>
  <c r="F275" i="18"/>
  <c r="F276" i="18"/>
  <c r="F277" i="18"/>
  <c r="F278" i="18"/>
  <c r="F279" i="18"/>
  <c r="F280" i="18"/>
  <c r="F281" i="18"/>
  <c r="F282" i="18"/>
  <c r="F283" i="18"/>
  <c r="F284" i="18"/>
  <c r="F285" i="18"/>
  <c r="F286" i="18"/>
  <c r="F287" i="18"/>
  <c r="F288" i="18"/>
  <c r="F289" i="18"/>
  <c r="F290" i="18"/>
  <c r="F291" i="18"/>
  <c r="F292" i="18"/>
  <c r="F293" i="18"/>
  <c r="F294" i="18"/>
  <c r="F295" i="18"/>
  <c r="F296" i="18"/>
  <c r="F297" i="18"/>
  <c r="F298" i="18"/>
  <c r="F299" i="18"/>
  <c r="F300" i="18"/>
  <c r="F301" i="18"/>
  <c r="F302" i="18"/>
  <c r="F303" i="18"/>
  <c r="F304" i="18"/>
  <c r="F305" i="18"/>
  <c r="F306" i="18"/>
  <c r="F307" i="18"/>
  <c r="F308" i="18"/>
  <c r="F309" i="18"/>
  <c r="F310" i="18"/>
  <c r="F311" i="18"/>
  <c r="F312" i="18"/>
  <c r="F313" i="18"/>
  <c r="F314" i="18"/>
  <c r="F315" i="18"/>
  <c r="F316" i="18"/>
  <c r="F317" i="18"/>
  <c r="F318" i="18"/>
  <c r="F319" i="18"/>
  <c r="F320" i="18"/>
  <c r="F321" i="18"/>
  <c r="F322" i="18"/>
  <c r="F323" i="18"/>
  <c r="F324" i="18"/>
  <c r="F325" i="18"/>
  <c r="F326" i="18"/>
  <c r="F327" i="18"/>
  <c r="F328" i="18"/>
  <c r="F329" i="18"/>
  <c r="F330" i="18"/>
  <c r="F331" i="18"/>
  <c r="F332" i="18"/>
  <c r="F333" i="18"/>
  <c r="F334" i="18"/>
  <c r="F335" i="18"/>
  <c r="F336" i="18"/>
  <c r="F337" i="18"/>
  <c r="F338" i="18"/>
  <c r="F339" i="18"/>
  <c r="F340" i="18"/>
  <c r="F341" i="18"/>
  <c r="F342" i="18"/>
  <c r="F343" i="18"/>
  <c r="F344" i="18"/>
  <c r="F345" i="18"/>
  <c r="F346" i="18"/>
  <c r="F347" i="18"/>
  <c r="F348" i="18"/>
  <c r="F349" i="18"/>
  <c r="F350" i="18"/>
  <c r="F351" i="18"/>
  <c r="F352" i="18"/>
  <c r="F353" i="18"/>
  <c r="F354" i="18"/>
  <c r="F355" i="18"/>
  <c r="F356" i="18"/>
  <c r="F357" i="18"/>
  <c r="F358" i="18"/>
  <c r="F359" i="18"/>
  <c r="F360" i="18"/>
  <c r="F361" i="18"/>
  <c r="F362" i="18"/>
  <c r="F363" i="18"/>
  <c r="F364" i="18"/>
  <c r="F365" i="18"/>
  <c r="F366" i="18"/>
  <c r="F367" i="18"/>
  <c r="F368" i="18"/>
  <c r="F369" i="18"/>
  <c r="F370" i="18"/>
  <c r="F371" i="18"/>
  <c r="F372" i="18"/>
  <c r="F373" i="18"/>
  <c r="F374" i="18"/>
  <c r="F375" i="18"/>
  <c r="F376" i="18"/>
  <c r="F377" i="18"/>
  <c r="F378" i="18"/>
  <c r="F379" i="18"/>
  <c r="F380" i="18"/>
  <c r="F381" i="18"/>
  <c r="F382" i="18"/>
  <c r="F383" i="18"/>
  <c r="F384" i="18"/>
  <c r="F385" i="18"/>
  <c r="F386" i="18"/>
  <c r="F387" i="18"/>
  <c r="F388" i="18"/>
  <c r="F389" i="18"/>
  <c r="F390" i="18"/>
  <c r="F391" i="18"/>
  <c r="F392" i="18"/>
  <c r="F393" i="18"/>
  <c r="F394" i="18"/>
  <c r="F395" i="18"/>
  <c r="F396" i="18"/>
  <c r="F397" i="18"/>
  <c r="F398" i="18"/>
  <c r="F399" i="18"/>
  <c r="F400" i="18"/>
  <c r="F401" i="18"/>
  <c r="F402" i="18"/>
  <c r="F403" i="18"/>
  <c r="F404" i="18"/>
  <c r="F405" i="18"/>
  <c r="F406" i="18"/>
  <c r="F407" i="18"/>
  <c r="F408" i="18"/>
  <c r="F409" i="18"/>
  <c r="F410" i="18"/>
  <c r="F411" i="18"/>
  <c r="F412" i="18"/>
  <c r="F413" i="18"/>
  <c r="F414" i="18"/>
  <c r="F415" i="18"/>
  <c r="F416" i="18"/>
  <c r="F417" i="18"/>
  <c r="F418" i="18"/>
  <c r="F419" i="18"/>
  <c r="F420" i="18"/>
  <c r="F421" i="18"/>
  <c r="F422" i="18"/>
  <c r="F423" i="18"/>
  <c r="F424" i="18"/>
  <c r="F425" i="18"/>
  <c r="F426" i="18"/>
  <c r="F427" i="18"/>
  <c r="F428" i="18"/>
  <c r="F429" i="18"/>
  <c r="F430" i="18"/>
  <c r="F431" i="18"/>
  <c r="F432" i="18"/>
  <c r="F433" i="18"/>
  <c r="F434" i="18"/>
  <c r="F435" i="18"/>
  <c r="F436" i="18"/>
  <c r="F437" i="18"/>
  <c r="F438" i="18"/>
  <c r="F439" i="18"/>
  <c r="F440" i="18"/>
  <c r="F441" i="18"/>
  <c r="F442" i="18"/>
  <c r="F443" i="18"/>
  <c r="F444" i="18"/>
  <c r="F445" i="18"/>
  <c r="F446" i="18"/>
  <c r="F447" i="18"/>
  <c r="F448" i="18"/>
  <c r="F449" i="18"/>
  <c r="F450" i="18"/>
  <c r="F451" i="18"/>
  <c r="F452" i="18"/>
  <c r="F453" i="18"/>
  <c r="F454" i="18"/>
  <c r="F455" i="18"/>
  <c r="F456" i="18"/>
  <c r="F457" i="18"/>
  <c r="F458" i="18"/>
  <c r="F459" i="18"/>
  <c r="F460" i="18"/>
  <c r="F461" i="18"/>
  <c r="F462" i="18"/>
  <c r="F463" i="18"/>
  <c r="F464" i="18"/>
  <c r="F465" i="18"/>
  <c r="F466" i="18"/>
  <c r="F467" i="18"/>
  <c r="F468" i="18"/>
  <c r="F469" i="18"/>
  <c r="F470" i="18"/>
  <c r="F471" i="18"/>
  <c r="F472" i="18"/>
  <c r="F473" i="18"/>
  <c r="F474" i="18"/>
  <c r="F475" i="18"/>
  <c r="F476" i="18"/>
  <c r="F477" i="18"/>
  <c r="F478" i="18"/>
  <c r="F479" i="18"/>
  <c r="F480" i="18"/>
  <c r="F481" i="18"/>
  <c r="F482" i="18"/>
  <c r="F483" i="18"/>
  <c r="F484" i="18"/>
  <c r="F485" i="18"/>
  <c r="F486" i="18"/>
  <c r="F487" i="18"/>
  <c r="F488" i="18"/>
  <c r="F489" i="18"/>
  <c r="F490" i="18"/>
  <c r="F491" i="18"/>
  <c r="F492" i="18"/>
  <c r="F493" i="18"/>
  <c r="F494" i="18"/>
  <c r="F495" i="18"/>
  <c r="F496" i="18"/>
  <c r="F497" i="18"/>
  <c r="F498" i="18"/>
  <c r="F499" i="18"/>
  <c r="F500" i="18"/>
  <c r="F501" i="18"/>
  <c r="F502" i="18"/>
  <c r="F503" i="18"/>
  <c r="F504" i="18"/>
  <c r="F505" i="18"/>
  <c r="F506" i="18"/>
  <c r="F507" i="18"/>
  <c r="F508" i="18"/>
  <c r="F509" i="18"/>
  <c r="F510" i="18"/>
  <c r="F511" i="18"/>
  <c r="F512" i="18"/>
  <c r="F513" i="18"/>
  <c r="F514" i="18"/>
  <c r="F515" i="18"/>
  <c r="F516" i="18"/>
  <c r="F517" i="18"/>
  <c r="F518" i="18"/>
  <c r="F519" i="18"/>
  <c r="F520" i="18"/>
  <c r="F521" i="18"/>
  <c r="F522" i="18"/>
  <c r="F523" i="18"/>
  <c r="F524" i="18"/>
  <c r="F525" i="18"/>
  <c r="F526" i="18"/>
  <c r="F527" i="18"/>
  <c r="F528" i="18"/>
  <c r="F529" i="18"/>
  <c r="F530" i="18"/>
  <c r="F531" i="18"/>
  <c r="F532" i="18"/>
  <c r="F533" i="18"/>
  <c r="F534" i="18"/>
  <c r="F535" i="18"/>
  <c r="F536" i="18"/>
  <c r="F537" i="18"/>
  <c r="F538" i="18"/>
  <c r="F539" i="18"/>
  <c r="F540" i="18"/>
  <c r="F541" i="18"/>
  <c r="F542" i="18"/>
  <c r="F543" i="18"/>
  <c r="F544" i="18"/>
  <c r="F545" i="18"/>
  <c r="F546" i="18"/>
  <c r="F547" i="18"/>
  <c r="F548" i="18"/>
  <c r="F549" i="18"/>
  <c r="F550" i="18"/>
  <c r="F551" i="18"/>
  <c r="F552" i="18"/>
  <c r="F553" i="18"/>
  <c r="F554" i="18"/>
  <c r="F555" i="18"/>
  <c r="F556" i="18"/>
  <c r="F557" i="18"/>
  <c r="F558" i="18"/>
  <c r="F559" i="18"/>
  <c r="F560" i="18"/>
  <c r="F561" i="18"/>
  <c r="F562" i="18"/>
  <c r="F563" i="18"/>
  <c r="F564" i="18"/>
  <c r="F565" i="18"/>
  <c r="F566" i="18"/>
  <c r="F567" i="18"/>
  <c r="F568" i="18"/>
  <c r="F569" i="18"/>
  <c r="F570" i="18"/>
  <c r="F571" i="18"/>
  <c r="F572" i="18"/>
  <c r="F573" i="18"/>
  <c r="F574" i="18"/>
  <c r="F575" i="18"/>
  <c r="F576" i="18"/>
  <c r="F577" i="18"/>
  <c r="F578" i="18"/>
  <c r="F579" i="18"/>
  <c r="F580" i="18"/>
  <c r="F581" i="18"/>
  <c r="F582" i="18"/>
  <c r="F583" i="18"/>
  <c r="F584" i="18"/>
  <c r="F585" i="18"/>
  <c r="F586" i="18"/>
  <c r="F587" i="18"/>
  <c r="F588" i="18"/>
  <c r="F589" i="18"/>
  <c r="F590" i="18"/>
  <c r="F591" i="18"/>
  <c r="F592" i="18"/>
  <c r="F593" i="18"/>
  <c r="F594" i="18"/>
  <c r="F595" i="18"/>
  <c r="F596" i="18"/>
  <c r="F597" i="18"/>
  <c r="F598" i="18"/>
  <c r="F599" i="18"/>
  <c r="F600" i="18"/>
  <c r="F601" i="18"/>
  <c r="F602" i="18"/>
  <c r="F603" i="18"/>
  <c r="F604" i="18"/>
  <c r="F605" i="18"/>
  <c r="F606" i="18"/>
  <c r="F607" i="18"/>
  <c r="F608" i="18"/>
  <c r="F609" i="18"/>
  <c r="F610" i="18"/>
  <c r="F611" i="18"/>
  <c r="F612" i="18"/>
  <c r="F613" i="18"/>
  <c r="F614" i="18"/>
  <c r="F615" i="18"/>
  <c r="F616" i="18"/>
  <c r="F617" i="18"/>
  <c r="F618" i="18"/>
  <c r="F619" i="18"/>
  <c r="F620" i="18"/>
  <c r="F621" i="18"/>
  <c r="F622" i="18"/>
  <c r="F623" i="18"/>
  <c r="F624" i="18"/>
  <c r="F625" i="18"/>
  <c r="F626" i="18"/>
  <c r="F627" i="18"/>
  <c r="F628" i="18"/>
  <c r="F629" i="18"/>
  <c r="F630" i="18"/>
  <c r="F631" i="18"/>
  <c r="F632" i="18"/>
  <c r="F633" i="18"/>
  <c r="F634" i="18"/>
  <c r="F635" i="18"/>
  <c r="F636" i="18"/>
  <c r="F637" i="18"/>
  <c r="F638" i="18"/>
  <c r="F639" i="18"/>
  <c r="F640" i="18"/>
  <c r="F641" i="18"/>
  <c r="F642" i="18"/>
  <c r="F643" i="18"/>
  <c r="F644" i="18"/>
  <c r="F645" i="18"/>
  <c r="F646" i="18"/>
  <c r="F647" i="18"/>
  <c r="F648" i="18"/>
  <c r="F649" i="18"/>
  <c r="F650" i="18"/>
  <c r="F651" i="18"/>
  <c r="F652" i="18"/>
  <c r="F653" i="18"/>
  <c r="F654" i="18"/>
  <c r="F655" i="18"/>
  <c r="F656" i="18"/>
  <c r="F657" i="18"/>
  <c r="F658" i="18"/>
  <c r="F659" i="18"/>
  <c r="F660" i="18"/>
  <c r="F661" i="18"/>
  <c r="F662" i="18"/>
  <c r="F663" i="18"/>
  <c r="F664" i="18"/>
  <c r="F665" i="18"/>
  <c r="F666" i="18"/>
  <c r="F667" i="18"/>
  <c r="F668" i="18"/>
  <c r="F669" i="18"/>
  <c r="F670" i="18"/>
  <c r="F671" i="18"/>
  <c r="F672" i="18"/>
  <c r="F673" i="18"/>
  <c r="F674" i="18"/>
  <c r="F675" i="18"/>
  <c r="F676" i="18"/>
  <c r="F677" i="18"/>
  <c r="F678" i="18"/>
  <c r="F679" i="18"/>
  <c r="F680" i="18"/>
  <c r="F681" i="18"/>
  <c r="F682" i="18"/>
  <c r="F683" i="18"/>
  <c r="F684" i="18"/>
  <c r="F685" i="18"/>
  <c r="F686" i="18"/>
  <c r="F687" i="18"/>
  <c r="F688" i="18"/>
  <c r="F689" i="18"/>
  <c r="F690" i="18"/>
  <c r="F691" i="18"/>
  <c r="F692" i="18"/>
  <c r="F693" i="18"/>
  <c r="F694" i="18"/>
  <c r="F695" i="18"/>
  <c r="F696" i="18"/>
  <c r="F697" i="18"/>
  <c r="F698" i="18"/>
  <c r="F699" i="18"/>
  <c r="F700" i="18"/>
  <c r="F701" i="18"/>
  <c r="F702" i="18"/>
  <c r="F703" i="18"/>
  <c r="F704" i="18"/>
  <c r="F705" i="18"/>
  <c r="F706" i="18"/>
  <c r="F707" i="18"/>
  <c r="F708" i="18"/>
  <c r="F709" i="18"/>
  <c r="F710" i="18"/>
  <c r="F711" i="18"/>
  <c r="F712" i="18"/>
  <c r="F713" i="18"/>
  <c r="F714" i="18"/>
  <c r="F715" i="18"/>
  <c r="F716" i="18"/>
  <c r="F717" i="18"/>
  <c r="F718" i="18"/>
  <c r="F719" i="18"/>
  <c r="F720" i="18"/>
  <c r="F721" i="18"/>
  <c r="F722" i="18"/>
  <c r="F723" i="18"/>
  <c r="F724" i="18"/>
  <c r="F725" i="18"/>
  <c r="F726" i="18"/>
  <c r="F727" i="18"/>
  <c r="F728" i="18"/>
  <c r="F729" i="18"/>
  <c r="F730" i="18"/>
  <c r="F731" i="18"/>
  <c r="F732" i="18"/>
  <c r="F733" i="18"/>
  <c r="F734" i="18"/>
  <c r="F735" i="18"/>
  <c r="F736" i="18"/>
  <c r="F737" i="18"/>
  <c r="F738" i="18"/>
  <c r="F739" i="18"/>
  <c r="F740" i="18"/>
  <c r="F741" i="18"/>
  <c r="F742" i="18"/>
  <c r="F743" i="18"/>
  <c r="F744" i="18"/>
  <c r="F745" i="18"/>
  <c r="F746" i="18"/>
  <c r="F747" i="18"/>
  <c r="F748" i="18"/>
  <c r="F749" i="18"/>
  <c r="F750" i="18"/>
  <c r="F751" i="18"/>
  <c r="F752" i="18"/>
  <c r="F753" i="18"/>
  <c r="F754" i="18"/>
  <c r="F755" i="18"/>
  <c r="F756" i="18"/>
  <c r="F757" i="18"/>
  <c r="F758" i="18"/>
  <c r="F759" i="18"/>
  <c r="F760" i="18"/>
  <c r="F761" i="18"/>
  <c r="F762" i="18"/>
  <c r="F763" i="18"/>
  <c r="F764" i="18"/>
  <c r="F765" i="18"/>
  <c r="F766" i="18"/>
  <c r="F767" i="18"/>
  <c r="F768" i="18"/>
  <c r="F769" i="18"/>
  <c r="F770" i="18"/>
  <c r="F771" i="18"/>
  <c r="F772" i="18"/>
  <c r="F773" i="18"/>
  <c r="F774" i="18"/>
  <c r="F775" i="18"/>
  <c r="F776" i="18"/>
  <c r="F777" i="18"/>
  <c r="F778" i="18"/>
  <c r="F779" i="18"/>
  <c r="F780" i="18"/>
  <c r="F781" i="18"/>
  <c r="F782" i="18"/>
  <c r="F783" i="18"/>
  <c r="F784" i="18"/>
  <c r="F785" i="18"/>
  <c r="F786" i="18"/>
  <c r="F787" i="18"/>
  <c r="F788" i="18"/>
  <c r="F789" i="18"/>
  <c r="F790" i="18"/>
  <c r="F791" i="18"/>
  <c r="F792" i="18"/>
  <c r="F793" i="18"/>
  <c r="F794" i="18"/>
  <c r="F795" i="18"/>
  <c r="F796" i="18"/>
  <c r="F797" i="18"/>
  <c r="F798" i="18"/>
  <c r="F799" i="18"/>
  <c r="F800" i="18"/>
  <c r="F801" i="18"/>
  <c r="F802" i="18"/>
  <c r="F803" i="18"/>
  <c r="F804" i="18"/>
  <c r="F805" i="18"/>
  <c r="F806" i="18"/>
  <c r="F807" i="18"/>
  <c r="F808" i="18"/>
  <c r="F809" i="18"/>
  <c r="F810" i="18"/>
  <c r="F811" i="18"/>
  <c r="F812" i="18"/>
  <c r="F813" i="18"/>
  <c r="F814" i="18"/>
  <c r="F815" i="18"/>
  <c r="F816" i="18"/>
  <c r="F817" i="18"/>
  <c r="F818" i="18"/>
  <c r="F819" i="18"/>
  <c r="F820" i="18"/>
  <c r="F821" i="18"/>
  <c r="F822" i="18"/>
  <c r="F823" i="18"/>
  <c r="F824" i="18"/>
  <c r="F825" i="18"/>
  <c r="F826" i="18"/>
  <c r="F827" i="18"/>
  <c r="F828" i="18"/>
  <c r="F829" i="18"/>
  <c r="F830" i="18"/>
  <c r="F831" i="18"/>
  <c r="F832" i="18"/>
  <c r="F833" i="18"/>
  <c r="F834" i="18"/>
  <c r="F835" i="18"/>
  <c r="F836" i="18"/>
  <c r="F837" i="18"/>
  <c r="F838" i="18"/>
  <c r="F839" i="18"/>
  <c r="F840" i="18"/>
  <c r="F841" i="18"/>
  <c r="F842" i="18"/>
  <c r="F843" i="18"/>
  <c r="F844" i="18"/>
  <c r="F845" i="18"/>
  <c r="F846" i="18"/>
  <c r="F847" i="18"/>
  <c r="F848" i="18"/>
  <c r="F849" i="18"/>
  <c r="F850" i="18"/>
  <c r="F851" i="18"/>
  <c r="F852" i="18"/>
  <c r="F853" i="18"/>
  <c r="F854" i="18"/>
  <c r="F855" i="18"/>
  <c r="F856" i="18"/>
  <c r="F857" i="18"/>
  <c r="F858" i="18"/>
  <c r="F859" i="18"/>
  <c r="F860" i="18"/>
  <c r="F861" i="18"/>
  <c r="F862" i="18"/>
  <c r="F863" i="18"/>
  <c r="F864" i="18"/>
  <c r="F865" i="18"/>
  <c r="F866" i="18"/>
  <c r="F867" i="18"/>
  <c r="F868" i="18"/>
  <c r="F869" i="18"/>
  <c r="F870" i="18"/>
  <c r="F871" i="18"/>
  <c r="F872" i="18"/>
  <c r="F873" i="18"/>
  <c r="F874" i="18"/>
  <c r="F875" i="18"/>
  <c r="F876" i="18"/>
  <c r="F877" i="18"/>
  <c r="F878" i="18"/>
  <c r="F879" i="18"/>
  <c r="F880" i="18"/>
  <c r="F881" i="18"/>
  <c r="F882" i="18"/>
  <c r="F883" i="18"/>
  <c r="F884" i="18"/>
  <c r="F885" i="18"/>
  <c r="F886" i="18"/>
  <c r="F887" i="18"/>
  <c r="F888" i="18"/>
  <c r="F889" i="18"/>
  <c r="F890" i="18"/>
  <c r="F891" i="18"/>
  <c r="F892" i="18"/>
  <c r="F893" i="18"/>
  <c r="F894" i="18"/>
  <c r="F895" i="18"/>
  <c r="F896" i="18"/>
  <c r="F897" i="18"/>
  <c r="F898" i="18"/>
  <c r="F899" i="18"/>
  <c r="F900" i="18"/>
  <c r="F901" i="18"/>
  <c r="F902" i="18"/>
  <c r="F903" i="18"/>
  <c r="F904" i="18"/>
  <c r="F905" i="18"/>
  <c r="F906" i="18"/>
  <c r="F907" i="18"/>
  <c r="F908" i="18"/>
  <c r="F909" i="18"/>
  <c r="F910" i="18"/>
  <c r="F911" i="18"/>
  <c r="F912" i="18"/>
  <c r="F913" i="18"/>
  <c r="F914" i="18"/>
  <c r="F915" i="18"/>
  <c r="F916" i="18"/>
  <c r="F917" i="18"/>
  <c r="F918" i="18"/>
  <c r="F919" i="18"/>
  <c r="F920" i="18"/>
  <c r="F921" i="18"/>
  <c r="F922" i="18"/>
  <c r="F923" i="18"/>
  <c r="F924" i="18"/>
  <c r="F925" i="18"/>
  <c r="F926" i="18"/>
  <c r="F927" i="18"/>
  <c r="F928" i="18"/>
  <c r="F929" i="18"/>
  <c r="F930" i="18"/>
  <c r="F931" i="18"/>
  <c r="F932" i="18"/>
  <c r="F933" i="18"/>
  <c r="F934" i="18"/>
  <c r="F935" i="18"/>
  <c r="F936" i="18"/>
  <c r="F937" i="18"/>
  <c r="F938" i="18"/>
  <c r="F939" i="18"/>
  <c r="F940" i="18"/>
  <c r="F941" i="18"/>
  <c r="F942" i="18"/>
  <c r="F943" i="18"/>
  <c r="F944" i="18"/>
  <c r="F945" i="18"/>
  <c r="F946" i="18"/>
  <c r="F947" i="18"/>
  <c r="F948" i="18"/>
  <c r="F949" i="18"/>
  <c r="F950" i="18"/>
  <c r="F951" i="18"/>
  <c r="F952" i="18"/>
  <c r="F953" i="18"/>
  <c r="F954" i="18"/>
  <c r="F955" i="18"/>
  <c r="F956" i="18"/>
  <c r="F957" i="18"/>
  <c r="F958" i="18"/>
  <c r="F959" i="18"/>
  <c r="F960" i="18"/>
  <c r="F961" i="18"/>
  <c r="F962" i="18"/>
  <c r="F963" i="18"/>
  <c r="F964" i="18"/>
  <c r="F965" i="18"/>
  <c r="F966" i="18"/>
  <c r="F967" i="18"/>
  <c r="F968" i="18"/>
  <c r="F969" i="18"/>
  <c r="F970" i="18"/>
  <c r="F971" i="18"/>
  <c r="F972" i="18"/>
  <c r="F973" i="18"/>
  <c r="F974" i="18"/>
  <c r="F975" i="18"/>
  <c r="F976" i="18"/>
  <c r="F977" i="18"/>
  <c r="F978" i="18"/>
  <c r="F979" i="18"/>
  <c r="F980" i="18"/>
  <c r="F981" i="18"/>
  <c r="F982" i="18"/>
  <c r="F983" i="18"/>
  <c r="F984" i="18"/>
  <c r="F985" i="18"/>
  <c r="F986" i="18"/>
  <c r="F987" i="18"/>
  <c r="F988" i="18"/>
  <c r="F989" i="18"/>
  <c r="F990" i="18"/>
  <c r="F991" i="18"/>
  <c r="F992" i="18"/>
  <c r="F993" i="18"/>
  <c r="F994" i="18"/>
  <c r="F995" i="18"/>
  <c r="F996" i="18"/>
  <c r="F997" i="18"/>
  <c r="F998" i="18"/>
  <c r="F999" i="18"/>
  <c r="F1000" i="18"/>
  <c r="F1001" i="18"/>
  <c r="F1002" i="18"/>
  <c r="F1003" i="18"/>
  <c r="F1004" i="18"/>
  <c r="F1005" i="18"/>
  <c r="F1006" i="18"/>
  <c r="F1007" i="18"/>
  <c r="F1008" i="18"/>
  <c r="F1009" i="18"/>
  <c r="F1010" i="18"/>
  <c r="F1011" i="18"/>
  <c r="F1012" i="18"/>
  <c r="F1013" i="18"/>
  <c r="F1014" i="18"/>
  <c r="F1015" i="18"/>
  <c r="F1016" i="18"/>
  <c r="F1017" i="18"/>
  <c r="F1018" i="18"/>
  <c r="F1019" i="18"/>
  <c r="F1020" i="18"/>
  <c r="F1021" i="18"/>
  <c r="F1022" i="18"/>
  <c r="F1023" i="18"/>
  <c r="F1024" i="18"/>
  <c r="F1025" i="18"/>
  <c r="F1026" i="18"/>
  <c r="F1027" i="18"/>
  <c r="F1028" i="18"/>
  <c r="F1029" i="18"/>
  <c r="F1030" i="18"/>
  <c r="F1031" i="18"/>
  <c r="F1032" i="18"/>
  <c r="F1033" i="18"/>
  <c r="F1034" i="18"/>
  <c r="F1035" i="18"/>
  <c r="F1036" i="18"/>
  <c r="F1037" i="18"/>
  <c r="F1038" i="18"/>
  <c r="F1039" i="18"/>
  <c r="F1040" i="18"/>
  <c r="F1041" i="18"/>
  <c r="F1042" i="18"/>
  <c r="F1043" i="18"/>
  <c r="F1044" i="18"/>
  <c r="F1045" i="18"/>
  <c r="F1046" i="18"/>
  <c r="F1047" i="18"/>
  <c r="F1048" i="18"/>
  <c r="F1049" i="18"/>
  <c r="F1050" i="18"/>
  <c r="F1051" i="18"/>
  <c r="F1052" i="18"/>
  <c r="F1053" i="18"/>
  <c r="F1054" i="18"/>
  <c r="F1055" i="18"/>
  <c r="F1056" i="18"/>
  <c r="F1057" i="18"/>
  <c r="F1058" i="18"/>
  <c r="F1059" i="18"/>
  <c r="F1060" i="18"/>
  <c r="F1061" i="18"/>
  <c r="F1062" i="18"/>
  <c r="F1063" i="18"/>
  <c r="F1064" i="18"/>
  <c r="F1065" i="18"/>
  <c r="F1066" i="18"/>
  <c r="F1067" i="18"/>
  <c r="F1068" i="18"/>
  <c r="F1069" i="18"/>
  <c r="F1070" i="18"/>
  <c r="F1071" i="18"/>
  <c r="F1072" i="18"/>
  <c r="F1073" i="18"/>
  <c r="F1074" i="18"/>
  <c r="F1075" i="18"/>
  <c r="F1076" i="18"/>
  <c r="F1077" i="18"/>
  <c r="F1078" i="18"/>
  <c r="F1079" i="18"/>
  <c r="F1080" i="18"/>
  <c r="F1081" i="18"/>
  <c r="F1082" i="18"/>
  <c r="F1083" i="18"/>
  <c r="F1084" i="18"/>
  <c r="F1085" i="18"/>
  <c r="F1086" i="18"/>
  <c r="F1087" i="18"/>
  <c r="F1088" i="18"/>
  <c r="F1089" i="18"/>
  <c r="F1090" i="18"/>
  <c r="F1091" i="18"/>
  <c r="F1092" i="18"/>
  <c r="F1093" i="18"/>
  <c r="F1094" i="18"/>
  <c r="F1095" i="18"/>
  <c r="F1096" i="18"/>
  <c r="F1097" i="18"/>
  <c r="F1098" i="18"/>
  <c r="F1099" i="18"/>
  <c r="F1100" i="18"/>
  <c r="F1101" i="18"/>
  <c r="F1102" i="18"/>
  <c r="F1103" i="18"/>
  <c r="F1104" i="18"/>
  <c r="F1105" i="18"/>
  <c r="F1106" i="18"/>
  <c r="F1107" i="18"/>
  <c r="F1108" i="18"/>
  <c r="F1109" i="18"/>
  <c r="F1110" i="18"/>
  <c r="F1111" i="18"/>
  <c r="F1112" i="18"/>
  <c r="F1113" i="18"/>
  <c r="F1114" i="18"/>
  <c r="F1115" i="18"/>
  <c r="F1116" i="18"/>
  <c r="F1117" i="18"/>
  <c r="F1118" i="18"/>
  <c r="F1119" i="18"/>
  <c r="F1120" i="18"/>
  <c r="F1121" i="18"/>
  <c r="F1122" i="18"/>
  <c r="F1123" i="18"/>
  <c r="F1124" i="18"/>
  <c r="F1125" i="18"/>
  <c r="F1126" i="18"/>
  <c r="F1127" i="18"/>
  <c r="F1128" i="18"/>
  <c r="F1129" i="18"/>
  <c r="F1130" i="18"/>
  <c r="F1131" i="18"/>
  <c r="F1132" i="18"/>
  <c r="F1133" i="18"/>
  <c r="F1134" i="18"/>
  <c r="F1135" i="18"/>
  <c r="F1136" i="18"/>
  <c r="F1137" i="18"/>
  <c r="F1138" i="18"/>
  <c r="F1139" i="18"/>
  <c r="F1140" i="18"/>
  <c r="F1141" i="18"/>
  <c r="F1142" i="18"/>
  <c r="F1143" i="18"/>
  <c r="F1144" i="18"/>
  <c r="F1145" i="18"/>
  <c r="F1146" i="18"/>
  <c r="F1147" i="18"/>
  <c r="F1148" i="18"/>
  <c r="F1149" i="18"/>
  <c r="F1150" i="18"/>
  <c r="F1151" i="18"/>
  <c r="F1152" i="18"/>
  <c r="F1153" i="18"/>
  <c r="F1154" i="18"/>
  <c r="F1155" i="18"/>
  <c r="F1156" i="18"/>
  <c r="F1157" i="18"/>
  <c r="F1158" i="18"/>
  <c r="F1159" i="18"/>
  <c r="F1160" i="18"/>
  <c r="F1161" i="18"/>
  <c r="F1162" i="18"/>
  <c r="F1163" i="18"/>
  <c r="F1164" i="18"/>
  <c r="F1165" i="18"/>
  <c r="F1166" i="18"/>
  <c r="F1167" i="18"/>
  <c r="F1168" i="18"/>
  <c r="F1169" i="18"/>
  <c r="F1170" i="18"/>
  <c r="F1171" i="18"/>
  <c r="F1172" i="18"/>
  <c r="F1173" i="18"/>
  <c r="F1174" i="18"/>
  <c r="F1175" i="18"/>
  <c r="F1176" i="18"/>
  <c r="F1177" i="18"/>
  <c r="F1178" i="18"/>
  <c r="F1179" i="18"/>
  <c r="F1180" i="18"/>
  <c r="F1181" i="18"/>
  <c r="F1182" i="18"/>
  <c r="F1183" i="18"/>
  <c r="F1184" i="18"/>
  <c r="F1185" i="18"/>
  <c r="F1186" i="18"/>
  <c r="F1187" i="18"/>
  <c r="F1188" i="18"/>
  <c r="F1189" i="18"/>
  <c r="F1190" i="18"/>
  <c r="F1191" i="18"/>
  <c r="F1192" i="18"/>
  <c r="F1193" i="18"/>
  <c r="F1194" i="18"/>
  <c r="F1195" i="18"/>
  <c r="F1196" i="18"/>
  <c r="F1197" i="18"/>
  <c r="F1198" i="18"/>
  <c r="F1199" i="18"/>
  <c r="F1200" i="18"/>
  <c r="F1201" i="18"/>
  <c r="F1202" i="18"/>
  <c r="F1203" i="18"/>
  <c r="F1204" i="18"/>
  <c r="F1205" i="18"/>
  <c r="F1206" i="18"/>
  <c r="F1207" i="18"/>
  <c r="F1208" i="18"/>
  <c r="F1209" i="18"/>
  <c r="F1210" i="18"/>
  <c r="F1211" i="18"/>
  <c r="F1212" i="18"/>
  <c r="F1213" i="18"/>
  <c r="F1214" i="18"/>
  <c r="F1215" i="18"/>
  <c r="F1216" i="18"/>
  <c r="F1217" i="18"/>
  <c r="F1218" i="18"/>
  <c r="F1219" i="18"/>
  <c r="F1220" i="18"/>
  <c r="F1221" i="18"/>
  <c r="F1222" i="18"/>
  <c r="F1223" i="18"/>
  <c r="F1224" i="18"/>
  <c r="F1225" i="18"/>
  <c r="F1226" i="18"/>
  <c r="F1227" i="18"/>
  <c r="F1228" i="18"/>
  <c r="F1229" i="18"/>
  <c r="F1230" i="18"/>
  <c r="F1231" i="18"/>
  <c r="F1232" i="18"/>
  <c r="F1233" i="18"/>
  <c r="F1234" i="18"/>
  <c r="F1235" i="18"/>
  <c r="F1236" i="18"/>
  <c r="F1237" i="18"/>
  <c r="F1238" i="18"/>
  <c r="F1239" i="18"/>
  <c r="F1240" i="18"/>
  <c r="F1241" i="18"/>
  <c r="F1242" i="18"/>
  <c r="F1243" i="18"/>
  <c r="F1244" i="18"/>
  <c r="F1245" i="18"/>
  <c r="F1246" i="18"/>
  <c r="F1247" i="18"/>
  <c r="F1248" i="18"/>
  <c r="F1249" i="18"/>
  <c r="F1250" i="18"/>
  <c r="F1251" i="18"/>
  <c r="F1252" i="18"/>
  <c r="F1253" i="18"/>
  <c r="F1254" i="18"/>
  <c r="F1255" i="18"/>
  <c r="F1256" i="18"/>
  <c r="F1257" i="18"/>
  <c r="F1258" i="18"/>
  <c r="F1259" i="18"/>
  <c r="F1260" i="18"/>
  <c r="F1261" i="18"/>
  <c r="F1262" i="18"/>
  <c r="F1263" i="18"/>
  <c r="F1264" i="18"/>
  <c r="F1265" i="18"/>
  <c r="F1266" i="18"/>
  <c r="F1267" i="18"/>
  <c r="F1268" i="18"/>
  <c r="F1269" i="18"/>
  <c r="F1270" i="18"/>
  <c r="F1271" i="18"/>
  <c r="F1272" i="18"/>
  <c r="F1273" i="18"/>
  <c r="F1274" i="18"/>
  <c r="F1275" i="18"/>
  <c r="F1276" i="18"/>
  <c r="F1277" i="18"/>
  <c r="F1278" i="18"/>
  <c r="F1279" i="18"/>
  <c r="F1280" i="18"/>
  <c r="F1281" i="18"/>
  <c r="F1282" i="18"/>
  <c r="F1283" i="18"/>
  <c r="F1284" i="18"/>
  <c r="F1285" i="18"/>
  <c r="F1286" i="18"/>
  <c r="F1287" i="18"/>
  <c r="F1288" i="18"/>
  <c r="F1289" i="18"/>
  <c r="F1290" i="18"/>
  <c r="F1291" i="18"/>
  <c r="F1292" i="18"/>
  <c r="F1293" i="18"/>
  <c r="F1294" i="18"/>
  <c r="F1295" i="18"/>
  <c r="F1296" i="18"/>
  <c r="F1297" i="18"/>
  <c r="F1298" i="18"/>
  <c r="F1299" i="18"/>
  <c r="F1300" i="18"/>
  <c r="F1301" i="18"/>
  <c r="F1302" i="18"/>
  <c r="F1303" i="18"/>
  <c r="F1304" i="18"/>
  <c r="F1305" i="18"/>
  <c r="F1306" i="18"/>
  <c r="F1307" i="18"/>
  <c r="F1308" i="18"/>
  <c r="F1309" i="18"/>
  <c r="F1310" i="18"/>
  <c r="F1311" i="18"/>
  <c r="F1312" i="18"/>
  <c r="F1313" i="18"/>
  <c r="F1314" i="18"/>
  <c r="F1315" i="18"/>
  <c r="F1316" i="18"/>
  <c r="F1317" i="18"/>
  <c r="F1318" i="18"/>
  <c r="F1319" i="18"/>
  <c r="F1320" i="18"/>
  <c r="F1321" i="18"/>
  <c r="F1322" i="18"/>
  <c r="F1323" i="18"/>
  <c r="F1324" i="18"/>
  <c r="F1325" i="18"/>
  <c r="F1326" i="18"/>
  <c r="F1327" i="18"/>
  <c r="F1328" i="18"/>
  <c r="F1329" i="18"/>
  <c r="F1330" i="18"/>
  <c r="F1331" i="18"/>
  <c r="F1332" i="18"/>
  <c r="F1333" i="18"/>
  <c r="F1334" i="18"/>
  <c r="F1335" i="18"/>
  <c r="F1336" i="18"/>
  <c r="F1337" i="18"/>
  <c r="F1338" i="18"/>
  <c r="F1339" i="18"/>
  <c r="F1340" i="18"/>
  <c r="F1341" i="18"/>
  <c r="F1342" i="18"/>
  <c r="F1343" i="18"/>
  <c r="F1344" i="18"/>
  <c r="F1345" i="18"/>
  <c r="F1346" i="18"/>
  <c r="F1347" i="18"/>
  <c r="F1348" i="18"/>
  <c r="F1349" i="18"/>
  <c r="F1350" i="18"/>
  <c r="F1351" i="18"/>
  <c r="F1352" i="18"/>
  <c r="F1353" i="18"/>
  <c r="F1354" i="18"/>
  <c r="F1355" i="18"/>
  <c r="F1356" i="18"/>
  <c r="F1357" i="18"/>
  <c r="F1358" i="18"/>
  <c r="F1359" i="18"/>
  <c r="F1360" i="18"/>
  <c r="F1361" i="18"/>
  <c r="F1362" i="18"/>
  <c r="F1363" i="18"/>
  <c r="F1364" i="18"/>
  <c r="F1365" i="18"/>
  <c r="F1366" i="18"/>
  <c r="F1367" i="18"/>
  <c r="F1368" i="18"/>
  <c r="F1369" i="18"/>
  <c r="F1370" i="18"/>
  <c r="F1371" i="18"/>
  <c r="F1372" i="18"/>
  <c r="F1373" i="18"/>
  <c r="F1374" i="18"/>
  <c r="F1375" i="18"/>
  <c r="F1376" i="18"/>
  <c r="F1377" i="18"/>
  <c r="F1378" i="18"/>
  <c r="F1379" i="18"/>
  <c r="F1380" i="18"/>
  <c r="F1381" i="18"/>
  <c r="F1382" i="18"/>
  <c r="F1383" i="18"/>
  <c r="F1384" i="18"/>
  <c r="F1385" i="18"/>
  <c r="F1386" i="18"/>
  <c r="F1387" i="18"/>
  <c r="F1388" i="18"/>
  <c r="F1389" i="18"/>
  <c r="F1390" i="18"/>
  <c r="F1391" i="18"/>
  <c r="F1392" i="18"/>
  <c r="F1393" i="18"/>
  <c r="F1394" i="18"/>
  <c r="F1395" i="18"/>
  <c r="F1396" i="18"/>
  <c r="F1397" i="18"/>
  <c r="F1398" i="18"/>
  <c r="F1399" i="18"/>
  <c r="F1400" i="18"/>
  <c r="F1401" i="18"/>
  <c r="F1402" i="18"/>
  <c r="F1403" i="18"/>
  <c r="F1404" i="18"/>
  <c r="F1405" i="18"/>
  <c r="F1406" i="18"/>
  <c r="F1407" i="18"/>
  <c r="F1408" i="18"/>
  <c r="F1409" i="18"/>
  <c r="F1410" i="18"/>
  <c r="F1411" i="18"/>
  <c r="F1412" i="18"/>
  <c r="F1413" i="18"/>
  <c r="F1414" i="18"/>
  <c r="F1415" i="18"/>
  <c r="F1416" i="18"/>
  <c r="F1417" i="18"/>
  <c r="F1418" i="18"/>
  <c r="F1419" i="18"/>
  <c r="F1420" i="18"/>
  <c r="F1421" i="18"/>
  <c r="F1422" i="18"/>
  <c r="F1423" i="18"/>
  <c r="F1424" i="18"/>
  <c r="F1425" i="18"/>
  <c r="F1426" i="18"/>
  <c r="F1427" i="18"/>
  <c r="F1428" i="18"/>
  <c r="F1429" i="18"/>
  <c r="F1430" i="18"/>
  <c r="F1431" i="18"/>
  <c r="F1432" i="18"/>
  <c r="F1433" i="18"/>
  <c r="F1434" i="18"/>
  <c r="F1435" i="18"/>
  <c r="F1436" i="18"/>
  <c r="F1437" i="18"/>
  <c r="F1438" i="18"/>
  <c r="F1439" i="18"/>
  <c r="F1440" i="18"/>
  <c r="F1441" i="18"/>
  <c r="F1442" i="18"/>
  <c r="F1443" i="18"/>
  <c r="F1444" i="18"/>
  <c r="F1445" i="18"/>
  <c r="F1446" i="18"/>
  <c r="F1447" i="18"/>
  <c r="F1448" i="18"/>
  <c r="F1449" i="18"/>
  <c r="F1450" i="18"/>
  <c r="F1451" i="18"/>
  <c r="F1452" i="18"/>
  <c r="F1453" i="18"/>
  <c r="F1454" i="18"/>
  <c r="F1455" i="18"/>
  <c r="F1456" i="18"/>
  <c r="F1457" i="18"/>
  <c r="F1458" i="18"/>
  <c r="F1459" i="18"/>
  <c r="F1460" i="18"/>
  <c r="F1461" i="18"/>
  <c r="F1462" i="18"/>
  <c r="F1463" i="18"/>
  <c r="F1464" i="18"/>
  <c r="F1465" i="18"/>
  <c r="F1466" i="18"/>
  <c r="F1467" i="18"/>
  <c r="F1468" i="18"/>
  <c r="F1469" i="18"/>
  <c r="F1470" i="18"/>
  <c r="F1471" i="18"/>
  <c r="F1472" i="18"/>
  <c r="F1473" i="18"/>
  <c r="F1474" i="18"/>
  <c r="F1475" i="18"/>
  <c r="F1476" i="18"/>
  <c r="F1477" i="18"/>
  <c r="F1478" i="18"/>
  <c r="F1479" i="18"/>
  <c r="F1480" i="18"/>
  <c r="F1481" i="18"/>
  <c r="F1482" i="18"/>
  <c r="F1483" i="18"/>
  <c r="F1484" i="18"/>
  <c r="F1485" i="18"/>
  <c r="F1486" i="18"/>
  <c r="F1487" i="18"/>
  <c r="F1488" i="18"/>
  <c r="F1489" i="18"/>
  <c r="F1490" i="18"/>
  <c r="F1491" i="18"/>
  <c r="F1492" i="18"/>
  <c r="F1493" i="18"/>
  <c r="F1494" i="18"/>
  <c r="F1495" i="18"/>
  <c r="F1496" i="18"/>
  <c r="F1497" i="18"/>
  <c r="F1498" i="18"/>
  <c r="F1499" i="18"/>
  <c r="F1500" i="18"/>
  <c r="A596" i="18"/>
  <c r="B596" i="18"/>
  <c r="C596" i="18"/>
  <c r="D596" i="18"/>
  <c r="E596" i="18"/>
  <c r="G596" i="18"/>
  <c r="H596" i="18"/>
  <c r="A597" i="18"/>
  <c r="B597" i="18"/>
  <c r="C597" i="18"/>
  <c r="D597" i="18"/>
  <c r="E597" i="18"/>
  <c r="G597" i="18"/>
  <c r="H597" i="18"/>
  <c r="A598" i="18"/>
  <c r="B598" i="18"/>
  <c r="C598" i="18"/>
  <c r="D598" i="18"/>
  <c r="E598" i="18"/>
  <c r="G598" i="18"/>
  <c r="H598" i="18"/>
  <c r="A599" i="18"/>
  <c r="B599" i="18"/>
  <c r="C599" i="18"/>
  <c r="D599" i="18"/>
  <c r="E599" i="18"/>
  <c r="G599" i="18"/>
  <c r="H599" i="18"/>
  <c r="A600" i="18"/>
  <c r="B600" i="18"/>
  <c r="C600" i="18"/>
  <c r="D600" i="18"/>
  <c r="E600" i="18"/>
  <c r="G600" i="18"/>
  <c r="H600" i="18"/>
  <c r="A601" i="18"/>
  <c r="B601" i="18"/>
  <c r="C601" i="18"/>
  <c r="D601" i="18"/>
  <c r="E601" i="18"/>
  <c r="G601" i="18"/>
  <c r="H601" i="18"/>
  <c r="A602" i="18"/>
  <c r="B602" i="18"/>
  <c r="C602" i="18"/>
  <c r="D602" i="18"/>
  <c r="E602" i="18"/>
  <c r="G602" i="18"/>
  <c r="H602" i="18"/>
  <c r="A603" i="18"/>
  <c r="B603" i="18"/>
  <c r="C603" i="18"/>
  <c r="D603" i="18"/>
  <c r="E603" i="18"/>
  <c r="G603" i="18"/>
  <c r="H603" i="18"/>
  <c r="A604" i="18"/>
  <c r="B604" i="18"/>
  <c r="C604" i="18"/>
  <c r="D604" i="18"/>
  <c r="E604" i="18"/>
  <c r="G604" i="18"/>
  <c r="H604" i="18"/>
  <c r="A605" i="18"/>
  <c r="B605" i="18"/>
  <c r="C605" i="18"/>
  <c r="D605" i="18"/>
  <c r="E605" i="18"/>
  <c r="G605" i="18"/>
  <c r="H605" i="18"/>
  <c r="A606" i="18"/>
  <c r="B606" i="18"/>
  <c r="C606" i="18"/>
  <c r="D606" i="18"/>
  <c r="E606" i="18"/>
  <c r="G606" i="18"/>
  <c r="H606" i="18"/>
  <c r="A607" i="18"/>
  <c r="B607" i="18"/>
  <c r="C607" i="18"/>
  <c r="D607" i="18"/>
  <c r="E607" i="18"/>
  <c r="G607" i="18"/>
  <c r="H607" i="18"/>
  <c r="A608" i="18"/>
  <c r="B608" i="18"/>
  <c r="C608" i="18"/>
  <c r="D608" i="18"/>
  <c r="E608" i="18"/>
  <c r="G608" i="18"/>
  <c r="H608" i="18"/>
  <c r="A609" i="18"/>
  <c r="B609" i="18"/>
  <c r="C609" i="18"/>
  <c r="D609" i="18"/>
  <c r="E609" i="18"/>
  <c r="G609" i="18"/>
  <c r="H609" i="18"/>
  <c r="A610" i="18"/>
  <c r="B610" i="18"/>
  <c r="C610" i="18"/>
  <c r="D610" i="18"/>
  <c r="E610" i="18"/>
  <c r="G610" i="18"/>
  <c r="H610" i="18"/>
  <c r="A611" i="18"/>
  <c r="B611" i="18"/>
  <c r="C611" i="18"/>
  <c r="D611" i="18"/>
  <c r="E611" i="18"/>
  <c r="G611" i="18"/>
  <c r="H611" i="18"/>
  <c r="A612" i="18"/>
  <c r="B612" i="18"/>
  <c r="C612" i="18"/>
  <c r="D612" i="18"/>
  <c r="E612" i="18"/>
  <c r="G612" i="18"/>
  <c r="H612" i="18"/>
  <c r="A613" i="18"/>
  <c r="B613" i="18"/>
  <c r="C613" i="18"/>
  <c r="D613" i="18"/>
  <c r="E613" i="18"/>
  <c r="G613" i="18"/>
  <c r="H613" i="18"/>
  <c r="A614" i="18"/>
  <c r="B614" i="18"/>
  <c r="C614" i="18"/>
  <c r="D614" i="18"/>
  <c r="E614" i="18"/>
  <c r="G614" i="18"/>
  <c r="H614" i="18"/>
  <c r="A615" i="18"/>
  <c r="B615" i="18"/>
  <c r="C615" i="18"/>
  <c r="D615" i="18"/>
  <c r="E615" i="18"/>
  <c r="G615" i="18"/>
  <c r="H615" i="18"/>
  <c r="A616" i="18"/>
  <c r="B616" i="18"/>
  <c r="C616" i="18"/>
  <c r="D616" i="18"/>
  <c r="E616" i="18"/>
  <c r="G616" i="18"/>
  <c r="H616" i="18"/>
  <c r="A617" i="18"/>
  <c r="B617" i="18"/>
  <c r="C617" i="18"/>
  <c r="D617" i="18"/>
  <c r="E617" i="18"/>
  <c r="G617" i="18"/>
  <c r="H617" i="18"/>
  <c r="A618" i="18"/>
  <c r="B618" i="18"/>
  <c r="C618" i="18"/>
  <c r="D618" i="18"/>
  <c r="E618" i="18"/>
  <c r="G618" i="18"/>
  <c r="H618" i="18"/>
  <c r="A619" i="18"/>
  <c r="B619" i="18"/>
  <c r="C619" i="18"/>
  <c r="D619" i="18"/>
  <c r="E619" i="18"/>
  <c r="G619" i="18"/>
  <c r="H619" i="18"/>
  <c r="A620" i="18"/>
  <c r="B620" i="18"/>
  <c r="C620" i="18"/>
  <c r="D620" i="18"/>
  <c r="E620" i="18"/>
  <c r="G620" i="18"/>
  <c r="H620" i="18"/>
  <c r="A621" i="18"/>
  <c r="B621" i="18"/>
  <c r="C621" i="18"/>
  <c r="D621" i="18"/>
  <c r="E621" i="18"/>
  <c r="G621" i="18"/>
  <c r="H621" i="18"/>
  <c r="A622" i="18"/>
  <c r="B622" i="18"/>
  <c r="C622" i="18"/>
  <c r="D622" i="18"/>
  <c r="E622" i="18"/>
  <c r="G622" i="18"/>
  <c r="H622" i="18"/>
  <c r="A623" i="18"/>
  <c r="B623" i="18"/>
  <c r="C623" i="18"/>
  <c r="D623" i="18"/>
  <c r="E623" i="18"/>
  <c r="G623" i="18"/>
  <c r="H623" i="18"/>
  <c r="A624" i="18"/>
  <c r="B624" i="18"/>
  <c r="C624" i="18"/>
  <c r="D624" i="18"/>
  <c r="E624" i="18"/>
  <c r="G624" i="18"/>
  <c r="H624" i="18"/>
  <c r="A625" i="18"/>
  <c r="B625" i="18"/>
  <c r="C625" i="18"/>
  <c r="D625" i="18"/>
  <c r="E625" i="18"/>
  <c r="G625" i="18"/>
  <c r="H625" i="18"/>
  <c r="A626" i="18"/>
  <c r="B626" i="18"/>
  <c r="C626" i="18"/>
  <c r="D626" i="18"/>
  <c r="E626" i="18"/>
  <c r="G626" i="18"/>
  <c r="H626" i="18"/>
  <c r="A627" i="18"/>
  <c r="B627" i="18"/>
  <c r="C627" i="18"/>
  <c r="D627" i="18"/>
  <c r="E627" i="18"/>
  <c r="G627" i="18"/>
  <c r="H627" i="18"/>
  <c r="A628" i="18"/>
  <c r="B628" i="18"/>
  <c r="C628" i="18"/>
  <c r="D628" i="18"/>
  <c r="E628" i="18"/>
  <c r="G628" i="18"/>
  <c r="H628" i="18"/>
  <c r="A629" i="18"/>
  <c r="B629" i="18"/>
  <c r="C629" i="18"/>
  <c r="D629" i="18"/>
  <c r="E629" i="18"/>
  <c r="G629" i="18"/>
  <c r="H629" i="18"/>
  <c r="A630" i="18"/>
  <c r="B630" i="18"/>
  <c r="C630" i="18"/>
  <c r="D630" i="18"/>
  <c r="E630" i="18"/>
  <c r="G630" i="18"/>
  <c r="H630" i="18"/>
  <c r="A631" i="18"/>
  <c r="B631" i="18"/>
  <c r="C631" i="18"/>
  <c r="D631" i="18"/>
  <c r="E631" i="18"/>
  <c r="G631" i="18"/>
  <c r="H631" i="18"/>
  <c r="A632" i="18"/>
  <c r="B632" i="18"/>
  <c r="C632" i="18"/>
  <c r="D632" i="18"/>
  <c r="E632" i="18"/>
  <c r="G632" i="18"/>
  <c r="H632" i="18"/>
  <c r="A633" i="18"/>
  <c r="B633" i="18"/>
  <c r="C633" i="18"/>
  <c r="D633" i="18"/>
  <c r="E633" i="18"/>
  <c r="G633" i="18"/>
  <c r="H633" i="18"/>
  <c r="A634" i="18"/>
  <c r="B634" i="18"/>
  <c r="C634" i="18"/>
  <c r="D634" i="18"/>
  <c r="E634" i="18"/>
  <c r="G634" i="18"/>
  <c r="H634" i="18"/>
  <c r="A635" i="18"/>
  <c r="B635" i="18"/>
  <c r="C635" i="18"/>
  <c r="D635" i="18"/>
  <c r="E635" i="18"/>
  <c r="G635" i="18"/>
  <c r="H635" i="18"/>
  <c r="A636" i="18"/>
  <c r="B636" i="18"/>
  <c r="C636" i="18"/>
  <c r="D636" i="18"/>
  <c r="E636" i="18"/>
  <c r="G636" i="18"/>
  <c r="H636" i="18"/>
  <c r="A637" i="18"/>
  <c r="B637" i="18"/>
  <c r="C637" i="18"/>
  <c r="D637" i="18"/>
  <c r="E637" i="18"/>
  <c r="G637" i="18"/>
  <c r="H637" i="18"/>
  <c r="A638" i="18"/>
  <c r="B638" i="18"/>
  <c r="C638" i="18"/>
  <c r="D638" i="18"/>
  <c r="E638" i="18"/>
  <c r="G638" i="18"/>
  <c r="H638" i="18"/>
  <c r="A639" i="18"/>
  <c r="B639" i="18"/>
  <c r="C639" i="18"/>
  <c r="D639" i="18"/>
  <c r="E639" i="18"/>
  <c r="G639" i="18"/>
  <c r="H639" i="18"/>
  <c r="A640" i="18"/>
  <c r="B640" i="18"/>
  <c r="C640" i="18"/>
  <c r="D640" i="18"/>
  <c r="E640" i="18"/>
  <c r="G640" i="18"/>
  <c r="H640" i="18"/>
  <c r="A641" i="18"/>
  <c r="B641" i="18"/>
  <c r="C641" i="18"/>
  <c r="D641" i="18"/>
  <c r="E641" i="18"/>
  <c r="G641" i="18"/>
  <c r="H641" i="18"/>
  <c r="A642" i="18"/>
  <c r="B642" i="18"/>
  <c r="C642" i="18"/>
  <c r="D642" i="18"/>
  <c r="E642" i="18"/>
  <c r="G642" i="18"/>
  <c r="H642" i="18"/>
  <c r="A643" i="18"/>
  <c r="B643" i="18"/>
  <c r="C643" i="18"/>
  <c r="D643" i="18"/>
  <c r="E643" i="18"/>
  <c r="G643" i="18"/>
  <c r="H643" i="18"/>
  <c r="A644" i="18"/>
  <c r="B644" i="18"/>
  <c r="C644" i="18"/>
  <c r="D644" i="18"/>
  <c r="E644" i="18"/>
  <c r="G644" i="18"/>
  <c r="H644" i="18"/>
  <c r="A645" i="18"/>
  <c r="B645" i="18"/>
  <c r="C645" i="18"/>
  <c r="D645" i="18"/>
  <c r="E645" i="18"/>
  <c r="G645" i="18"/>
  <c r="H645" i="18"/>
  <c r="A646" i="18"/>
  <c r="B646" i="18"/>
  <c r="C646" i="18"/>
  <c r="D646" i="18"/>
  <c r="E646" i="18"/>
  <c r="G646" i="18"/>
  <c r="H646" i="18"/>
  <c r="A647" i="18"/>
  <c r="B647" i="18"/>
  <c r="C647" i="18"/>
  <c r="D647" i="18"/>
  <c r="E647" i="18"/>
  <c r="G647" i="18"/>
  <c r="H647" i="18"/>
  <c r="A648" i="18"/>
  <c r="B648" i="18"/>
  <c r="C648" i="18"/>
  <c r="D648" i="18"/>
  <c r="E648" i="18"/>
  <c r="G648" i="18"/>
  <c r="H648" i="18"/>
  <c r="A649" i="18"/>
  <c r="B649" i="18"/>
  <c r="C649" i="18"/>
  <c r="D649" i="18"/>
  <c r="E649" i="18"/>
  <c r="G649" i="18"/>
  <c r="H649" i="18"/>
  <c r="A650" i="18"/>
  <c r="B650" i="18"/>
  <c r="C650" i="18"/>
  <c r="D650" i="18"/>
  <c r="E650" i="18"/>
  <c r="G650" i="18"/>
  <c r="H650" i="18"/>
  <c r="A651" i="18"/>
  <c r="B651" i="18"/>
  <c r="C651" i="18"/>
  <c r="D651" i="18"/>
  <c r="E651" i="18"/>
  <c r="G651" i="18"/>
  <c r="H651" i="18"/>
  <c r="A652" i="18"/>
  <c r="B652" i="18"/>
  <c r="C652" i="18"/>
  <c r="D652" i="18"/>
  <c r="E652" i="18"/>
  <c r="G652" i="18"/>
  <c r="H652" i="18"/>
  <c r="A653" i="18"/>
  <c r="B653" i="18"/>
  <c r="C653" i="18"/>
  <c r="D653" i="18"/>
  <c r="E653" i="18"/>
  <c r="G653" i="18"/>
  <c r="H653" i="18"/>
  <c r="A654" i="18"/>
  <c r="B654" i="18"/>
  <c r="C654" i="18"/>
  <c r="D654" i="18"/>
  <c r="E654" i="18"/>
  <c r="G654" i="18"/>
  <c r="H654" i="18"/>
  <c r="A655" i="18"/>
  <c r="B655" i="18"/>
  <c r="C655" i="18"/>
  <c r="D655" i="18"/>
  <c r="E655" i="18"/>
  <c r="G655" i="18"/>
  <c r="H655" i="18"/>
  <c r="A656" i="18"/>
  <c r="B656" i="18"/>
  <c r="C656" i="18"/>
  <c r="D656" i="18"/>
  <c r="E656" i="18"/>
  <c r="G656" i="18"/>
  <c r="H656" i="18"/>
  <c r="A657" i="18"/>
  <c r="B657" i="18"/>
  <c r="C657" i="18"/>
  <c r="D657" i="18"/>
  <c r="E657" i="18"/>
  <c r="G657" i="18"/>
  <c r="H657" i="18"/>
  <c r="A658" i="18"/>
  <c r="B658" i="18"/>
  <c r="C658" i="18"/>
  <c r="D658" i="18"/>
  <c r="E658" i="18"/>
  <c r="G658" i="18"/>
  <c r="H658" i="18"/>
  <c r="A659" i="18"/>
  <c r="B659" i="18"/>
  <c r="C659" i="18"/>
  <c r="D659" i="18"/>
  <c r="E659" i="18"/>
  <c r="G659" i="18"/>
  <c r="H659" i="18"/>
  <c r="A660" i="18"/>
  <c r="B660" i="18"/>
  <c r="C660" i="18"/>
  <c r="D660" i="18"/>
  <c r="E660" i="18"/>
  <c r="G660" i="18"/>
  <c r="H660" i="18"/>
  <c r="A661" i="18"/>
  <c r="B661" i="18"/>
  <c r="C661" i="18"/>
  <c r="D661" i="18"/>
  <c r="E661" i="18"/>
  <c r="G661" i="18"/>
  <c r="H661" i="18"/>
  <c r="A662" i="18"/>
  <c r="B662" i="18"/>
  <c r="C662" i="18"/>
  <c r="D662" i="18"/>
  <c r="E662" i="18"/>
  <c r="G662" i="18"/>
  <c r="H662" i="18"/>
  <c r="A663" i="18"/>
  <c r="B663" i="18"/>
  <c r="C663" i="18"/>
  <c r="D663" i="18"/>
  <c r="E663" i="18"/>
  <c r="G663" i="18"/>
  <c r="H663" i="18"/>
  <c r="A664" i="18"/>
  <c r="B664" i="18"/>
  <c r="C664" i="18"/>
  <c r="D664" i="18"/>
  <c r="E664" i="18"/>
  <c r="G664" i="18"/>
  <c r="H664" i="18"/>
  <c r="A665" i="18"/>
  <c r="B665" i="18"/>
  <c r="C665" i="18"/>
  <c r="D665" i="18"/>
  <c r="E665" i="18"/>
  <c r="G665" i="18"/>
  <c r="H665" i="18"/>
  <c r="A666" i="18"/>
  <c r="B666" i="18"/>
  <c r="C666" i="18"/>
  <c r="D666" i="18"/>
  <c r="E666" i="18"/>
  <c r="G666" i="18"/>
  <c r="H666" i="18"/>
  <c r="A667" i="18"/>
  <c r="B667" i="18"/>
  <c r="C667" i="18"/>
  <c r="D667" i="18"/>
  <c r="E667" i="18"/>
  <c r="G667" i="18"/>
  <c r="H667" i="18"/>
  <c r="A668" i="18"/>
  <c r="B668" i="18"/>
  <c r="C668" i="18"/>
  <c r="D668" i="18"/>
  <c r="E668" i="18"/>
  <c r="G668" i="18"/>
  <c r="H668" i="18"/>
  <c r="A669" i="18"/>
  <c r="B669" i="18"/>
  <c r="C669" i="18"/>
  <c r="D669" i="18"/>
  <c r="E669" i="18"/>
  <c r="G669" i="18"/>
  <c r="H669" i="18"/>
  <c r="A670" i="18"/>
  <c r="B670" i="18"/>
  <c r="C670" i="18"/>
  <c r="D670" i="18"/>
  <c r="E670" i="18"/>
  <c r="G670" i="18"/>
  <c r="H670" i="18"/>
  <c r="A671" i="18"/>
  <c r="B671" i="18"/>
  <c r="C671" i="18"/>
  <c r="D671" i="18"/>
  <c r="E671" i="18"/>
  <c r="G671" i="18"/>
  <c r="H671" i="18"/>
  <c r="A672" i="18"/>
  <c r="B672" i="18"/>
  <c r="C672" i="18"/>
  <c r="D672" i="18"/>
  <c r="E672" i="18"/>
  <c r="G672" i="18"/>
  <c r="H672" i="18"/>
  <c r="A673" i="18"/>
  <c r="B673" i="18"/>
  <c r="C673" i="18"/>
  <c r="D673" i="18"/>
  <c r="E673" i="18"/>
  <c r="G673" i="18"/>
  <c r="H673" i="18"/>
  <c r="A674" i="18"/>
  <c r="B674" i="18"/>
  <c r="C674" i="18"/>
  <c r="D674" i="18"/>
  <c r="E674" i="18"/>
  <c r="G674" i="18"/>
  <c r="H674" i="18"/>
  <c r="A675" i="18"/>
  <c r="B675" i="18"/>
  <c r="C675" i="18"/>
  <c r="D675" i="18"/>
  <c r="E675" i="18"/>
  <c r="G675" i="18"/>
  <c r="H675" i="18"/>
  <c r="A676" i="18"/>
  <c r="B676" i="18"/>
  <c r="C676" i="18"/>
  <c r="D676" i="18"/>
  <c r="E676" i="18"/>
  <c r="G676" i="18"/>
  <c r="H676" i="18"/>
  <c r="A677" i="18"/>
  <c r="B677" i="18"/>
  <c r="C677" i="18"/>
  <c r="D677" i="18"/>
  <c r="E677" i="18"/>
  <c r="G677" i="18"/>
  <c r="H677" i="18"/>
  <c r="A678" i="18"/>
  <c r="B678" i="18"/>
  <c r="C678" i="18"/>
  <c r="D678" i="18"/>
  <c r="E678" i="18"/>
  <c r="G678" i="18"/>
  <c r="H678" i="18"/>
  <c r="A679" i="18"/>
  <c r="B679" i="18"/>
  <c r="C679" i="18"/>
  <c r="D679" i="18"/>
  <c r="E679" i="18"/>
  <c r="G679" i="18"/>
  <c r="H679" i="18"/>
  <c r="A680" i="18"/>
  <c r="B680" i="18"/>
  <c r="C680" i="18"/>
  <c r="D680" i="18"/>
  <c r="E680" i="18"/>
  <c r="G680" i="18"/>
  <c r="H680" i="18"/>
  <c r="A681" i="18"/>
  <c r="B681" i="18"/>
  <c r="C681" i="18"/>
  <c r="D681" i="18"/>
  <c r="E681" i="18"/>
  <c r="G681" i="18"/>
  <c r="H681" i="18"/>
  <c r="A682" i="18"/>
  <c r="B682" i="18"/>
  <c r="C682" i="18"/>
  <c r="D682" i="18"/>
  <c r="E682" i="18"/>
  <c r="G682" i="18"/>
  <c r="H682" i="18"/>
  <c r="A683" i="18"/>
  <c r="B683" i="18"/>
  <c r="C683" i="18"/>
  <c r="D683" i="18"/>
  <c r="E683" i="18"/>
  <c r="G683" i="18"/>
  <c r="H683" i="18"/>
  <c r="A684" i="18"/>
  <c r="B684" i="18"/>
  <c r="C684" i="18"/>
  <c r="D684" i="18"/>
  <c r="E684" i="18"/>
  <c r="G684" i="18"/>
  <c r="H684" i="18"/>
  <c r="A685" i="18"/>
  <c r="B685" i="18"/>
  <c r="C685" i="18"/>
  <c r="D685" i="18"/>
  <c r="E685" i="18"/>
  <c r="G685" i="18"/>
  <c r="H685" i="18"/>
  <c r="A686" i="18"/>
  <c r="B686" i="18"/>
  <c r="C686" i="18"/>
  <c r="D686" i="18"/>
  <c r="E686" i="18"/>
  <c r="G686" i="18"/>
  <c r="H686" i="18"/>
  <c r="A687" i="18"/>
  <c r="B687" i="18"/>
  <c r="C687" i="18"/>
  <c r="D687" i="18"/>
  <c r="E687" i="18"/>
  <c r="G687" i="18"/>
  <c r="H687" i="18"/>
  <c r="A688" i="18"/>
  <c r="B688" i="18"/>
  <c r="C688" i="18"/>
  <c r="D688" i="18"/>
  <c r="E688" i="18"/>
  <c r="G688" i="18"/>
  <c r="H688" i="18"/>
  <c r="A689" i="18"/>
  <c r="B689" i="18"/>
  <c r="C689" i="18"/>
  <c r="D689" i="18"/>
  <c r="E689" i="18"/>
  <c r="G689" i="18"/>
  <c r="H689" i="18"/>
  <c r="A690" i="18"/>
  <c r="B690" i="18"/>
  <c r="C690" i="18"/>
  <c r="D690" i="18"/>
  <c r="E690" i="18"/>
  <c r="G690" i="18"/>
  <c r="H690" i="18"/>
  <c r="A691" i="18"/>
  <c r="B691" i="18"/>
  <c r="C691" i="18"/>
  <c r="D691" i="18"/>
  <c r="E691" i="18"/>
  <c r="G691" i="18"/>
  <c r="H691" i="18"/>
  <c r="A692" i="18"/>
  <c r="B692" i="18"/>
  <c r="C692" i="18"/>
  <c r="D692" i="18"/>
  <c r="E692" i="18"/>
  <c r="G692" i="18"/>
  <c r="H692" i="18"/>
  <c r="A693" i="18"/>
  <c r="B693" i="18"/>
  <c r="C693" i="18"/>
  <c r="D693" i="18"/>
  <c r="E693" i="18"/>
  <c r="G693" i="18"/>
  <c r="H693" i="18"/>
  <c r="A694" i="18"/>
  <c r="B694" i="18"/>
  <c r="C694" i="18"/>
  <c r="D694" i="18"/>
  <c r="E694" i="18"/>
  <c r="G694" i="18"/>
  <c r="H694" i="18"/>
  <c r="A695" i="18"/>
  <c r="B695" i="18"/>
  <c r="C695" i="18"/>
  <c r="D695" i="18"/>
  <c r="E695" i="18"/>
  <c r="G695" i="18"/>
  <c r="H695" i="18"/>
  <c r="A696" i="18"/>
  <c r="B696" i="18"/>
  <c r="C696" i="18"/>
  <c r="D696" i="18"/>
  <c r="E696" i="18"/>
  <c r="G696" i="18"/>
  <c r="H696" i="18"/>
  <c r="A697" i="18"/>
  <c r="B697" i="18"/>
  <c r="C697" i="18"/>
  <c r="D697" i="18"/>
  <c r="E697" i="18"/>
  <c r="G697" i="18"/>
  <c r="H697" i="18"/>
  <c r="A698" i="18"/>
  <c r="B698" i="18"/>
  <c r="C698" i="18"/>
  <c r="D698" i="18"/>
  <c r="E698" i="18"/>
  <c r="G698" i="18"/>
  <c r="H698" i="18"/>
  <c r="A699" i="18"/>
  <c r="B699" i="18"/>
  <c r="C699" i="18"/>
  <c r="D699" i="18"/>
  <c r="E699" i="18"/>
  <c r="G699" i="18"/>
  <c r="H699" i="18"/>
  <c r="A700" i="18"/>
  <c r="B700" i="18"/>
  <c r="C700" i="18"/>
  <c r="D700" i="18"/>
  <c r="E700" i="18"/>
  <c r="G700" i="18"/>
  <c r="H700" i="18"/>
  <c r="A701" i="18"/>
  <c r="B701" i="18"/>
  <c r="C701" i="18"/>
  <c r="D701" i="18"/>
  <c r="E701" i="18"/>
  <c r="G701" i="18"/>
  <c r="H701" i="18"/>
  <c r="A702" i="18"/>
  <c r="B702" i="18"/>
  <c r="C702" i="18"/>
  <c r="D702" i="18"/>
  <c r="E702" i="18"/>
  <c r="G702" i="18"/>
  <c r="H702" i="18"/>
  <c r="A703" i="18"/>
  <c r="B703" i="18"/>
  <c r="C703" i="18"/>
  <c r="D703" i="18"/>
  <c r="E703" i="18"/>
  <c r="G703" i="18"/>
  <c r="H703" i="18"/>
  <c r="A704" i="18"/>
  <c r="B704" i="18"/>
  <c r="C704" i="18"/>
  <c r="D704" i="18"/>
  <c r="E704" i="18"/>
  <c r="G704" i="18"/>
  <c r="H704" i="18"/>
  <c r="A705" i="18"/>
  <c r="B705" i="18"/>
  <c r="C705" i="18"/>
  <c r="D705" i="18"/>
  <c r="E705" i="18"/>
  <c r="G705" i="18"/>
  <c r="H705" i="18"/>
  <c r="A706" i="18"/>
  <c r="B706" i="18"/>
  <c r="C706" i="18"/>
  <c r="D706" i="18"/>
  <c r="E706" i="18"/>
  <c r="G706" i="18"/>
  <c r="H706" i="18"/>
  <c r="A707" i="18"/>
  <c r="B707" i="18"/>
  <c r="C707" i="18"/>
  <c r="D707" i="18"/>
  <c r="E707" i="18"/>
  <c r="G707" i="18"/>
  <c r="H707" i="18"/>
  <c r="A708" i="18"/>
  <c r="B708" i="18"/>
  <c r="C708" i="18"/>
  <c r="D708" i="18"/>
  <c r="E708" i="18"/>
  <c r="G708" i="18"/>
  <c r="H708" i="18"/>
  <c r="A709" i="18"/>
  <c r="B709" i="18"/>
  <c r="C709" i="18"/>
  <c r="D709" i="18"/>
  <c r="E709" i="18"/>
  <c r="G709" i="18"/>
  <c r="H709" i="18"/>
  <c r="A710" i="18"/>
  <c r="B710" i="18"/>
  <c r="C710" i="18"/>
  <c r="D710" i="18"/>
  <c r="E710" i="18"/>
  <c r="G710" i="18"/>
  <c r="H710" i="18"/>
  <c r="A711" i="18"/>
  <c r="B711" i="18"/>
  <c r="C711" i="18"/>
  <c r="D711" i="18"/>
  <c r="E711" i="18"/>
  <c r="G711" i="18"/>
  <c r="H711" i="18"/>
  <c r="A712" i="18"/>
  <c r="B712" i="18"/>
  <c r="C712" i="18"/>
  <c r="D712" i="18"/>
  <c r="E712" i="18"/>
  <c r="G712" i="18"/>
  <c r="H712" i="18"/>
  <c r="A713" i="18"/>
  <c r="B713" i="18"/>
  <c r="C713" i="18"/>
  <c r="D713" i="18"/>
  <c r="E713" i="18"/>
  <c r="G713" i="18"/>
  <c r="H713" i="18"/>
  <c r="A714" i="18"/>
  <c r="B714" i="18"/>
  <c r="C714" i="18"/>
  <c r="D714" i="18"/>
  <c r="E714" i="18"/>
  <c r="G714" i="18"/>
  <c r="H714" i="18"/>
  <c r="A715" i="18"/>
  <c r="B715" i="18"/>
  <c r="C715" i="18"/>
  <c r="D715" i="18"/>
  <c r="E715" i="18"/>
  <c r="G715" i="18"/>
  <c r="H715" i="18"/>
  <c r="A716" i="18"/>
  <c r="B716" i="18"/>
  <c r="C716" i="18"/>
  <c r="D716" i="18"/>
  <c r="E716" i="18"/>
  <c r="G716" i="18"/>
  <c r="H716" i="18"/>
  <c r="A717" i="18"/>
  <c r="B717" i="18"/>
  <c r="C717" i="18"/>
  <c r="D717" i="18"/>
  <c r="E717" i="18"/>
  <c r="G717" i="18"/>
  <c r="H717" i="18"/>
  <c r="A718" i="18"/>
  <c r="B718" i="18"/>
  <c r="C718" i="18"/>
  <c r="D718" i="18"/>
  <c r="E718" i="18"/>
  <c r="G718" i="18"/>
  <c r="H718" i="18"/>
  <c r="A719" i="18"/>
  <c r="B719" i="18"/>
  <c r="C719" i="18"/>
  <c r="D719" i="18"/>
  <c r="E719" i="18"/>
  <c r="G719" i="18"/>
  <c r="H719" i="18"/>
  <c r="A720" i="18"/>
  <c r="B720" i="18"/>
  <c r="C720" i="18"/>
  <c r="D720" i="18"/>
  <c r="E720" i="18"/>
  <c r="G720" i="18"/>
  <c r="H720" i="18"/>
  <c r="A721" i="18"/>
  <c r="B721" i="18"/>
  <c r="C721" i="18"/>
  <c r="D721" i="18"/>
  <c r="E721" i="18"/>
  <c r="G721" i="18"/>
  <c r="H721" i="18"/>
  <c r="A722" i="18"/>
  <c r="B722" i="18"/>
  <c r="C722" i="18"/>
  <c r="D722" i="18"/>
  <c r="E722" i="18"/>
  <c r="G722" i="18"/>
  <c r="H722" i="18"/>
  <c r="A723" i="18"/>
  <c r="B723" i="18"/>
  <c r="C723" i="18"/>
  <c r="D723" i="18"/>
  <c r="E723" i="18"/>
  <c r="G723" i="18"/>
  <c r="H723" i="18"/>
  <c r="A724" i="18"/>
  <c r="B724" i="18"/>
  <c r="C724" i="18"/>
  <c r="D724" i="18"/>
  <c r="E724" i="18"/>
  <c r="G724" i="18"/>
  <c r="H724" i="18"/>
  <c r="A725" i="18"/>
  <c r="B725" i="18"/>
  <c r="C725" i="18"/>
  <c r="D725" i="18"/>
  <c r="E725" i="18"/>
  <c r="G725" i="18"/>
  <c r="H725" i="18"/>
  <c r="A726" i="18"/>
  <c r="B726" i="18"/>
  <c r="C726" i="18"/>
  <c r="D726" i="18"/>
  <c r="E726" i="18"/>
  <c r="G726" i="18"/>
  <c r="H726" i="18"/>
  <c r="A727" i="18"/>
  <c r="B727" i="18"/>
  <c r="C727" i="18"/>
  <c r="D727" i="18"/>
  <c r="E727" i="18"/>
  <c r="G727" i="18"/>
  <c r="H727" i="18"/>
  <c r="A728" i="18"/>
  <c r="B728" i="18"/>
  <c r="C728" i="18"/>
  <c r="D728" i="18"/>
  <c r="E728" i="18"/>
  <c r="G728" i="18"/>
  <c r="H728" i="18"/>
  <c r="A729" i="18"/>
  <c r="B729" i="18"/>
  <c r="C729" i="18"/>
  <c r="D729" i="18"/>
  <c r="E729" i="18"/>
  <c r="G729" i="18"/>
  <c r="H729" i="18"/>
  <c r="A730" i="18"/>
  <c r="B730" i="18"/>
  <c r="C730" i="18"/>
  <c r="D730" i="18"/>
  <c r="E730" i="18"/>
  <c r="G730" i="18"/>
  <c r="H730" i="18"/>
  <c r="A731" i="18"/>
  <c r="B731" i="18"/>
  <c r="C731" i="18"/>
  <c r="D731" i="18"/>
  <c r="E731" i="18"/>
  <c r="G731" i="18"/>
  <c r="H731" i="18"/>
  <c r="A732" i="18"/>
  <c r="B732" i="18"/>
  <c r="C732" i="18"/>
  <c r="D732" i="18"/>
  <c r="E732" i="18"/>
  <c r="G732" i="18"/>
  <c r="H732" i="18"/>
  <c r="A733" i="18"/>
  <c r="B733" i="18"/>
  <c r="C733" i="18"/>
  <c r="D733" i="18"/>
  <c r="E733" i="18"/>
  <c r="G733" i="18"/>
  <c r="H733" i="18"/>
  <c r="A734" i="18"/>
  <c r="B734" i="18"/>
  <c r="C734" i="18"/>
  <c r="D734" i="18"/>
  <c r="E734" i="18"/>
  <c r="G734" i="18"/>
  <c r="H734" i="18"/>
  <c r="A735" i="18"/>
  <c r="B735" i="18"/>
  <c r="C735" i="18"/>
  <c r="D735" i="18"/>
  <c r="E735" i="18"/>
  <c r="G735" i="18"/>
  <c r="H735" i="18"/>
  <c r="A736" i="18"/>
  <c r="B736" i="18"/>
  <c r="C736" i="18"/>
  <c r="D736" i="18"/>
  <c r="E736" i="18"/>
  <c r="G736" i="18"/>
  <c r="H736" i="18"/>
  <c r="A737" i="18"/>
  <c r="B737" i="18"/>
  <c r="C737" i="18"/>
  <c r="D737" i="18"/>
  <c r="E737" i="18"/>
  <c r="G737" i="18"/>
  <c r="H737" i="18"/>
  <c r="A738" i="18"/>
  <c r="B738" i="18"/>
  <c r="C738" i="18"/>
  <c r="D738" i="18"/>
  <c r="E738" i="18"/>
  <c r="G738" i="18"/>
  <c r="H738" i="18"/>
  <c r="A739" i="18"/>
  <c r="B739" i="18"/>
  <c r="C739" i="18"/>
  <c r="D739" i="18"/>
  <c r="E739" i="18"/>
  <c r="G739" i="18"/>
  <c r="H739" i="18"/>
  <c r="A740" i="18"/>
  <c r="B740" i="18"/>
  <c r="C740" i="18"/>
  <c r="D740" i="18"/>
  <c r="E740" i="18"/>
  <c r="G740" i="18"/>
  <c r="H740" i="18"/>
  <c r="A741" i="18"/>
  <c r="B741" i="18"/>
  <c r="C741" i="18"/>
  <c r="D741" i="18"/>
  <c r="E741" i="18"/>
  <c r="G741" i="18"/>
  <c r="H741" i="18"/>
  <c r="A742" i="18"/>
  <c r="B742" i="18"/>
  <c r="C742" i="18"/>
  <c r="D742" i="18"/>
  <c r="E742" i="18"/>
  <c r="G742" i="18"/>
  <c r="H742" i="18"/>
  <c r="A743" i="18"/>
  <c r="B743" i="18"/>
  <c r="C743" i="18"/>
  <c r="D743" i="18"/>
  <c r="E743" i="18"/>
  <c r="G743" i="18"/>
  <c r="H743" i="18"/>
  <c r="A744" i="18"/>
  <c r="B744" i="18"/>
  <c r="C744" i="18"/>
  <c r="D744" i="18"/>
  <c r="E744" i="18"/>
  <c r="G744" i="18"/>
  <c r="H744" i="18"/>
  <c r="A745" i="18"/>
  <c r="B745" i="18"/>
  <c r="C745" i="18"/>
  <c r="D745" i="18"/>
  <c r="E745" i="18"/>
  <c r="G745" i="18"/>
  <c r="H745" i="18"/>
  <c r="A746" i="18"/>
  <c r="B746" i="18"/>
  <c r="C746" i="18"/>
  <c r="D746" i="18"/>
  <c r="E746" i="18"/>
  <c r="G746" i="18"/>
  <c r="H746" i="18"/>
  <c r="A747" i="18"/>
  <c r="B747" i="18"/>
  <c r="C747" i="18"/>
  <c r="D747" i="18"/>
  <c r="E747" i="18"/>
  <c r="G747" i="18"/>
  <c r="H747" i="18"/>
  <c r="A748" i="18"/>
  <c r="B748" i="18"/>
  <c r="C748" i="18"/>
  <c r="D748" i="18"/>
  <c r="E748" i="18"/>
  <c r="G748" i="18"/>
  <c r="H748" i="18"/>
  <c r="A749" i="18"/>
  <c r="B749" i="18"/>
  <c r="C749" i="18"/>
  <c r="D749" i="18"/>
  <c r="E749" i="18"/>
  <c r="G749" i="18"/>
  <c r="H749" i="18"/>
  <c r="A750" i="18"/>
  <c r="B750" i="18"/>
  <c r="C750" i="18"/>
  <c r="D750" i="18"/>
  <c r="E750" i="18"/>
  <c r="G750" i="18"/>
  <c r="H750" i="18"/>
  <c r="A751" i="18"/>
  <c r="B751" i="18"/>
  <c r="C751" i="18"/>
  <c r="D751" i="18"/>
  <c r="E751" i="18"/>
  <c r="G751" i="18"/>
  <c r="H751" i="18"/>
  <c r="A752" i="18"/>
  <c r="B752" i="18"/>
  <c r="C752" i="18"/>
  <c r="D752" i="18"/>
  <c r="E752" i="18"/>
  <c r="G752" i="18"/>
  <c r="H752" i="18"/>
  <c r="A753" i="18"/>
  <c r="B753" i="18"/>
  <c r="C753" i="18"/>
  <c r="D753" i="18"/>
  <c r="E753" i="18"/>
  <c r="G753" i="18"/>
  <c r="H753" i="18"/>
  <c r="A754" i="18"/>
  <c r="B754" i="18"/>
  <c r="C754" i="18"/>
  <c r="D754" i="18"/>
  <c r="E754" i="18"/>
  <c r="G754" i="18"/>
  <c r="H754" i="18"/>
  <c r="A755" i="18"/>
  <c r="B755" i="18"/>
  <c r="C755" i="18"/>
  <c r="D755" i="18"/>
  <c r="E755" i="18"/>
  <c r="G755" i="18"/>
  <c r="H755" i="18"/>
  <c r="A756" i="18"/>
  <c r="B756" i="18"/>
  <c r="C756" i="18"/>
  <c r="D756" i="18"/>
  <c r="E756" i="18"/>
  <c r="G756" i="18"/>
  <c r="H756" i="18"/>
  <c r="A757" i="18"/>
  <c r="B757" i="18"/>
  <c r="C757" i="18"/>
  <c r="D757" i="18"/>
  <c r="E757" i="18"/>
  <c r="G757" i="18"/>
  <c r="H757" i="18"/>
  <c r="A758" i="18"/>
  <c r="B758" i="18"/>
  <c r="C758" i="18"/>
  <c r="D758" i="18"/>
  <c r="E758" i="18"/>
  <c r="G758" i="18"/>
  <c r="H758" i="18"/>
  <c r="A759" i="18"/>
  <c r="B759" i="18"/>
  <c r="C759" i="18"/>
  <c r="D759" i="18"/>
  <c r="E759" i="18"/>
  <c r="G759" i="18"/>
  <c r="H759" i="18"/>
  <c r="A760" i="18"/>
  <c r="B760" i="18"/>
  <c r="C760" i="18"/>
  <c r="D760" i="18"/>
  <c r="E760" i="18"/>
  <c r="G760" i="18"/>
  <c r="H760" i="18"/>
  <c r="A761" i="18"/>
  <c r="B761" i="18"/>
  <c r="C761" i="18"/>
  <c r="D761" i="18"/>
  <c r="E761" i="18"/>
  <c r="G761" i="18"/>
  <c r="H761" i="18"/>
  <c r="A762" i="18"/>
  <c r="B762" i="18"/>
  <c r="C762" i="18"/>
  <c r="D762" i="18"/>
  <c r="E762" i="18"/>
  <c r="G762" i="18"/>
  <c r="H762" i="18"/>
  <c r="A763" i="18"/>
  <c r="B763" i="18"/>
  <c r="C763" i="18"/>
  <c r="D763" i="18"/>
  <c r="E763" i="18"/>
  <c r="G763" i="18"/>
  <c r="H763" i="18"/>
  <c r="A764" i="18"/>
  <c r="B764" i="18"/>
  <c r="C764" i="18"/>
  <c r="D764" i="18"/>
  <c r="E764" i="18"/>
  <c r="G764" i="18"/>
  <c r="H764" i="18"/>
  <c r="A765" i="18"/>
  <c r="B765" i="18"/>
  <c r="C765" i="18"/>
  <c r="D765" i="18"/>
  <c r="E765" i="18"/>
  <c r="G765" i="18"/>
  <c r="H765" i="18"/>
  <c r="A766" i="18"/>
  <c r="B766" i="18"/>
  <c r="C766" i="18"/>
  <c r="D766" i="18"/>
  <c r="E766" i="18"/>
  <c r="G766" i="18"/>
  <c r="H766" i="18"/>
  <c r="A767" i="18"/>
  <c r="B767" i="18"/>
  <c r="C767" i="18"/>
  <c r="D767" i="18"/>
  <c r="E767" i="18"/>
  <c r="G767" i="18"/>
  <c r="H767" i="18"/>
  <c r="A768" i="18"/>
  <c r="B768" i="18"/>
  <c r="C768" i="18"/>
  <c r="D768" i="18"/>
  <c r="E768" i="18"/>
  <c r="G768" i="18"/>
  <c r="H768" i="18"/>
  <c r="A769" i="18"/>
  <c r="B769" i="18"/>
  <c r="C769" i="18"/>
  <c r="D769" i="18"/>
  <c r="E769" i="18"/>
  <c r="G769" i="18"/>
  <c r="H769" i="18"/>
  <c r="A770" i="18"/>
  <c r="B770" i="18"/>
  <c r="C770" i="18"/>
  <c r="D770" i="18"/>
  <c r="E770" i="18"/>
  <c r="G770" i="18"/>
  <c r="H770" i="18"/>
  <c r="A771" i="18"/>
  <c r="B771" i="18"/>
  <c r="C771" i="18"/>
  <c r="D771" i="18"/>
  <c r="E771" i="18"/>
  <c r="G771" i="18"/>
  <c r="H771" i="18"/>
  <c r="A772" i="18"/>
  <c r="B772" i="18"/>
  <c r="C772" i="18"/>
  <c r="D772" i="18"/>
  <c r="E772" i="18"/>
  <c r="G772" i="18"/>
  <c r="H772" i="18"/>
  <c r="A773" i="18"/>
  <c r="B773" i="18"/>
  <c r="C773" i="18"/>
  <c r="D773" i="18"/>
  <c r="E773" i="18"/>
  <c r="G773" i="18"/>
  <c r="H773" i="18"/>
  <c r="A774" i="18"/>
  <c r="B774" i="18"/>
  <c r="C774" i="18"/>
  <c r="D774" i="18"/>
  <c r="E774" i="18"/>
  <c r="G774" i="18"/>
  <c r="H774" i="18"/>
  <c r="A775" i="18"/>
  <c r="B775" i="18"/>
  <c r="C775" i="18"/>
  <c r="D775" i="18"/>
  <c r="E775" i="18"/>
  <c r="G775" i="18"/>
  <c r="H775" i="18"/>
  <c r="A776" i="18"/>
  <c r="B776" i="18"/>
  <c r="C776" i="18"/>
  <c r="D776" i="18"/>
  <c r="E776" i="18"/>
  <c r="G776" i="18"/>
  <c r="H776" i="18"/>
  <c r="A777" i="18"/>
  <c r="B777" i="18"/>
  <c r="C777" i="18"/>
  <c r="D777" i="18"/>
  <c r="E777" i="18"/>
  <c r="G777" i="18"/>
  <c r="H777" i="18"/>
  <c r="A778" i="18"/>
  <c r="B778" i="18"/>
  <c r="C778" i="18"/>
  <c r="D778" i="18"/>
  <c r="E778" i="18"/>
  <c r="G778" i="18"/>
  <c r="H778" i="18"/>
  <c r="A779" i="18"/>
  <c r="B779" i="18"/>
  <c r="C779" i="18"/>
  <c r="D779" i="18"/>
  <c r="E779" i="18"/>
  <c r="G779" i="18"/>
  <c r="H779" i="18"/>
  <c r="A780" i="18"/>
  <c r="B780" i="18"/>
  <c r="C780" i="18"/>
  <c r="D780" i="18"/>
  <c r="E780" i="18"/>
  <c r="G780" i="18"/>
  <c r="H780" i="18"/>
  <c r="A781" i="18"/>
  <c r="B781" i="18"/>
  <c r="C781" i="18"/>
  <c r="D781" i="18"/>
  <c r="E781" i="18"/>
  <c r="G781" i="18"/>
  <c r="H781" i="18"/>
  <c r="A782" i="18"/>
  <c r="B782" i="18"/>
  <c r="C782" i="18"/>
  <c r="D782" i="18"/>
  <c r="E782" i="18"/>
  <c r="G782" i="18"/>
  <c r="H782" i="18"/>
  <c r="A783" i="18"/>
  <c r="B783" i="18"/>
  <c r="C783" i="18"/>
  <c r="D783" i="18"/>
  <c r="E783" i="18"/>
  <c r="G783" i="18"/>
  <c r="H783" i="18"/>
  <c r="A784" i="18"/>
  <c r="B784" i="18"/>
  <c r="C784" i="18"/>
  <c r="D784" i="18"/>
  <c r="E784" i="18"/>
  <c r="G784" i="18"/>
  <c r="H784" i="18"/>
  <c r="A785" i="18"/>
  <c r="B785" i="18"/>
  <c r="C785" i="18"/>
  <c r="D785" i="18"/>
  <c r="E785" i="18"/>
  <c r="G785" i="18"/>
  <c r="H785" i="18"/>
  <c r="A786" i="18"/>
  <c r="B786" i="18"/>
  <c r="C786" i="18"/>
  <c r="D786" i="18"/>
  <c r="E786" i="18"/>
  <c r="G786" i="18"/>
  <c r="H786" i="18"/>
  <c r="A787" i="18"/>
  <c r="B787" i="18"/>
  <c r="C787" i="18"/>
  <c r="D787" i="18"/>
  <c r="E787" i="18"/>
  <c r="G787" i="18"/>
  <c r="H787" i="18"/>
  <c r="A788" i="18"/>
  <c r="B788" i="18"/>
  <c r="C788" i="18"/>
  <c r="D788" i="18"/>
  <c r="E788" i="18"/>
  <c r="G788" i="18"/>
  <c r="H788" i="18"/>
  <c r="A789" i="18"/>
  <c r="B789" i="18"/>
  <c r="C789" i="18"/>
  <c r="D789" i="18"/>
  <c r="E789" i="18"/>
  <c r="G789" i="18"/>
  <c r="H789" i="18"/>
  <c r="A790" i="18"/>
  <c r="B790" i="18"/>
  <c r="C790" i="18"/>
  <c r="D790" i="18"/>
  <c r="E790" i="18"/>
  <c r="G790" i="18"/>
  <c r="H790" i="18"/>
  <c r="A791" i="18"/>
  <c r="B791" i="18"/>
  <c r="C791" i="18"/>
  <c r="D791" i="18"/>
  <c r="E791" i="18"/>
  <c r="G791" i="18"/>
  <c r="H791" i="18"/>
  <c r="A792" i="18"/>
  <c r="B792" i="18"/>
  <c r="C792" i="18"/>
  <c r="D792" i="18"/>
  <c r="E792" i="18"/>
  <c r="G792" i="18"/>
  <c r="H792" i="18"/>
  <c r="A793" i="18"/>
  <c r="B793" i="18"/>
  <c r="C793" i="18"/>
  <c r="D793" i="18"/>
  <c r="E793" i="18"/>
  <c r="G793" i="18"/>
  <c r="H793" i="18"/>
  <c r="A794" i="18"/>
  <c r="B794" i="18"/>
  <c r="C794" i="18"/>
  <c r="D794" i="18"/>
  <c r="E794" i="18"/>
  <c r="G794" i="18"/>
  <c r="H794" i="18"/>
  <c r="A795" i="18"/>
  <c r="B795" i="18"/>
  <c r="C795" i="18"/>
  <c r="D795" i="18"/>
  <c r="E795" i="18"/>
  <c r="G795" i="18"/>
  <c r="H795" i="18"/>
  <c r="A796" i="18"/>
  <c r="B796" i="18"/>
  <c r="C796" i="18"/>
  <c r="D796" i="18"/>
  <c r="E796" i="18"/>
  <c r="G796" i="18"/>
  <c r="H796" i="18"/>
  <c r="A797" i="18"/>
  <c r="B797" i="18"/>
  <c r="C797" i="18"/>
  <c r="D797" i="18"/>
  <c r="E797" i="18"/>
  <c r="G797" i="18"/>
  <c r="H797" i="18"/>
  <c r="A798" i="18"/>
  <c r="B798" i="18"/>
  <c r="C798" i="18"/>
  <c r="D798" i="18"/>
  <c r="E798" i="18"/>
  <c r="G798" i="18"/>
  <c r="H798" i="18"/>
  <c r="A799" i="18"/>
  <c r="B799" i="18"/>
  <c r="C799" i="18"/>
  <c r="D799" i="18"/>
  <c r="E799" i="18"/>
  <c r="G799" i="18"/>
  <c r="H799" i="18"/>
  <c r="A800" i="18"/>
  <c r="B800" i="18"/>
  <c r="C800" i="18"/>
  <c r="D800" i="18"/>
  <c r="E800" i="18"/>
  <c r="G800" i="18"/>
  <c r="H800" i="18"/>
  <c r="A801" i="18"/>
  <c r="B801" i="18"/>
  <c r="C801" i="18"/>
  <c r="D801" i="18"/>
  <c r="E801" i="18"/>
  <c r="G801" i="18"/>
  <c r="H801" i="18"/>
  <c r="A802" i="18"/>
  <c r="B802" i="18"/>
  <c r="C802" i="18"/>
  <c r="D802" i="18"/>
  <c r="E802" i="18"/>
  <c r="G802" i="18"/>
  <c r="H802" i="18"/>
  <c r="A803" i="18"/>
  <c r="B803" i="18"/>
  <c r="C803" i="18"/>
  <c r="D803" i="18"/>
  <c r="E803" i="18"/>
  <c r="G803" i="18"/>
  <c r="H803" i="18"/>
  <c r="A804" i="18"/>
  <c r="B804" i="18"/>
  <c r="C804" i="18"/>
  <c r="D804" i="18"/>
  <c r="E804" i="18"/>
  <c r="G804" i="18"/>
  <c r="H804" i="18"/>
  <c r="A805" i="18"/>
  <c r="B805" i="18"/>
  <c r="C805" i="18"/>
  <c r="D805" i="18"/>
  <c r="E805" i="18"/>
  <c r="G805" i="18"/>
  <c r="H805" i="18"/>
  <c r="A806" i="18"/>
  <c r="B806" i="18"/>
  <c r="C806" i="18"/>
  <c r="D806" i="18"/>
  <c r="E806" i="18"/>
  <c r="G806" i="18"/>
  <c r="H806" i="18"/>
  <c r="A807" i="18"/>
  <c r="B807" i="18"/>
  <c r="C807" i="18"/>
  <c r="D807" i="18"/>
  <c r="E807" i="18"/>
  <c r="G807" i="18"/>
  <c r="H807" i="18"/>
  <c r="A808" i="18"/>
  <c r="B808" i="18"/>
  <c r="C808" i="18"/>
  <c r="D808" i="18"/>
  <c r="E808" i="18"/>
  <c r="G808" i="18"/>
  <c r="H808" i="18"/>
  <c r="A809" i="18"/>
  <c r="B809" i="18"/>
  <c r="C809" i="18"/>
  <c r="D809" i="18"/>
  <c r="E809" i="18"/>
  <c r="G809" i="18"/>
  <c r="H809" i="18"/>
  <c r="A810" i="18"/>
  <c r="B810" i="18"/>
  <c r="C810" i="18"/>
  <c r="D810" i="18"/>
  <c r="E810" i="18"/>
  <c r="G810" i="18"/>
  <c r="H810" i="18"/>
  <c r="A811" i="18"/>
  <c r="B811" i="18"/>
  <c r="C811" i="18"/>
  <c r="D811" i="18"/>
  <c r="E811" i="18"/>
  <c r="G811" i="18"/>
  <c r="H811" i="18"/>
  <c r="A812" i="18"/>
  <c r="B812" i="18"/>
  <c r="C812" i="18"/>
  <c r="D812" i="18"/>
  <c r="E812" i="18"/>
  <c r="G812" i="18"/>
  <c r="H812" i="18"/>
  <c r="A813" i="18"/>
  <c r="B813" i="18"/>
  <c r="C813" i="18"/>
  <c r="D813" i="18"/>
  <c r="E813" i="18"/>
  <c r="G813" i="18"/>
  <c r="H813" i="18"/>
  <c r="A814" i="18"/>
  <c r="B814" i="18"/>
  <c r="C814" i="18"/>
  <c r="D814" i="18"/>
  <c r="E814" i="18"/>
  <c r="G814" i="18"/>
  <c r="H814" i="18"/>
  <c r="A815" i="18"/>
  <c r="B815" i="18"/>
  <c r="C815" i="18"/>
  <c r="D815" i="18"/>
  <c r="E815" i="18"/>
  <c r="G815" i="18"/>
  <c r="H815" i="18"/>
  <c r="A816" i="18"/>
  <c r="B816" i="18"/>
  <c r="C816" i="18"/>
  <c r="D816" i="18"/>
  <c r="E816" i="18"/>
  <c r="G816" i="18"/>
  <c r="H816" i="18"/>
  <c r="A817" i="18"/>
  <c r="B817" i="18"/>
  <c r="C817" i="18"/>
  <c r="D817" i="18"/>
  <c r="E817" i="18"/>
  <c r="G817" i="18"/>
  <c r="H817" i="18"/>
  <c r="A818" i="18"/>
  <c r="B818" i="18"/>
  <c r="C818" i="18"/>
  <c r="D818" i="18"/>
  <c r="E818" i="18"/>
  <c r="G818" i="18"/>
  <c r="H818" i="18"/>
  <c r="A819" i="18"/>
  <c r="B819" i="18"/>
  <c r="C819" i="18"/>
  <c r="D819" i="18"/>
  <c r="E819" i="18"/>
  <c r="G819" i="18"/>
  <c r="H819" i="18"/>
  <c r="A820" i="18"/>
  <c r="B820" i="18"/>
  <c r="C820" i="18"/>
  <c r="D820" i="18"/>
  <c r="E820" i="18"/>
  <c r="G820" i="18"/>
  <c r="H820" i="18"/>
  <c r="A821" i="18"/>
  <c r="B821" i="18"/>
  <c r="C821" i="18"/>
  <c r="D821" i="18"/>
  <c r="E821" i="18"/>
  <c r="G821" i="18"/>
  <c r="H821" i="18"/>
  <c r="A822" i="18"/>
  <c r="B822" i="18"/>
  <c r="C822" i="18"/>
  <c r="D822" i="18"/>
  <c r="E822" i="18"/>
  <c r="G822" i="18"/>
  <c r="H822" i="18"/>
  <c r="A823" i="18"/>
  <c r="B823" i="18"/>
  <c r="C823" i="18"/>
  <c r="D823" i="18"/>
  <c r="E823" i="18"/>
  <c r="G823" i="18"/>
  <c r="H823" i="18"/>
  <c r="A824" i="18"/>
  <c r="B824" i="18"/>
  <c r="C824" i="18"/>
  <c r="D824" i="18"/>
  <c r="E824" i="18"/>
  <c r="G824" i="18"/>
  <c r="H824" i="18"/>
  <c r="A825" i="18"/>
  <c r="B825" i="18"/>
  <c r="C825" i="18"/>
  <c r="D825" i="18"/>
  <c r="E825" i="18"/>
  <c r="G825" i="18"/>
  <c r="H825" i="18"/>
  <c r="A826" i="18"/>
  <c r="B826" i="18"/>
  <c r="C826" i="18"/>
  <c r="D826" i="18"/>
  <c r="E826" i="18"/>
  <c r="G826" i="18"/>
  <c r="H826" i="18"/>
  <c r="A827" i="18"/>
  <c r="B827" i="18"/>
  <c r="C827" i="18"/>
  <c r="D827" i="18"/>
  <c r="E827" i="18"/>
  <c r="G827" i="18"/>
  <c r="H827" i="18"/>
  <c r="A828" i="18"/>
  <c r="B828" i="18"/>
  <c r="C828" i="18"/>
  <c r="D828" i="18"/>
  <c r="E828" i="18"/>
  <c r="G828" i="18"/>
  <c r="H828" i="18"/>
  <c r="A829" i="18"/>
  <c r="B829" i="18"/>
  <c r="C829" i="18"/>
  <c r="D829" i="18"/>
  <c r="E829" i="18"/>
  <c r="G829" i="18"/>
  <c r="H829" i="18"/>
  <c r="A830" i="18"/>
  <c r="B830" i="18"/>
  <c r="C830" i="18"/>
  <c r="D830" i="18"/>
  <c r="E830" i="18"/>
  <c r="G830" i="18"/>
  <c r="H830" i="18"/>
  <c r="A831" i="18"/>
  <c r="B831" i="18"/>
  <c r="C831" i="18"/>
  <c r="D831" i="18"/>
  <c r="E831" i="18"/>
  <c r="G831" i="18"/>
  <c r="H831" i="18"/>
  <c r="A832" i="18"/>
  <c r="B832" i="18"/>
  <c r="C832" i="18"/>
  <c r="D832" i="18"/>
  <c r="E832" i="18"/>
  <c r="G832" i="18"/>
  <c r="H832" i="18"/>
  <c r="A833" i="18"/>
  <c r="B833" i="18"/>
  <c r="C833" i="18"/>
  <c r="D833" i="18"/>
  <c r="E833" i="18"/>
  <c r="G833" i="18"/>
  <c r="H833" i="18"/>
  <c r="A834" i="18"/>
  <c r="B834" i="18"/>
  <c r="C834" i="18"/>
  <c r="D834" i="18"/>
  <c r="E834" i="18"/>
  <c r="G834" i="18"/>
  <c r="H834" i="18"/>
  <c r="A835" i="18"/>
  <c r="B835" i="18"/>
  <c r="C835" i="18"/>
  <c r="D835" i="18"/>
  <c r="E835" i="18"/>
  <c r="G835" i="18"/>
  <c r="H835" i="18"/>
  <c r="A836" i="18"/>
  <c r="B836" i="18"/>
  <c r="C836" i="18"/>
  <c r="D836" i="18"/>
  <c r="E836" i="18"/>
  <c r="G836" i="18"/>
  <c r="H836" i="18"/>
  <c r="A837" i="18"/>
  <c r="B837" i="18"/>
  <c r="C837" i="18"/>
  <c r="D837" i="18"/>
  <c r="E837" i="18"/>
  <c r="G837" i="18"/>
  <c r="H837" i="18"/>
  <c r="A838" i="18"/>
  <c r="B838" i="18"/>
  <c r="C838" i="18"/>
  <c r="D838" i="18"/>
  <c r="E838" i="18"/>
  <c r="G838" i="18"/>
  <c r="H838" i="18"/>
  <c r="A839" i="18"/>
  <c r="B839" i="18"/>
  <c r="C839" i="18"/>
  <c r="D839" i="18"/>
  <c r="E839" i="18"/>
  <c r="G839" i="18"/>
  <c r="H839" i="18"/>
  <c r="A840" i="18"/>
  <c r="B840" i="18"/>
  <c r="C840" i="18"/>
  <c r="D840" i="18"/>
  <c r="E840" i="18"/>
  <c r="G840" i="18"/>
  <c r="H840" i="18"/>
  <c r="A841" i="18"/>
  <c r="B841" i="18"/>
  <c r="C841" i="18"/>
  <c r="D841" i="18"/>
  <c r="E841" i="18"/>
  <c r="G841" i="18"/>
  <c r="H841" i="18"/>
  <c r="A842" i="18"/>
  <c r="B842" i="18"/>
  <c r="C842" i="18"/>
  <c r="D842" i="18"/>
  <c r="E842" i="18"/>
  <c r="G842" i="18"/>
  <c r="H842" i="18"/>
  <c r="A843" i="18"/>
  <c r="B843" i="18"/>
  <c r="C843" i="18"/>
  <c r="D843" i="18"/>
  <c r="E843" i="18"/>
  <c r="G843" i="18"/>
  <c r="H843" i="18"/>
  <c r="A844" i="18"/>
  <c r="B844" i="18"/>
  <c r="C844" i="18"/>
  <c r="D844" i="18"/>
  <c r="E844" i="18"/>
  <c r="G844" i="18"/>
  <c r="H844" i="18"/>
  <c r="A845" i="18"/>
  <c r="B845" i="18"/>
  <c r="C845" i="18"/>
  <c r="D845" i="18"/>
  <c r="E845" i="18"/>
  <c r="G845" i="18"/>
  <c r="H845" i="18"/>
  <c r="A846" i="18"/>
  <c r="B846" i="18"/>
  <c r="C846" i="18"/>
  <c r="D846" i="18"/>
  <c r="E846" i="18"/>
  <c r="G846" i="18"/>
  <c r="H846" i="18"/>
  <c r="A847" i="18"/>
  <c r="B847" i="18"/>
  <c r="C847" i="18"/>
  <c r="D847" i="18"/>
  <c r="E847" i="18"/>
  <c r="G847" i="18"/>
  <c r="H847" i="18"/>
  <c r="A848" i="18"/>
  <c r="B848" i="18"/>
  <c r="C848" i="18"/>
  <c r="D848" i="18"/>
  <c r="E848" i="18"/>
  <c r="G848" i="18"/>
  <c r="H848" i="18"/>
  <c r="A849" i="18"/>
  <c r="B849" i="18"/>
  <c r="C849" i="18"/>
  <c r="D849" i="18"/>
  <c r="E849" i="18"/>
  <c r="G849" i="18"/>
  <c r="H849" i="18"/>
  <c r="A850" i="18"/>
  <c r="B850" i="18"/>
  <c r="C850" i="18"/>
  <c r="D850" i="18"/>
  <c r="E850" i="18"/>
  <c r="G850" i="18"/>
  <c r="H850" i="18"/>
  <c r="A851" i="18"/>
  <c r="B851" i="18"/>
  <c r="C851" i="18"/>
  <c r="D851" i="18"/>
  <c r="E851" i="18"/>
  <c r="G851" i="18"/>
  <c r="H851" i="18"/>
  <c r="A852" i="18"/>
  <c r="B852" i="18"/>
  <c r="C852" i="18"/>
  <c r="D852" i="18"/>
  <c r="E852" i="18"/>
  <c r="G852" i="18"/>
  <c r="H852" i="18"/>
  <c r="A853" i="18"/>
  <c r="B853" i="18"/>
  <c r="C853" i="18"/>
  <c r="D853" i="18"/>
  <c r="E853" i="18"/>
  <c r="G853" i="18"/>
  <c r="H853" i="18"/>
  <c r="A854" i="18"/>
  <c r="B854" i="18"/>
  <c r="C854" i="18"/>
  <c r="D854" i="18"/>
  <c r="E854" i="18"/>
  <c r="G854" i="18"/>
  <c r="H854" i="18"/>
  <c r="A855" i="18"/>
  <c r="B855" i="18"/>
  <c r="C855" i="18"/>
  <c r="D855" i="18"/>
  <c r="E855" i="18"/>
  <c r="G855" i="18"/>
  <c r="H855" i="18"/>
  <c r="A856" i="18"/>
  <c r="B856" i="18"/>
  <c r="C856" i="18"/>
  <c r="D856" i="18"/>
  <c r="E856" i="18"/>
  <c r="G856" i="18"/>
  <c r="H856" i="18"/>
  <c r="A857" i="18"/>
  <c r="B857" i="18"/>
  <c r="C857" i="18"/>
  <c r="D857" i="18"/>
  <c r="E857" i="18"/>
  <c r="G857" i="18"/>
  <c r="H857" i="18"/>
  <c r="A858" i="18"/>
  <c r="B858" i="18"/>
  <c r="C858" i="18"/>
  <c r="D858" i="18"/>
  <c r="E858" i="18"/>
  <c r="G858" i="18"/>
  <c r="H858" i="18"/>
  <c r="A859" i="18"/>
  <c r="B859" i="18"/>
  <c r="C859" i="18"/>
  <c r="D859" i="18"/>
  <c r="E859" i="18"/>
  <c r="G859" i="18"/>
  <c r="H859" i="18"/>
  <c r="A860" i="18"/>
  <c r="B860" i="18"/>
  <c r="C860" i="18"/>
  <c r="D860" i="18"/>
  <c r="E860" i="18"/>
  <c r="G860" i="18"/>
  <c r="H860" i="18"/>
  <c r="A861" i="18"/>
  <c r="B861" i="18"/>
  <c r="C861" i="18"/>
  <c r="D861" i="18"/>
  <c r="E861" i="18"/>
  <c r="G861" i="18"/>
  <c r="H861" i="18"/>
  <c r="A862" i="18"/>
  <c r="B862" i="18"/>
  <c r="C862" i="18"/>
  <c r="D862" i="18"/>
  <c r="E862" i="18"/>
  <c r="G862" i="18"/>
  <c r="H862" i="18"/>
  <c r="A863" i="18"/>
  <c r="B863" i="18"/>
  <c r="C863" i="18"/>
  <c r="D863" i="18"/>
  <c r="E863" i="18"/>
  <c r="G863" i="18"/>
  <c r="H863" i="18"/>
  <c r="A864" i="18"/>
  <c r="B864" i="18"/>
  <c r="C864" i="18"/>
  <c r="D864" i="18"/>
  <c r="E864" i="18"/>
  <c r="G864" i="18"/>
  <c r="H864" i="18"/>
  <c r="A865" i="18"/>
  <c r="B865" i="18"/>
  <c r="C865" i="18"/>
  <c r="D865" i="18"/>
  <c r="E865" i="18"/>
  <c r="G865" i="18"/>
  <c r="H865" i="18"/>
  <c r="A866" i="18"/>
  <c r="B866" i="18"/>
  <c r="C866" i="18"/>
  <c r="D866" i="18"/>
  <c r="E866" i="18"/>
  <c r="G866" i="18"/>
  <c r="H866" i="18"/>
  <c r="A867" i="18"/>
  <c r="B867" i="18"/>
  <c r="C867" i="18"/>
  <c r="D867" i="18"/>
  <c r="E867" i="18"/>
  <c r="G867" i="18"/>
  <c r="H867" i="18"/>
  <c r="A868" i="18"/>
  <c r="B868" i="18"/>
  <c r="C868" i="18"/>
  <c r="D868" i="18"/>
  <c r="E868" i="18"/>
  <c r="G868" i="18"/>
  <c r="H868" i="18"/>
  <c r="A869" i="18"/>
  <c r="B869" i="18"/>
  <c r="C869" i="18"/>
  <c r="D869" i="18"/>
  <c r="E869" i="18"/>
  <c r="G869" i="18"/>
  <c r="H869" i="18"/>
  <c r="A870" i="18"/>
  <c r="B870" i="18"/>
  <c r="C870" i="18"/>
  <c r="D870" i="18"/>
  <c r="E870" i="18"/>
  <c r="G870" i="18"/>
  <c r="H870" i="18"/>
  <c r="A871" i="18"/>
  <c r="B871" i="18"/>
  <c r="C871" i="18"/>
  <c r="D871" i="18"/>
  <c r="E871" i="18"/>
  <c r="G871" i="18"/>
  <c r="H871" i="18"/>
  <c r="A872" i="18"/>
  <c r="B872" i="18"/>
  <c r="C872" i="18"/>
  <c r="D872" i="18"/>
  <c r="E872" i="18"/>
  <c r="G872" i="18"/>
  <c r="H872" i="18"/>
  <c r="A873" i="18"/>
  <c r="B873" i="18"/>
  <c r="C873" i="18"/>
  <c r="D873" i="18"/>
  <c r="E873" i="18"/>
  <c r="G873" i="18"/>
  <c r="H873" i="18"/>
  <c r="A874" i="18"/>
  <c r="B874" i="18"/>
  <c r="C874" i="18"/>
  <c r="D874" i="18"/>
  <c r="E874" i="18"/>
  <c r="G874" i="18"/>
  <c r="H874" i="18"/>
  <c r="A875" i="18"/>
  <c r="B875" i="18"/>
  <c r="C875" i="18"/>
  <c r="D875" i="18"/>
  <c r="E875" i="18"/>
  <c r="G875" i="18"/>
  <c r="H875" i="18"/>
  <c r="A876" i="18"/>
  <c r="B876" i="18"/>
  <c r="C876" i="18"/>
  <c r="D876" i="18"/>
  <c r="E876" i="18"/>
  <c r="G876" i="18"/>
  <c r="H876" i="18"/>
  <c r="A877" i="18"/>
  <c r="B877" i="18"/>
  <c r="C877" i="18"/>
  <c r="D877" i="18"/>
  <c r="E877" i="18"/>
  <c r="G877" i="18"/>
  <c r="H877" i="18"/>
  <c r="A878" i="18"/>
  <c r="B878" i="18"/>
  <c r="C878" i="18"/>
  <c r="D878" i="18"/>
  <c r="E878" i="18"/>
  <c r="G878" i="18"/>
  <c r="H878" i="18"/>
  <c r="A879" i="18"/>
  <c r="B879" i="18"/>
  <c r="C879" i="18"/>
  <c r="D879" i="18"/>
  <c r="E879" i="18"/>
  <c r="G879" i="18"/>
  <c r="H879" i="18"/>
  <c r="A880" i="18"/>
  <c r="B880" i="18"/>
  <c r="C880" i="18"/>
  <c r="D880" i="18"/>
  <c r="E880" i="18"/>
  <c r="G880" i="18"/>
  <c r="H880" i="18"/>
  <c r="A881" i="18"/>
  <c r="B881" i="18"/>
  <c r="C881" i="18"/>
  <c r="D881" i="18"/>
  <c r="E881" i="18"/>
  <c r="G881" i="18"/>
  <c r="H881" i="18"/>
  <c r="A882" i="18"/>
  <c r="B882" i="18"/>
  <c r="C882" i="18"/>
  <c r="D882" i="18"/>
  <c r="E882" i="18"/>
  <c r="G882" i="18"/>
  <c r="H882" i="18"/>
  <c r="A883" i="18"/>
  <c r="B883" i="18"/>
  <c r="C883" i="18"/>
  <c r="D883" i="18"/>
  <c r="E883" i="18"/>
  <c r="G883" i="18"/>
  <c r="H883" i="18"/>
  <c r="A884" i="18"/>
  <c r="B884" i="18"/>
  <c r="C884" i="18"/>
  <c r="D884" i="18"/>
  <c r="E884" i="18"/>
  <c r="G884" i="18"/>
  <c r="H884" i="18"/>
  <c r="A885" i="18"/>
  <c r="B885" i="18"/>
  <c r="C885" i="18"/>
  <c r="D885" i="18"/>
  <c r="E885" i="18"/>
  <c r="G885" i="18"/>
  <c r="H885" i="18"/>
  <c r="A886" i="18"/>
  <c r="B886" i="18"/>
  <c r="C886" i="18"/>
  <c r="D886" i="18"/>
  <c r="E886" i="18"/>
  <c r="G886" i="18"/>
  <c r="H886" i="18"/>
  <c r="A887" i="18"/>
  <c r="B887" i="18"/>
  <c r="C887" i="18"/>
  <c r="D887" i="18"/>
  <c r="E887" i="18"/>
  <c r="G887" i="18"/>
  <c r="H887" i="18"/>
  <c r="A888" i="18"/>
  <c r="B888" i="18"/>
  <c r="C888" i="18"/>
  <c r="D888" i="18"/>
  <c r="E888" i="18"/>
  <c r="G888" i="18"/>
  <c r="H888" i="18"/>
  <c r="A889" i="18"/>
  <c r="B889" i="18"/>
  <c r="C889" i="18"/>
  <c r="D889" i="18"/>
  <c r="E889" i="18"/>
  <c r="G889" i="18"/>
  <c r="H889" i="18"/>
  <c r="A890" i="18"/>
  <c r="B890" i="18"/>
  <c r="C890" i="18"/>
  <c r="D890" i="18"/>
  <c r="E890" i="18"/>
  <c r="G890" i="18"/>
  <c r="H890" i="18"/>
  <c r="A891" i="18"/>
  <c r="B891" i="18"/>
  <c r="C891" i="18"/>
  <c r="D891" i="18"/>
  <c r="E891" i="18"/>
  <c r="G891" i="18"/>
  <c r="H891" i="18"/>
  <c r="A892" i="18"/>
  <c r="B892" i="18"/>
  <c r="C892" i="18"/>
  <c r="D892" i="18"/>
  <c r="E892" i="18"/>
  <c r="G892" i="18"/>
  <c r="H892" i="18"/>
  <c r="A893" i="18"/>
  <c r="B893" i="18"/>
  <c r="C893" i="18"/>
  <c r="D893" i="18"/>
  <c r="E893" i="18"/>
  <c r="G893" i="18"/>
  <c r="H893" i="18"/>
  <c r="A894" i="18"/>
  <c r="B894" i="18"/>
  <c r="C894" i="18"/>
  <c r="D894" i="18"/>
  <c r="E894" i="18"/>
  <c r="G894" i="18"/>
  <c r="H894" i="18"/>
  <c r="A895" i="18"/>
  <c r="B895" i="18"/>
  <c r="C895" i="18"/>
  <c r="D895" i="18"/>
  <c r="E895" i="18"/>
  <c r="G895" i="18"/>
  <c r="H895" i="18"/>
  <c r="A896" i="18"/>
  <c r="B896" i="18"/>
  <c r="C896" i="18"/>
  <c r="D896" i="18"/>
  <c r="E896" i="18"/>
  <c r="G896" i="18"/>
  <c r="H896" i="18"/>
  <c r="A897" i="18"/>
  <c r="B897" i="18"/>
  <c r="C897" i="18"/>
  <c r="D897" i="18"/>
  <c r="E897" i="18"/>
  <c r="G897" i="18"/>
  <c r="H897" i="18"/>
  <c r="A898" i="18"/>
  <c r="B898" i="18"/>
  <c r="C898" i="18"/>
  <c r="D898" i="18"/>
  <c r="E898" i="18"/>
  <c r="G898" i="18"/>
  <c r="H898" i="18"/>
  <c r="A899" i="18"/>
  <c r="B899" i="18"/>
  <c r="C899" i="18"/>
  <c r="D899" i="18"/>
  <c r="E899" i="18"/>
  <c r="G899" i="18"/>
  <c r="H899" i="18"/>
  <c r="A900" i="18"/>
  <c r="B900" i="18"/>
  <c r="C900" i="18"/>
  <c r="D900" i="18"/>
  <c r="E900" i="18"/>
  <c r="G900" i="18"/>
  <c r="H900" i="18"/>
  <c r="A901" i="18"/>
  <c r="B901" i="18"/>
  <c r="C901" i="18"/>
  <c r="D901" i="18"/>
  <c r="E901" i="18"/>
  <c r="G901" i="18"/>
  <c r="H901" i="18"/>
  <c r="A902" i="18"/>
  <c r="B902" i="18"/>
  <c r="C902" i="18"/>
  <c r="D902" i="18"/>
  <c r="E902" i="18"/>
  <c r="G902" i="18"/>
  <c r="H902" i="18"/>
  <c r="A903" i="18"/>
  <c r="B903" i="18"/>
  <c r="C903" i="18"/>
  <c r="D903" i="18"/>
  <c r="E903" i="18"/>
  <c r="G903" i="18"/>
  <c r="H903" i="18"/>
  <c r="A904" i="18"/>
  <c r="B904" i="18"/>
  <c r="C904" i="18"/>
  <c r="D904" i="18"/>
  <c r="E904" i="18"/>
  <c r="G904" i="18"/>
  <c r="H904" i="18"/>
  <c r="A905" i="18"/>
  <c r="B905" i="18"/>
  <c r="C905" i="18"/>
  <c r="D905" i="18"/>
  <c r="E905" i="18"/>
  <c r="G905" i="18"/>
  <c r="H905" i="18"/>
  <c r="A906" i="18"/>
  <c r="B906" i="18"/>
  <c r="C906" i="18"/>
  <c r="D906" i="18"/>
  <c r="E906" i="18"/>
  <c r="G906" i="18"/>
  <c r="H906" i="18"/>
  <c r="A907" i="18"/>
  <c r="B907" i="18"/>
  <c r="C907" i="18"/>
  <c r="D907" i="18"/>
  <c r="E907" i="18"/>
  <c r="G907" i="18"/>
  <c r="H907" i="18"/>
  <c r="A908" i="18"/>
  <c r="B908" i="18"/>
  <c r="C908" i="18"/>
  <c r="D908" i="18"/>
  <c r="E908" i="18"/>
  <c r="G908" i="18"/>
  <c r="H908" i="18"/>
  <c r="A909" i="18"/>
  <c r="B909" i="18"/>
  <c r="C909" i="18"/>
  <c r="D909" i="18"/>
  <c r="E909" i="18"/>
  <c r="G909" i="18"/>
  <c r="H909" i="18"/>
  <c r="A910" i="18"/>
  <c r="B910" i="18"/>
  <c r="C910" i="18"/>
  <c r="D910" i="18"/>
  <c r="E910" i="18"/>
  <c r="G910" i="18"/>
  <c r="H910" i="18"/>
  <c r="A911" i="18"/>
  <c r="B911" i="18"/>
  <c r="C911" i="18"/>
  <c r="D911" i="18"/>
  <c r="E911" i="18"/>
  <c r="G911" i="18"/>
  <c r="H911" i="18"/>
  <c r="A912" i="18"/>
  <c r="B912" i="18"/>
  <c r="C912" i="18"/>
  <c r="D912" i="18"/>
  <c r="E912" i="18"/>
  <c r="G912" i="18"/>
  <c r="H912" i="18"/>
  <c r="A913" i="18"/>
  <c r="B913" i="18"/>
  <c r="C913" i="18"/>
  <c r="D913" i="18"/>
  <c r="E913" i="18"/>
  <c r="G913" i="18"/>
  <c r="H913" i="18"/>
  <c r="A914" i="18"/>
  <c r="B914" i="18"/>
  <c r="C914" i="18"/>
  <c r="D914" i="18"/>
  <c r="E914" i="18"/>
  <c r="G914" i="18"/>
  <c r="H914" i="18"/>
  <c r="A915" i="18"/>
  <c r="B915" i="18"/>
  <c r="C915" i="18"/>
  <c r="D915" i="18"/>
  <c r="E915" i="18"/>
  <c r="G915" i="18"/>
  <c r="H915" i="18"/>
  <c r="A916" i="18"/>
  <c r="B916" i="18"/>
  <c r="C916" i="18"/>
  <c r="D916" i="18"/>
  <c r="E916" i="18"/>
  <c r="G916" i="18"/>
  <c r="H916" i="18"/>
  <c r="A917" i="18"/>
  <c r="B917" i="18"/>
  <c r="C917" i="18"/>
  <c r="D917" i="18"/>
  <c r="E917" i="18"/>
  <c r="G917" i="18"/>
  <c r="H917" i="18"/>
  <c r="A918" i="18"/>
  <c r="B918" i="18"/>
  <c r="C918" i="18"/>
  <c r="D918" i="18"/>
  <c r="E918" i="18"/>
  <c r="G918" i="18"/>
  <c r="H918" i="18"/>
  <c r="A919" i="18"/>
  <c r="B919" i="18"/>
  <c r="C919" i="18"/>
  <c r="D919" i="18"/>
  <c r="E919" i="18"/>
  <c r="G919" i="18"/>
  <c r="H919" i="18"/>
  <c r="A920" i="18"/>
  <c r="B920" i="18"/>
  <c r="C920" i="18"/>
  <c r="D920" i="18"/>
  <c r="E920" i="18"/>
  <c r="G920" i="18"/>
  <c r="H920" i="18"/>
  <c r="A921" i="18"/>
  <c r="B921" i="18"/>
  <c r="C921" i="18"/>
  <c r="D921" i="18"/>
  <c r="E921" i="18"/>
  <c r="G921" i="18"/>
  <c r="H921" i="18"/>
  <c r="A922" i="18"/>
  <c r="B922" i="18"/>
  <c r="C922" i="18"/>
  <c r="D922" i="18"/>
  <c r="E922" i="18"/>
  <c r="G922" i="18"/>
  <c r="H922" i="18"/>
  <c r="A923" i="18"/>
  <c r="B923" i="18"/>
  <c r="C923" i="18"/>
  <c r="D923" i="18"/>
  <c r="E923" i="18"/>
  <c r="G923" i="18"/>
  <c r="H923" i="18"/>
  <c r="A924" i="18"/>
  <c r="B924" i="18"/>
  <c r="C924" i="18"/>
  <c r="D924" i="18"/>
  <c r="E924" i="18"/>
  <c r="G924" i="18"/>
  <c r="H924" i="18"/>
  <c r="A925" i="18"/>
  <c r="B925" i="18"/>
  <c r="C925" i="18"/>
  <c r="D925" i="18"/>
  <c r="E925" i="18"/>
  <c r="G925" i="18"/>
  <c r="H925" i="18"/>
  <c r="A926" i="18"/>
  <c r="B926" i="18"/>
  <c r="C926" i="18"/>
  <c r="D926" i="18"/>
  <c r="E926" i="18"/>
  <c r="G926" i="18"/>
  <c r="H926" i="18"/>
  <c r="A927" i="18"/>
  <c r="B927" i="18"/>
  <c r="C927" i="18"/>
  <c r="D927" i="18"/>
  <c r="E927" i="18"/>
  <c r="G927" i="18"/>
  <c r="H927" i="18"/>
  <c r="A928" i="18"/>
  <c r="B928" i="18"/>
  <c r="C928" i="18"/>
  <c r="D928" i="18"/>
  <c r="E928" i="18"/>
  <c r="G928" i="18"/>
  <c r="H928" i="18"/>
  <c r="A929" i="18"/>
  <c r="B929" i="18"/>
  <c r="C929" i="18"/>
  <c r="D929" i="18"/>
  <c r="E929" i="18"/>
  <c r="G929" i="18"/>
  <c r="H929" i="18"/>
  <c r="A930" i="18"/>
  <c r="B930" i="18"/>
  <c r="C930" i="18"/>
  <c r="D930" i="18"/>
  <c r="E930" i="18"/>
  <c r="G930" i="18"/>
  <c r="H930" i="18"/>
  <c r="A931" i="18"/>
  <c r="B931" i="18"/>
  <c r="C931" i="18"/>
  <c r="D931" i="18"/>
  <c r="E931" i="18"/>
  <c r="G931" i="18"/>
  <c r="H931" i="18"/>
  <c r="A932" i="18"/>
  <c r="B932" i="18"/>
  <c r="C932" i="18"/>
  <c r="D932" i="18"/>
  <c r="E932" i="18"/>
  <c r="G932" i="18"/>
  <c r="H932" i="18"/>
  <c r="A933" i="18"/>
  <c r="B933" i="18"/>
  <c r="C933" i="18"/>
  <c r="D933" i="18"/>
  <c r="E933" i="18"/>
  <c r="G933" i="18"/>
  <c r="H933" i="18"/>
  <c r="A934" i="18"/>
  <c r="B934" i="18"/>
  <c r="C934" i="18"/>
  <c r="D934" i="18"/>
  <c r="E934" i="18"/>
  <c r="G934" i="18"/>
  <c r="H934" i="18"/>
  <c r="A935" i="18"/>
  <c r="B935" i="18"/>
  <c r="C935" i="18"/>
  <c r="D935" i="18"/>
  <c r="E935" i="18"/>
  <c r="G935" i="18"/>
  <c r="H935" i="18"/>
  <c r="A936" i="18"/>
  <c r="B936" i="18"/>
  <c r="C936" i="18"/>
  <c r="D936" i="18"/>
  <c r="E936" i="18"/>
  <c r="G936" i="18"/>
  <c r="H936" i="18"/>
  <c r="A937" i="18"/>
  <c r="B937" i="18"/>
  <c r="C937" i="18"/>
  <c r="D937" i="18"/>
  <c r="E937" i="18"/>
  <c r="G937" i="18"/>
  <c r="H937" i="18"/>
  <c r="A938" i="18"/>
  <c r="B938" i="18"/>
  <c r="C938" i="18"/>
  <c r="D938" i="18"/>
  <c r="E938" i="18"/>
  <c r="G938" i="18"/>
  <c r="H938" i="18"/>
  <c r="A939" i="18"/>
  <c r="B939" i="18"/>
  <c r="C939" i="18"/>
  <c r="D939" i="18"/>
  <c r="E939" i="18"/>
  <c r="G939" i="18"/>
  <c r="H939" i="18"/>
  <c r="A940" i="18"/>
  <c r="B940" i="18"/>
  <c r="C940" i="18"/>
  <c r="D940" i="18"/>
  <c r="E940" i="18"/>
  <c r="G940" i="18"/>
  <c r="H940" i="18"/>
  <c r="A941" i="18"/>
  <c r="B941" i="18"/>
  <c r="C941" i="18"/>
  <c r="D941" i="18"/>
  <c r="E941" i="18"/>
  <c r="G941" i="18"/>
  <c r="H941" i="18"/>
  <c r="A942" i="18"/>
  <c r="B942" i="18"/>
  <c r="C942" i="18"/>
  <c r="D942" i="18"/>
  <c r="E942" i="18"/>
  <c r="G942" i="18"/>
  <c r="H942" i="18"/>
  <c r="A943" i="18"/>
  <c r="B943" i="18"/>
  <c r="C943" i="18"/>
  <c r="D943" i="18"/>
  <c r="E943" i="18"/>
  <c r="G943" i="18"/>
  <c r="H943" i="18"/>
  <c r="A944" i="18"/>
  <c r="B944" i="18"/>
  <c r="C944" i="18"/>
  <c r="D944" i="18"/>
  <c r="E944" i="18"/>
  <c r="G944" i="18"/>
  <c r="H944" i="18"/>
  <c r="A945" i="18"/>
  <c r="B945" i="18"/>
  <c r="C945" i="18"/>
  <c r="D945" i="18"/>
  <c r="E945" i="18"/>
  <c r="G945" i="18"/>
  <c r="H945" i="18"/>
  <c r="A946" i="18"/>
  <c r="B946" i="18"/>
  <c r="C946" i="18"/>
  <c r="D946" i="18"/>
  <c r="E946" i="18"/>
  <c r="G946" i="18"/>
  <c r="H946" i="18"/>
  <c r="A947" i="18"/>
  <c r="B947" i="18"/>
  <c r="C947" i="18"/>
  <c r="D947" i="18"/>
  <c r="E947" i="18"/>
  <c r="G947" i="18"/>
  <c r="H947" i="18"/>
  <c r="A948" i="18"/>
  <c r="B948" i="18"/>
  <c r="C948" i="18"/>
  <c r="D948" i="18"/>
  <c r="E948" i="18"/>
  <c r="G948" i="18"/>
  <c r="H948" i="18"/>
  <c r="A949" i="18"/>
  <c r="B949" i="18"/>
  <c r="C949" i="18"/>
  <c r="D949" i="18"/>
  <c r="E949" i="18"/>
  <c r="G949" i="18"/>
  <c r="H949" i="18"/>
  <c r="A950" i="18"/>
  <c r="B950" i="18"/>
  <c r="C950" i="18"/>
  <c r="D950" i="18"/>
  <c r="E950" i="18"/>
  <c r="G950" i="18"/>
  <c r="H950" i="18"/>
  <c r="A951" i="18"/>
  <c r="B951" i="18"/>
  <c r="C951" i="18"/>
  <c r="D951" i="18"/>
  <c r="E951" i="18"/>
  <c r="G951" i="18"/>
  <c r="H951" i="18"/>
  <c r="A952" i="18"/>
  <c r="B952" i="18"/>
  <c r="C952" i="18"/>
  <c r="D952" i="18"/>
  <c r="E952" i="18"/>
  <c r="G952" i="18"/>
  <c r="H952" i="18"/>
  <c r="A953" i="18"/>
  <c r="B953" i="18"/>
  <c r="C953" i="18"/>
  <c r="D953" i="18"/>
  <c r="E953" i="18"/>
  <c r="G953" i="18"/>
  <c r="H953" i="18"/>
  <c r="A954" i="18"/>
  <c r="B954" i="18"/>
  <c r="C954" i="18"/>
  <c r="D954" i="18"/>
  <c r="E954" i="18"/>
  <c r="G954" i="18"/>
  <c r="H954" i="18"/>
  <c r="A955" i="18"/>
  <c r="B955" i="18"/>
  <c r="C955" i="18"/>
  <c r="D955" i="18"/>
  <c r="E955" i="18"/>
  <c r="G955" i="18"/>
  <c r="H955" i="18"/>
  <c r="A956" i="18"/>
  <c r="B956" i="18"/>
  <c r="C956" i="18"/>
  <c r="D956" i="18"/>
  <c r="E956" i="18"/>
  <c r="G956" i="18"/>
  <c r="H956" i="18"/>
  <c r="A957" i="18"/>
  <c r="B957" i="18"/>
  <c r="C957" i="18"/>
  <c r="D957" i="18"/>
  <c r="E957" i="18"/>
  <c r="G957" i="18"/>
  <c r="H957" i="18"/>
  <c r="A958" i="18"/>
  <c r="B958" i="18"/>
  <c r="C958" i="18"/>
  <c r="D958" i="18"/>
  <c r="E958" i="18"/>
  <c r="G958" i="18"/>
  <c r="H958" i="18"/>
  <c r="A959" i="18"/>
  <c r="B959" i="18"/>
  <c r="C959" i="18"/>
  <c r="D959" i="18"/>
  <c r="E959" i="18"/>
  <c r="G959" i="18"/>
  <c r="H959" i="18"/>
  <c r="A960" i="18"/>
  <c r="B960" i="18"/>
  <c r="C960" i="18"/>
  <c r="D960" i="18"/>
  <c r="E960" i="18"/>
  <c r="G960" i="18"/>
  <c r="H960" i="18"/>
  <c r="A961" i="18"/>
  <c r="B961" i="18"/>
  <c r="C961" i="18"/>
  <c r="D961" i="18"/>
  <c r="E961" i="18"/>
  <c r="G961" i="18"/>
  <c r="H961" i="18"/>
  <c r="A962" i="18"/>
  <c r="B962" i="18"/>
  <c r="C962" i="18"/>
  <c r="D962" i="18"/>
  <c r="E962" i="18"/>
  <c r="G962" i="18"/>
  <c r="H962" i="18"/>
  <c r="A963" i="18"/>
  <c r="B963" i="18"/>
  <c r="C963" i="18"/>
  <c r="D963" i="18"/>
  <c r="E963" i="18"/>
  <c r="G963" i="18"/>
  <c r="H963" i="18"/>
  <c r="A964" i="18"/>
  <c r="B964" i="18"/>
  <c r="C964" i="18"/>
  <c r="D964" i="18"/>
  <c r="E964" i="18"/>
  <c r="G964" i="18"/>
  <c r="H964" i="18"/>
  <c r="A965" i="18"/>
  <c r="B965" i="18"/>
  <c r="C965" i="18"/>
  <c r="D965" i="18"/>
  <c r="E965" i="18"/>
  <c r="G965" i="18"/>
  <c r="H965" i="18"/>
  <c r="A966" i="18"/>
  <c r="B966" i="18"/>
  <c r="C966" i="18"/>
  <c r="D966" i="18"/>
  <c r="E966" i="18"/>
  <c r="G966" i="18"/>
  <c r="H966" i="18"/>
  <c r="A967" i="18"/>
  <c r="B967" i="18"/>
  <c r="C967" i="18"/>
  <c r="D967" i="18"/>
  <c r="E967" i="18"/>
  <c r="G967" i="18"/>
  <c r="H967" i="18"/>
  <c r="A968" i="18"/>
  <c r="B968" i="18"/>
  <c r="C968" i="18"/>
  <c r="D968" i="18"/>
  <c r="E968" i="18"/>
  <c r="G968" i="18"/>
  <c r="H968" i="18"/>
  <c r="A969" i="18"/>
  <c r="B969" i="18"/>
  <c r="C969" i="18"/>
  <c r="D969" i="18"/>
  <c r="E969" i="18"/>
  <c r="G969" i="18"/>
  <c r="H969" i="18"/>
  <c r="A970" i="18"/>
  <c r="B970" i="18"/>
  <c r="C970" i="18"/>
  <c r="D970" i="18"/>
  <c r="E970" i="18"/>
  <c r="G970" i="18"/>
  <c r="H970" i="18"/>
  <c r="A971" i="18"/>
  <c r="B971" i="18"/>
  <c r="C971" i="18"/>
  <c r="D971" i="18"/>
  <c r="E971" i="18"/>
  <c r="G971" i="18"/>
  <c r="H971" i="18"/>
  <c r="A972" i="18"/>
  <c r="B972" i="18"/>
  <c r="C972" i="18"/>
  <c r="D972" i="18"/>
  <c r="E972" i="18"/>
  <c r="G972" i="18"/>
  <c r="H972" i="18"/>
  <c r="A973" i="18"/>
  <c r="B973" i="18"/>
  <c r="C973" i="18"/>
  <c r="D973" i="18"/>
  <c r="E973" i="18"/>
  <c r="G973" i="18"/>
  <c r="H973" i="18"/>
  <c r="A974" i="18"/>
  <c r="B974" i="18"/>
  <c r="C974" i="18"/>
  <c r="D974" i="18"/>
  <c r="E974" i="18"/>
  <c r="G974" i="18"/>
  <c r="H974" i="18"/>
  <c r="A975" i="18"/>
  <c r="B975" i="18"/>
  <c r="C975" i="18"/>
  <c r="D975" i="18"/>
  <c r="E975" i="18"/>
  <c r="G975" i="18"/>
  <c r="H975" i="18"/>
  <c r="A976" i="18"/>
  <c r="B976" i="18"/>
  <c r="C976" i="18"/>
  <c r="D976" i="18"/>
  <c r="E976" i="18"/>
  <c r="G976" i="18"/>
  <c r="H976" i="18"/>
  <c r="A977" i="18"/>
  <c r="B977" i="18"/>
  <c r="C977" i="18"/>
  <c r="D977" i="18"/>
  <c r="E977" i="18"/>
  <c r="G977" i="18"/>
  <c r="H977" i="18"/>
  <c r="A978" i="18"/>
  <c r="B978" i="18"/>
  <c r="C978" i="18"/>
  <c r="D978" i="18"/>
  <c r="E978" i="18"/>
  <c r="G978" i="18"/>
  <c r="H978" i="18"/>
  <c r="A979" i="18"/>
  <c r="B979" i="18"/>
  <c r="C979" i="18"/>
  <c r="D979" i="18"/>
  <c r="E979" i="18"/>
  <c r="G979" i="18"/>
  <c r="H979" i="18"/>
  <c r="A980" i="18"/>
  <c r="B980" i="18"/>
  <c r="C980" i="18"/>
  <c r="D980" i="18"/>
  <c r="E980" i="18"/>
  <c r="G980" i="18"/>
  <c r="H980" i="18"/>
  <c r="A981" i="18"/>
  <c r="B981" i="18"/>
  <c r="C981" i="18"/>
  <c r="D981" i="18"/>
  <c r="E981" i="18"/>
  <c r="G981" i="18"/>
  <c r="H981" i="18"/>
  <c r="A982" i="18"/>
  <c r="B982" i="18"/>
  <c r="C982" i="18"/>
  <c r="D982" i="18"/>
  <c r="E982" i="18"/>
  <c r="G982" i="18"/>
  <c r="H982" i="18"/>
  <c r="A983" i="18"/>
  <c r="B983" i="18"/>
  <c r="C983" i="18"/>
  <c r="D983" i="18"/>
  <c r="E983" i="18"/>
  <c r="G983" i="18"/>
  <c r="H983" i="18"/>
  <c r="A984" i="18"/>
  <c r="B984" i="18"/>
  <c r="C984" i="18"/>
  <c r="D984" i="18"/>
  <c r="E984" i="18"/>
  <c r="G984" i="18"/>
  <c r="H984" i="18"/>
  <c r="A985" i="18"/>
  <c r="B985" i="18"/>
  <c r="C985" i="18"/>
  <c r="D985" i="18"/>
  <c r="E985" i="18"/>
  <c r="G985" i="18"/>
  <c r="H985" i="18"/>
  <c r="A986" i="18"/>
  <c r="B986" i="18"/>
  <c r="C986" i="18"/>
  <c r="D986" i="18"/>
  <c r="E986" i="18"/>
  <c r="G986" i="18"/>
  <c r="H986" i="18"/>
  <c r="A987" i="18"/>
  <c r="B987" i="18"/>
  <c r="C987" i="18"/>
  <c r="D987" i="18"/>
  <c r="E987" i="18"/>
  <c r="G987" i="18"/>
  <c r="H987" i="18"/>
  <c r="A988" i="18"/>
  <c r="B988" i="18"/>
  <c r="C988" i="18"/>
  <c r="D988" i="18"/>
  <c r="E988" i="18"/>
  <c r="G988" i="18"/>
  <c r="H988" i="18"/>
  <c r="A989" i="18"/>
  <c r="B989" i="18"/>
  <c r="C989" i="18"/>
  <c r="D989" i="18"/>
  <c r="E989" i="18"/>
  <c r="G989" i="18"/>
  <c r="H989" i="18"/>
  <c r="A990" i="18"/>
  <c r="B990" i="18"/>
  <c r="C990" i="18"/>
  <c r="D990" i="18"/>
  <c r="E990" i="18"/>
  <c r="G990" i="18"/>
  <c r="H990" i="18"/>
  <c r="A991" i="18"/>
  <c r="B991" i="18"/>
  <c r="C991" i="18"/>
  <c r="D991" i="18"/>
  <c r="E991" i="18"/>
  <c r="G991" i="18"/>
  <c r="H991" i="18"/>
  <c r="A992" i="18"/>
  <c r="B992" i="18"/>
  <c r="C992" i="18"/>
  <c r="D992" i="18"/>
  <c r="E992" i="18"/>
  <c r="G992" i="18"/>
  <c r="H992" i="18"/>
  <c r="A993" i="18"/>
  <c r="B993" i="18"/>
  <c r="C993" i="18"/>
  <c r="D993" i="18"/>
  <c r="E993" i="18"/>
  <c r="G993" i="18"/>
  <c r="H993" i="18"/>
  <c r="A994" i="18"/>
  <c r="B994" i="18"/>
  <c r="C994" i="18"/>
  <c r="D994" i="18"/>
  <c r="E994" i="18"/>
  <c r="G994" i="18"/>
  <c r="H994" i="18"/>
  <c r="A995" i="18"/>
  <c r="B995" i="18"/>
  <c r="C995" i="18"/>
  <c r="D995" i="18"/>
  <c r="E995" i="18"/>
  <c r="G995" i="18"/>
  <c r="H995" i="18"/>
  <c r="A996" i="18"/>
  <c r="B996" i="18"/>
  <c r="C996" i="18"/>
  <c r="D996" i="18"/>
  <c r="E996" i="18"/>
  <c r="G996" i="18"/>
  <c r="H996" i="18"/>
  <c r="A997" i="18"/>
  <c r="B997" i="18"/>
  <c r="C997" i="18"/>
  <c r="D997" i="18"/>
  <c r="E997" i="18"/>
  <c r="G997" i="18"/>
  <c r="H997" i="18"/>
  <c r="A998" i="18"/>
  <c r="B998" i="18"/>
  <c r="C998" i="18"/>
  <c r="D998" i="18"/>
  <c r="E998" i="18"/>
  <c r="G998" i="18"/>
  <c r="H998" i="18"/>
  <c r="A999" i="18"/>
  <c r="B999" i="18"/>
  <c r="C999" i="18"/>
  <c r="D999" i="18"/>
  <c r="E999" i="18"/>
  <c r="G999" i="18"/>
  <c r="H999" i="18"/>
  <c r="A1000" i="18"/>
  <c r="B1000" i="18"/>
  <c r="C1000" i="18"/>
  <c r="D1000" i="18"/>
  <c r="E1000" i="18"/>
  <c r="G1000" i="18"/>
  <c r="H1000" i="18"/>
  <c r="A1001" i="18"/>
  <c r="B1001" i="18"/>
  <c r="C1001" i="18"/>
  <c r="D1001" i="18"/>
  <c r="E1001" i="18"/>
  <c r="G1001" i="18"/>
  <c r="H1001" i="18"/>
  <c r="A1002" i="18"/>
  <c r="B1002" i="18"/>
  <c r="C1002" i="18"/>
  <c r="D1002" i="18"/>
  <c r="E1002" i="18"/>
  <c r="G1002" i="18"/>
  <c r="H1002" i="18"/>
  <c r="A1003" i="18"/>
  <c r="B1003" i="18"/>
  <c r="C1003" i="18"/>
  <c r="D1003" i="18"/>
  <c r="E1003" i="18"/>
  <c r="G1003" i="18"/>
  <c r="H1003" i="18"/>
  <c r="A1004" i="18"/>
  <c r="B1004" i="18"/>
  <c r="C1004" i="18"/>
  <c r="D1004" i="18"/>
  <c r="E1004" i="18"/>
  <c r="G1004" i="18"/>
  <c r="H1004" i="18"/>
  <c r="A1005" i="18"/>
  <c r="B1005" i="18"/>
  <c r="C1005" i="18"/>
  <c r="D1005" i="18"/>
  <c r="E1005" i="18"/>
  <c r="G1005" i="18"/>
  <c r="H1005" i="18"/>
  <c r="A1006" i="18"/>
  <c r="B1006" i="18"/>
  <c r="C1006" i="18"/>
  <c r="D1006" i="18"/>
  <c r="E1006" i="18"/>
  <c r="G1006" i="18"/>
  <c r="H1006" i="18"/>
  <c r="A1007" i="18"/>
  <c r="B1007" i="18"/>
  <c r="C1007" i="18"/>
  <c r="D1007" i="18"/>
  <c r="E1007" i="18"/>
  <c r="G1007" i="18"/>
  <c r="H1007" i="18"/>
  <c r="A1008" i="18"/>
  <c r="B1008" i="18"/>
  <c r="C1008" i="18"/>
  <c r="D1008" i="18"/>
  <c r="E1008" i="18"/>
  <c r="G1008" i="18"/>
  <c r="H1008" i="18"/>
  <c r="A1009" i="18"/>
  <c r="B1009" i="18"/>
  <c r="C1009" i="18"/>
  <c r="D1009" i="18"/>
  <c r="E1009" i="18"/>
  <c r="G1009" i="18"/>
  <c r="H1009" i="18"/>
  <c r="A1010" i="18"/>
  <c r="B1010" i="18"/>
  <c r="C1010" i="18"/>
  <c r="D1010" i="18"/>
  <c r="E1010" i="18"/>
  <c r="G1010" i="18"/>
  <c r="H1010" i="18"/>
  <c r="A1011" i="18"/>
  <c r="B1011" i="18"/>
  <c r="C1011" i="18"/>
  <c r="D1011" i="18"/>
  <c r="E1011" i="18"/>
  <c r="G1011" i="18"/>
  <c r="H1011" i="18"/>
  <c r="A1012" i="18"/>
  <c r="B1012" i="18"/>
  <c r="C1012" i="18"/>
  <c r="D1012" i="18"/>
  <c r="E1012" i="18"/>
  <c r="G1012" i="18"/>
  <c r="H1012" i="18"/>
  <c r="A1013" i="18"/>
  <c r="B1013" i="18"/>
  <c r="C1013" i="18"/>
  <c r="D1013" i="18"/>
  <c r="E1013" i="18"/>
  <c r="G1013" i="18"/>
  <c r="H1013" i="18"/>
  <c r="A1014" i="18"/>
  <c r="B1014" i="18"/>
  <c r="C1014" i="18"/>
  <c r="D1014" i="18"/>
  <c r="E1014" i="18"/>
  <c r="G1014" i="18"/>
  <c r="H1014" i="18"/>
  <c r="A1015" i="18"/>
  <c r="B1015" i="18"/>
  <c r="C1015" i="18"/>
  <c r="D1015" i="18"/>
  <c r="E1015" i="18"/>
  <c r="G1015" i="18"/>
  <c r="H1015" i="18"/>
  <c r="A1016" i="18"/>
  <c r="B1016" i="18"/>
  <c r="C1016" i="18"/>
  <c r="D1016" i="18"/>
  <c r="E1016" i="18"/>
  <c r="G1016" i="18"/>
  <c r="H1016" i="18"/>
  <c r="A1017" i="18"/>
  <c r="B1017" i="18"/>
  <c r="C1017" i="18"/>
  <c r="D1017" i="18"/>
  <c r="E1017" i="18"/>
  <c r="G1017" i="18"/>
  <c r="H1017" i="18"/>
  <c r="A1018" i="18"/>
  <c r="B1018" i="18"/>
  <c r="C1018" i="18"/>
  <c r="D1018" i="18"/>
  <c r="E1018" i="18"/>
  <c r="G1018" i="18"/>
  <c r="H1018" i="18"/>
  <c r="A1019" i="18"/>
  <c r="B1019" i="18"/>
  <c r="C1019" i="18"/>
  <c r="D1019" i="18"/>
  <c r="E1019" i="18"/>
  <c r="G1019" i="18"/>
  <c r="H1019" i="18"/>
  <c r="A1020" i="18"/>
  <c r="B1020" i="18"/>
  <c r="C1020" i="18"/>
  <c r="D1020" i="18"/>
  <c r="E1020" i="18"/>
  <c r="G1020" i="18"/>
  <c r="H1020" i="18"/>
  <c r="A1021" i="18"/>
  <c r="B1021" i="18"/>
  <c r="C1021" i="18"/>
  <c r="D1021" i="18"/>
  <c r="E1021" i="18"/>
  <c r="G1021" i="18"/>
  <c r="H1021" i="18"/>
  <c r="A1022" i="18"/>
  <c r="B1022" i="18"/>
  <c r="C1022" i="18"/>
  <c r="D1022" i="18"/>
  <c r="E1022" i="18"/>
  <c r="G1022" i="18"/>
  <c r="H1022" i="18"/>
  <c r="A1023" i="18"/>
  <c r="B1023" i="18"/>
  <c r="C1023" i="18"/>
  <c r="D1023" i="18"/>
  <c r="E1023" i="18"/>
  <c r="G1023" i="18"/>
  <c r="H1023" i="18"/>
  <c r="A1024" i="18"/>
  <c r="B1024" i="18"/>
  <c r="C1024" i="18"/>
  <c r="D1024" i="18"/>
  <c r="E1024" i="18"/>
  <c r="G1024" i="18"/>
  <c r="H1024" i="18"/>
  <c r="A1025" i="18"/>
  <c r="B1025" i="18"/>
  <c r="C1025" i="18"/>
  <c r="D1025" i="18"/>
  <c r="E1025" i="18"/>
  <c r="G1025" i="18"/>
  <c r="H1025" i="18"/>
  <c r="A1026" i="18"/>
  <c r="B1026" i="18"/>
  <c r="C1026" i="18"/>
  <c r="D1026" i="18"/>
  <c r="E1026" i="18"/>
  <c r="G1026" i="18"/>
  <c r="H1026" i="18"/>
  <c r="A1027" i="18"/>
  <c r="B1027" i="18"/>
  <c r="C1027" i="18"/>
  <c r="D1027" i="18"/>
  <c r="E1027" i="18"/>
  <c r="G1027" i="18"/>
  <c r="H1027" i="18"/>
  <c r="A1028" i="18"/>
  <c r="B1028" i="18"/>
  <c r="C1028" i="18"/>
  <c r="D1028" i="18"/>
  <c r="E1028" i="18"/>
  <c r="G1028" i="18"/>
  <c r="H1028" i="18"/>
  <c r="A1029" i="18"/>
  <c r="B1029" i="18"/>
  <c r="C1029" i="18"/>
  <c r="D1029" i="18"/>
  <c r="E1029" i="18"/>
  <c r="G1029" i="18"/>
  <c r="H1029" i="18"/>
  <c r="A1030" i="18"/>
  <c r="B1030" i="18"/>
  <c r="C1030" i="18"/>
  <c r="D1030" i="18"/>
  <c r="E1030" i="18"/>
  <c r="G1030" i="18"/>
  <c r="H1030" i="18"/>
  <c r="A1031" i="18"/>
  <c r="B1031" i="18"/>
  <c r="C1031" i="18"/>
  <c r="D1031" i="18"/>
  <c r="E1031" i="18"/>
  <c r="G1031" i="18"/>
  <c r="H1031" i="18"/>
  <c r="A1032" i="18"/>
  <c r="B1032" i="18"/>
  <c r="C1032" i="18"/>
  <c r="D1032" i="18"/>
  <c r="E1032" i="18"/>
  <c r="G1032" i="18"/>
  <c r="H1032" i="18"/>
  <c r="A1033" i="18"/>
  <c r="B1033" i="18"/>
  <c r="C1033" i="18"/>
  <c r="D1033" i="18"/>
  <c r="E1033" i="18"/>
  <c r="G1033" i="18"/>
  <c r="H1033" i="18"/>
  <c r="A1034" i="18"/>
  <c r="B1034" i="18"/>
  <c r="C1034" i="18"/>
  <c r="D1034" i="18"/>
  <c r="E1034" i="18"/>
  <c r="G1034" i="18"/>
  <c r="H1034" i="18"/>
  <c r="A1035" i="18"/>
  <c r="B1035" i="18"/>
  <c r="C1035" i="18"/>
  <c r="D1035" i="18"/>
  <c r="E1035" i="18"/>
  <c r="G1035" i="18"/>
  <c r="H1035" i="18"/>
  <c r="A1036" i="18"/>
  <c r="B1036" i="18"/>
  <c r="C1036" i="18"/>
  <c r="D1036" i="18"/>
  <c r="E1036" i="18"/>
  <c r="G1036" i="18"/>
  <c r="H1036" i="18"/>
  <c r="A1037" i="18"/>
  <c r="B1037" i="18"/>
  <c r="C1037" i="18"/>
  <c r="D1037" i="18"/>
  <c r="E1037" i="18"/>
  <c r="G1037" i="18"/>
  <c r="H1037" i="18"/>
  <c r="A1038" i="18"/>
  <c r="B1038" i="18"/>
  <c r="C1038" i="18"/>
  <c r="D1038" i="18"/>
  <c r="E1038" i="18"/>
  <c r="G1038" i="18"/>
  <c r="H1038" i="18"/>
  <c r="A1039" i="18"/>
  <c r="B1039" i="18"/>
  <c r="C1039" i="18"/>
  <c r="D1039" i="18"/>
  <c r="E1039" i="18"/>
  <c r="G1039" i="18"/>
  <c r="H1039" i="18"/>
  <c r="A1040" i="18"/>
  <c r="B1040" i="18"/>
  <c r="C1040" i="18"/>
  <c r="D1040" i="18"/>
  <c r="E1040" i="18"/>
  <c r="G1040" i="18"/>
  <c r="H1040" i="18"/>
  <c r="A1041" i="18"/>
  <c r="B1041" i="18"/>
  <c r="C1041" i="18"/>
  <c r="D1041" i="18"/>
  <c r="E1041" i="18"/>
  <c r="G1041" i="18"/>
  <c r="H1041" i="18"/>
  <c r="A1042" i="18"/>
  <c r="B1042" i="18"/>
  <c r="C1042" i="18"/>
  <c r="D1042" i="18"/>
  <c r="E1042" i="18"/>
  <c r="G1042" i="18"/>
  <c r="H1042" i="18"/>
  <c r="A1043" i="18"/>
  <c r="B1043" i="18"/>
  <c r="C1043" i="18"/>
  <c r="D1043" i="18"/>
  <c r="E1043" i="18"/>
  <c r="G1043" i="18"/>
  <c r="H1043" i="18"/>
  <c r="A1044" i="18"/>
  <c r="B1044" i="18"/>
  <c r="C1044" i="18"/>
  <c r="D1044" i="18"/>
  <c r="E1044" i="18"/>
  <c r="G1044" i="18"/>
  <c r="H1044" i="18"/>
  <c r="A1045" i="18"/>
  <c r="B1045" i="18"/>
  <c r="C1045" i="18"/>
  <c r="D1045" i="18"/>
  <c r="E1045" i="18"/>
  <c r="G1045" i="18"/>
  <c r="H1045" i="18"/>
  <c r="A1046" i="18"/>
  <c r="B1046" i="18"/>
  <c r="C1046" i="18"/>
  <c r="D1046" i="18"/>
  <c r="E1046" i="18"/>
  <c r="G1046" i="18"/>
  <c r="H1046" i="18"/>
  <c r="A1047" i="18"/>
  <c r="B1047" i="18"/>
  <c r="C1047" i="18"/>
  <c r="D1047" i="18"/>
  <c r="E1047" i="18"/>
  <c r="G1047" i="18"/>
  <c r="H1047" i="18"/>
  <c r="A1048" i="18"/>
  <c r="B1048" i="18"/>
  <c r="C1048" i="18"/>
  <c r="D1048" i="18"/>
  <c r="E1048" i="18"/>
  <c r="G1048" i="18"/>
  <c r="H1048" i="18"/>
  <c r="A1049" i="18"/>
  <c r="B1049" i="18"/>
  <c r="C1049" i="18"/>
  <c r="D1049" i="18"/>
  <c r="E1049" i="18"/>
  <c r="G1049" i="18"/>
  <c r="H1049" i="18"/>
  <c r="A1050" i="18"/>
  <c r="B1050" i="18"/>
  <c r="C1050" i="18"/>
  <c r="D1050" i="18"/>
  <c r="E1050" i="18"/>
  <c r="G1050" i="18"/>
  <c r="H1050" i="18"/>
  <c r="A1051" i="18"/>
  <c r="B1051" i="18"/>
  <c r="C1051" i="18"/>
  <c r="D1051" i="18"/>
  <c r="E1051" i="18"/>
  <c r="G1051" i="18"/>
  <c r="H1051" i="18"/>
  <c r="A1052" i="18"/>
  <c r="B1052" i="18"/>
  <c r="C1052" i="18"/>
  <c r="D1052" i="18"/>
  <c r="E1052" i="18"/>
  <c r="G1052" i="18"/>
  <c r="H1052" i="18"/>
  <c r="A1053" i="18"/>
  <c r="B1053" i="18"/>
  <c r="C1053" i="18"/>
  <c r="D1053" i="18"/>
  <c r="E1053" i="18"/>
  <c r="G1053" i="18"/>
  <c r="H1053" i="18"/>
  <c r="A1054" i="18"/>
  <c r="B1054" i="18"/>
  <c r="C1054" i="18"/>
  <c r="D1054" i="18"/>
  <c r="E1054" i="18"/>
  <c r="G1054" i="18"/>
  <c r="H1054" i="18"/>
  <c r="A1055" i="18"/>
  <c r="B1055" i="18"/>
  <c r="C1055" i="18"/>
  <c r="D1055" i="18"/>
  <c r="E1055" i="18"/>
  <c r="G1055" i="18"/>
  <c r="H1055" i="18"/>
  <c r="A1056" i="18"/>
  <c r="B1056" i="18"/>
  <c r="C1056" i="18"/>
  <c r="D1056" i="18"/>
  <c r="E1056" i="18"/>
  <c r="G1056" i="18"/>
  <c r="H1056" i="18"/>
  <c r="A1057" i="18"/>
  <c r="B1057" i="18"/>
  <c r="C1057" i="18"/>
  <c r="D1057" i="18"/>
  <c r="E1057" i="18"/>
  <c r="G1057" i="18"/>
  <c r="H1057" i="18"/>
  <c r="A1058" i="18"/>
  <c r="B1058" i="18"/>
  <c r="C1058" i="18"/>
  <c r="D1058" i="18"/>
  <c r="E1058" i="18"/>
  <c r="G1058" i="18"/>
  <c r="H1058" i="18"/>
  <c r="A1059" i="18"/>
  <c r="B1059" i="18"/>
  <c r="C1059" i="18"/>
  <c r="D1059" i="18"/>
  <c r="E1059" i="18"/>
  <c r="G1059" i="18"/>
  <c r="H1059" i="18"/>
  <c r="A1060" i="18"/>
  <c r="B1060" i="18"/>
  <c r="C1060" i="18"/>
  <c r="D1060" i="18"/>
  <c r="E1060" i="18"/>
  <c r="G1060" i="18"/>
  <c r="H1060" i="18"/>
  <c r="A1061" i="18"/>
  <c r="B1061" i="18"/>
  <c r="C1061" i="18"/>
  <c r="D1061" i="18"/>
  <c r="E1061" i="18"/>
  <c r="G1061" i="18"/>
  <c r="H1061" i="18"/>
  <c r="A1062" i="18"/>
  <c r="B1062" i="18"/>
  <c r="C1062" i="18"/>
  <c r="D1062" i="18"/>
  <c r="E1062" i="18"/>
  <c r="G1062" i="18"/>
  <c r="H1062" i="18"/>
  <c r="A1063" i="18"/>
  <c r="B1063" i="18"/>
  <c r="C1063" i="18"/>
  <c r="D1063" i="18"/>
  <c r="E1063" i="18"/>
  <c r="G1063" i="18"/>
  <c r="H1063" i="18"/>
  <c r="A1064" i="18"/>
  <c r="B1064" i="18"/>
  <c r="C1064" i="18"/>
  <c r="D1064" i="18"/>
  <c r="E1064" i="18"/>
  <c r="G1064" i="18"/>
  <c r="H1064" i="18"/>
  <c r="A1065" i="18"/>
  <c r="B1065" i="18"/>
  <c r="C1065" i="18"/>
  <c r="D1065" i="18"/>
  <c r="E1065" i="18"/>
  <c r="G1065" i="18"/>
  <c r="H1065" i="18"/>
  <c r="A1066" i="18"/>
  <c r="B1066" i="18"/>
  <c r="C1066" i="18"/>
  <c r="D1066" i="18"/>
  <c r="E1066" i="18"/>
  <c r="G1066" i="18"/>
  <c r="H1066" i="18"/>
  <c r="A1067" i="18"/>
  <c r="B1067" i="18"/>
  <c r="C1067" i="18"/>
  <c r="D1067" i="18"/>
  <c r="E1067" i="18"/>
  <c r="G1067" i="18"/>
  <c r="H1067" i="18"/>
  <c r="A1068" i="18"/>
  <c r="B1068" i="18"/>
  <c r="C1068" i="18"/>
  <c r="D1068" i="18"/>
  <c r="E1068" i="18"/>
  <c r="G1068" i="18"/>
  <c r="H1068" i="18"/>
  <c r="A1069" i="18"/>
  <c r="B1069" i="18"/>
  <c r="C1069" i="18"/>
  <c r="D1069" i="18"/>
  <c r="E1069" i="18"/>
  <c r="G1069" i="18"/>
  <c r="H1069" i="18"/>
  <c r="A1070" i="18"/>
  <c r="B1070" i="18"/>
  <c r="C1070" i="18"/>
  <c r="D1070" i="18"/>
  <c r="E1070" i="18"/>
  <c r="G1070" i="18"/>
  <c r="H1070" i="18"/>
  <c r="A1071" i="18"/>
  <c r="B1071" i="18"/>
  <c r="C1071" i="18"/>
  <c r="D1071" i="18"/>
  <c r="E1071" i="18"/>
  <c r="G1071" i="18"/>
  <c r="H1071" i="18"/>
  <c r="A1072" i="18"/>
  <c r="B1072" i="18"/>
  <c r="C1072" i="18"/>
  <c r="D1072" i="18"/>
  <c r="E1072" i="18"/>
  <c r="G1072" i="18"/>
  <c r="H1072" i="18"/>
  <c r="A1073" i="18"/>
  <c r="B1073" i="18"/>
  <c r="C1073" i="18"/>
  <c r="D1073" i="18"/>
  <c r="E1073" i="18"/>
  <c r="G1073" i="18"/>
  <c r="H1073" i="18"/>
  <c r="A1074" i="18"/>
  <c r="B1074" i="18"/>
  <c r="C1074" i="18"/>
  <c r="D1074" i="18"/>
  <c r="E1074" i="18"/>
  <c r="G1074" i="18"/>
  <c r="H1074" i="18"/>
  <c r="A1075" i="18"/>
  <c r="B1075" i="18"/>
  <c r="C1075" i="18"/>
  <c r="D1075" i="18"/>
  <c r="E1075" i="18"/>
  <c r="G1075" i="18"/>
  <c r="H1075" i="18"/>
  <c r="A1076" i="18"/>
  <c r="B1076" i="18"/>
  <c r="C1076" i="18"/>
  <c r="D1076" i="18"/>
  <c r="E1076" i="18"/>
  <c r="G1076" i="18"/>
  <c r="H1076" i="18"/>
  <c r="A1077" i="18"/>
  <c r="B1077" i="18"/>
  <c r="C1077" i="18"/>
  <c r="D1077" i="18"/>
  <c r="E1077" i="18"/>
  <c r="G1077" i="18"/>
  <c r="H1077" i="18"/>
  <c r="A1078" i="18"/>
  <c r="B1078" i="18"/>
  <c r="C1078" i="18"/>
  <c r="D1078" i="18"/>
  <c r="E1078" i="18"/>
  <c r="G1078" i="18"/>
  <c r="H1078" i="18"/>
  <c r="A1079" i="18"/>
  <c r="B1079" i="18"/>
  <c r="C1079" i="18"/>
  <c r="D1079" i="18"/>
  <c r="E1079" i="18"/>
  <c r="G1079" i="18"/>
  <c r="H1079" i="18"/>
  <c r="A1080" i="18"/>
  <c r="B1080" i="18"/>
  <c r="C1080" i="18"/>
  <c r="D1080" i="18"/>
  <c r="E1080" i="18"/>
  <c r="G1080" i="18"/>
  <c r="H1080" i="18"/>
  <c r="A1081" i="18"/>
  <c r="B1081" i="18"/>
  <c r="C1081" i="18"/>
  <c r="D1081" i="18"/>
  <c r="E1081" i="18"/>
  <c r="G1081" i="18"/>
  <c r="H1081" i="18"/>
  <c r="A1082" i="18"/>
  <c r="B1082" i="18"/>
  <c r="C1082" i="18"/>
  <c r="D1082" i="18"/>
  <c r="E1082" i="18"/>
  <c r="G1082" i="18"/>
  <c r="H1082" i="18"/>
  <c r="A1083" i="18"/>
  <c r="B1083" i="18"/>
  <c r="C1083" i="18"/>
  <c r="D1083" i="18"/>
  <c r="E1083" i="18"/>
  <c r="G1083" i="18"/>
  <c r="H1083" i="18"/>
  <c r="A1084" i="18"/>
  <c r="B1084" i="18"/>
  <c r="C1084" i="18"/>
  <c r="D1084" i="18"/>
  <c r="E1084" i="18"/>
  <c r="G1084" i="18"/>
  <c r="H1084" i="18"/>
  <c r="A1085" i="18"/>
  <c r="B1085" i="18"/>
  <c r="C1085" i="18"/>
  <c r="D1085" i="18"/>
  <c r="E1085" i="18"/>
  <c r="G1085" i="18"/>
  <c r="H1085" i="18"/>
  <c r="A1086" i="18"/>
  <c r="B1086" i="18"/>
  <c r="C1086" i="18"/>
  <c r="D1086" i="18"/>
  <c r="E1086" i="18"/>
  <c r="G1086" i="18"/>
  <c r="H1086" i="18"/>
  <c r="A1087" i="18"/>
  <c r="B1087" i="18"/>
  <c r="C1087" i="18"/>
  <c r="D1087" i="18"/>
  <c r="E1087" i="18"/>
  <c r="G1087" i="18"/>
  <c r="H1087" i="18"/>
  <c r="A1088" i="18"/>
  <c r="B1088" i="18"/>
  <c r="C1088" i="18"/>
  <c r="D1088" i="18"/>
  <c r="E1088" i="18"/>
  <c r="G1088" i="18"/>
  <c r="H1088" i="18"/>
  <c r="A1089" i="18"/>
  <c r="B1089" i="18"/>
  <c r="C1089" i="18"/>
  <c r="D1089" i="18"/>
  <c r="E1089" i="18"/>
  <c r="G1089" i="18"/>
  <c r="H1089" i="18"/>
  <c r="A1090" i="18"/>
  <c r="B1090" i="18"/>
  <c r="C1090" i="18"/>
  <c r="D1090" i="18"/>
  <c r="E1090" i="18"/>
  <c r="G1090" i="18"/>
  <c r="H1090" i="18"/>
  <c r="A1091" i="18"/>
  <c r="B1091" i="18"/>
  <c r="C1091" i="18"/>
  <c r="D1091" i="18"/>
  <c r="E1091" i="18"/>
  <c r="G1091" i="18"/>
  <c r="H1091" i="18"/>
  <c r="A1092" i="18"/>
  <c r="B1092" i="18"/>
  <c r="C1092" i="18"/>
  <c r="D1092" i="18"/>
  <c r="E1092" i="18"/>
  <c r="G1092" i="18"/>
  <c r="H1092" i="18"/>
  <c r="A1093" i="18"/>
  <c r="B1093" i="18"/>
  <c r="C1093" i="18"/>
  <c r="D1093" i="18"/>
  <c r="E1093" i="18"/>
  <c r="G1093" i="18"/>
  <c r="H1093" i="18"/>
  <c r="A1094" i="18"/>
  <c r="B1094" i="18"/>
  <c r="C1094" i="18"/>
  <c r="D1094" i="18"/>
  <c r="E1094" i="18"/>
  <c r="G1094" i="18"/>
  <c r="H1094" i="18"/>
  <c r="A1095" i="18"/>
  <c r="B1095" i="18"/>
  <c r="C1095" i="18"/>
  <c r="D1095" i="18"/>
  <c r="E1095" i="18"/>
  <c r="G1095" i="18"/>
  <c r="H1095" i="18"/>
  <c r="A1096" i="18"/>
  <c r="B1096" i="18"/>
  <c r="C1096" i="18"/>
  <c r="D1096" i="18"/>
  <c r="E1096" i="18"/>
  <c r="G1096" i="18"/>
  <c r="H1096" i="18"/>
  <c r="A1097" i="18"/>
  <c r="B1097" i="18"/>
  <c r="C1097" i="18"/>
  <c r="D1097" i="18"/>
  <c r="E1097" i="18"/>
  <c r="G1097" i="18"/>
  <c r="H1097" i="18"/>
  <c r="A1098" i="18"/>
  <c r="B1098" i="18"/>
  <c r="C1098" i="18"/>
  <c r="D1098" i="18"/>
  <c r="E1098" i="18"/>
  <c r="G1098" i="18"/>
  <c r="H1098" i="18"/>
  <c r="A1099" i="18"/>
  <c r="B1099" i="18"/>
  <c r="C1099" i="18"/>
  <c r="D1099" i="18"/>
  <c r="E1099" i="18"/>
  <c r="G1099" i="18"/>
  <c r="H1099" i="18"/>
  <c r="A1100" i="18"/>
  <c r="B1100" i="18"/>
  <c r="C1100" i="18"/>
  <c r="D1100" i="18"/>
  <c r="E1100" i="18"/>
  <c r="G1100" i="18"/>
  <c r="H1100" i="18"/>
  <c r="A1101" i="18"/>
  <c r="B1101" i="18"/>
  <c r="C1101" i="18"/>
  <c r="D1101" i="18"/>
  <c r="E1101" i="18"/>
  <c r="G1101" i="18"/>
  <c r="H1101" i="18"/>
  <c r="A1102" i="18"/>
  <c r="B1102" i="18"/>
  <c r="C1102" i="18"/>
  <c r="D1102" i="18"/>
  <c r="E1102" i="18"/>
  <c r="G1102" i="18"/>
  <c r="H1102" i="18"/>
  <c r="A1103" i="18"/>
  <c r="B1103" i="18"/>
  <c r="C1103" i="18"/>
  <c r="D1103" i="18"/>
  <c r="E1103" i="18"/>
  <c r="G1103" i="18"/>
  <c r="H1103" i="18"/>
  <c r="A1104" i="18"/>
  <c r="B1104" i="18"/>
  <c r="C1104" i="18"/>
  <c r="D1104" i="18"/>
  <c r="E1104" i="18"/>
  <c r="G1104" i="18"/>
  <c r="H1104" i="18"/>
  <c r="A1105" i="18"/>
  <c r="B1105" i="18"/>
  <c r="C1105" i="18"/>
  <c r="D1105" i="18"/>
  <c r="E1105" i="18"/>
  <c r="G1105" i="18"/>
  <c r="H1105" i="18"/>
  <c r="A1106" i="18"/>
  <c r="B1106" i="18"/>
  <c r="C1106" i="18"/>
  <c r="D1106" i="18"/>
  <c r="E1106" i="18"/>
  <c r="G1106" i="18"/>
  <c r="H1106" i="18"/>
  <c r="A1107" i="18"/>
  <c r="B1107" i="18"/>
  <c r="C1107" i="18"/>
  <c r="D1107" i="18"/>
  <c r="E1107" i="18"/>
  <c r="G1107" i="18"/>
  <c r="H1107" i="18"/>
  <c r="A1108" i="18"/>
  <c r="B1108" i="18"/>
  <c r="C1108" i="18"/>
  <c r="D1108" i="18"/>
  <c r="E1108" i="18"/>
  <c r="G1108" i="18"/>
  <c r="H1108" i="18"/>
  <c r="A1109" i="18"/>
  <c r="B1109" i="18"/>
  <c r="C1109" i="18"/>
  <c r="D1109" i="18"/>
  <c r="E1109" i="18"/>
  <c r="G1109" i="18"/>
  <c r="H1109" i="18"/>
  <c r="A1110" i="18"/>
  <c r="B1110" i="18"/>
  <c r="C1110" i="18"/>
  <c r="D1110" i="18"/>
  <c r="E1110" i="18"/>
  <c r="G1110" i="18"/>
  <c r="H1110" i="18"/>
  <c r="A1111" i="18"/>
  <c r="B1111" i="18"/>
  <c r="C1111" i="18"/>
  <c r="D1111" i="18"/>
  <c r="E1111" i="18"/>
  <c r="G1111" i="18"/>
  <c r="H1111" i="18"/>
  <c r="A1112" i="18"/>
  <c r="B1112" i="18"/>
  <c r="C1112" i="18"/>
  <c r="D1112" i="18"/>
  <c r="E1112" i="18"/>
  <c r="G1112" i="18"/>
  <c r="H1112" i="18"/>
  <c r="A1113" i="18"/>
  <c r="B1113" i="18"/>
  <c r="C1113" i="18"/>
  <c r="D1113" i="18"/>
  <c r="E1113" i="18"/>
  <c r="G1113" i="18"/>
  <c r="H1113" i="18"/>
  <c r="A1114" i="18"/>
  <c r="B1114" i="18"/>
  <c r="C1114" i="18"/>
  <c r="D1114" i="18"/>
  <c r="E1114" i="18"/>
  <c r="G1114" i="18"/>
  <c r="H1114" i="18"/>
  <c r="A1115" i="18"/>
  <c r="B1115" i="18"/>
  <c r="C1115" i="18"/>
  <c r="D1115" i="18"/>
  <c r="E1115" i="18"/>
  <c r="G1115" i="18"/>
  <c r="H1115" i="18"/>
  <c r="A1116" i="18"/>
  <c r="B1116" i="18"/>
  <c r="C1116" i="18"/>
  <c r="D1116" i="18"/>
  <c r="E1116" i="18"/>
  <c r="G1116" i="18"/>
  <c r="H1116" i="18"/>
  <c r="A1117" i="18"/>
  <c r="B1117" i="18"/>
  <c r="C1117" i="18"/>
  <c r="D1117" i="18"/>
  <c r="E1117" i="18"/>
  <c r="G1117" i="18"/>
  <c r="H1117" i="18"/>
  <c r="A1118" i="18"/>
  <c r="B1118" i="18"/>
  <c r="C1118" i="18"/>
  <c r="D1118" i="18"/>
  <c r="E1118" i="18"/>
  <c r="G1118" i="18"/>
  <c r="H1118" i="18"/>
  <c r="A1119" i="18"/>
  <c r="B1119" i="18"/>
  <c r="C1119" i="18"/>
  <c r="D1119" i="18"/>
  <c r="E1119" i="18"/>
  <c r="G1119" i="18"/>
  <c r="H1119" i="18"/>
  <c r="A1120" i="18"/>
  <c r="B1120" i="18"/>
  <c r="C1120" i="18"/>
  <c r="D1120" i="18"/>
  <c r="E1120" i="18"/>
  <c r="G1120" i="18"/>
  <c r="H1120" i="18"/>
  <c r="A1121" i="18"/>
  <c r="B1121" i="18"/>
  <c r="C1121" i="18"/>
  <c r="D1121" i="18"/>
  <c r="E1121" i="18"/>
  <c r="G1121" i="18"/>
  <c r="H1121" i="18"/>
  <c r="A1122" i="18"/>
  <c r="B1122" i="18"/>
  <c r="C1122" i="18"/>
  <c r="D1122" i="18"/>
  <c r="E1122" i="18"/>
  <c r="G1122" i="18"/>
  <c r="H1122" i="18"/>
  <c r="A1123" i="18"/>
  <c r="B1123" i="18"/>
  <c r="C1123" i="18"/>
  <c r="D1123" i="18"/>
  <c r="E1123" i="18"/>
  <c r="G1123" i="18"/>
  <c r="H1123" i="18"/>
  <c r="A1124" i="18"/>
  <c r="B1124" i="18"/>
  <c r="C1124" i="18"/>
  <c r="D1124" i="18"/>
  <c r="E1124" i="18"/>
  <c r="G1124" i="18"/>
  <c r="H1124" i="18"/>
  <c r="A1125" i="18"/>
  <c r="B1125" i="18"/>
  <c r="C1125" i="18"/>
  <c r="D1125" i="18"/>
  <c r="E1125" i="18"/>
  <c r="G1125" i="18"/>
  <c r="H1125" i="18"/>
  <c r="A1126" i="18"/>
  <c r="B1126" i="18"/>
  <c r="C1126" i="18"/>
  <c r="D1126" i="18"/>
  <c r="E1126" i="18"/>
  <c r="G1126" i="18"/>
  <c r="H1126" i="18"/>
  <c r="A1127" i="18"/>
  <c r="B1127" i="18"/>
  <c r="C1127" i="18"/>
  <c r="D1127" i="18"/>
  <c r="E1127" i="18"/>
  <c r="G1127" i="18"/>
  <c r="H1127" i="18"/>
  <c r="A1128" i="18"/>
  <c r="B1128" i="18"/>
  <c r="C1128" i="18"/>
  <c r="D1128" i="18"/>
  <c r="E1128" i="18"/>
  <c r="G1128" i="18"/>
  <c r="H1128" i="18"/>
  <c r="A1129" i="18"/>
  <c r="B1129" i="18"/>
  <c r="C1129" i="18"/>
  <c r="D1129" i="18"/>
  <c r="E1129" i="18"/>
  <c r="G1129" i="18"/>
  <c r="H1129" i="18"/>
  <c r="A1130" i="18"/>
  <c r="B1130" i="18"/>
  <c r="C1130" i="18"/>
  <c r="D1130" i="18"/>
  <c r="E1130" i="18"/>
  <c r="G1130" i="18"/>
  <c r="H1130" i="18"/>
  <c r="A1131" i="18"/>
  <c r="B1131" i="18"/>
  <c r="C1131" i="18"/>
  <c r="D1131" i="18"/>
  <c r="E1131" i="18"/>
  <c r="G1131" i="18"/>
  <c r="H1131" i="18"/>
  <c r="A1132" i="18"/>
  <c r="B1132" i="18"/>
  <c r="C1132" i="18"/>
  <c r="D1132" i="18"/>
  <c r="E1132" i="18"/>
  <c r="G1132" i="18"/>
  <c r="H1132" i="18"/>
  <c r="A1133" i="18"/>
  <c r="B1133" i="18"/>
  <c r="C1133" i="18"/>
  <c r="D1133" i="18"/>
  <c r="E1133" i="18"/>
  <c r="G1133" i="18"/>
  <c r="H1133" i="18"/>
  <c r="A1134" i="18"/>
  <c r="B1134" i="18"/>
  <c r="C1134" i="18"/>
  <c r="D1134" i="18"/>
  <c r="E1134" i="18"/>
  <c r="G1134" i="18"/>
  <c r="H1134" i="18"/>
  <c r="A1135" i="18"/>
  <c r="B1135" i="18"/>
  <c r="C1135" i="18"/>
  <c r="D1135" i="18"/>
  <c r="E1135" i="18"/>
  <c r="G1135" i="18"/>
  <c r="H1135" i="18"/>
  <c r="A1136" i="18"/>
  <c r="B1136" i="18"/>
  <c r="C1136" i="18"/>
  <c r="D1136" i="18"/>
  <c r="E1136" i="18"/>
  <c r="G1136" i="18"/>
  <c r="H1136" i="18"/>
  <c r="A1137" i="18"/>
  <c r="B1137" i="18"/>
  <c r="C1137" i="18"/>
  <c r="D1137" i="18"/>
  <c r="E1137" i="18"/>
  <c r="G1137" i="18"/>
  <c r="H1137" i="18"/>
  <c r="A1138" i="18"/>
  <c r="B1138" i="18"/>
  <c r="C1138" i="18"/>
  <c r="D1138" i="18"/>
  <c r="E1138" i="18"/>
  <c r="G1138" i="18"/>
  <c r="H1138" i="18"/>
  <c r="A1139" i="18"/>
  <c r="B1139" i="18"/>
  <c r="C1139" i="18"/>
  <c r="D1139" i="18"/>
  <c r="E1139" i="18"/>
  <c r="G1139" i="18"/>
  <c r="H1139" i="18"/>
  <c r="A1140" i="18"/>
  <c r="B1140" i="18"/>
  <c r="C1140" i="18"/>
  <c r="D1140" i="18"/>
  <c r="E1140" i="18"/>
  <c r="G1140" i="18"/>
  <c r="H1140" i="18"/>
  <c r="A1141" i="18"/>
  <c r="B1141" i="18"/>
  <c r="C1141" i="18"/>
  <c r="D1141" i="18"/>
  <c r="E1141" i="18"/>
  <c r="G1141" i="18"/>
  <c r="H1141" i="18"/>
  <c r="A1142" i="18"/>
  <c r="B1142" i="18"/>
  <c r="C1142" i="18"/>
  <c r="D1142" i="18"/>
  <c r="E1142" i="18"/>
  <c r="G1142" i="18"/>
  <c r="H1142" i="18"/>
  <c r="A1143" i="18"/>
  <c r="B1143" i="18"/>
  <c r="C1143" i="18"/>
  <c r="D1143" i="18"/>
  <c r="E1143" i="18"/>
  <c r="G1143" i="18"/>
  <c r="H1143" i="18"/>
  <c r="A1144" i="18"/>
  <c r="B1144" i="18"/>
  <c r="C1144" i="18"/>
  <c r="D1144" i="18"/>
  <c r="E1144" i="18"/>
  <c r="G1144" i="18"/>
  <c r="H1144" i="18"/>
  <c r="A1145" i="18"/>
  <c r="B1145" i="18"/>
  <c r="C1145" i="18"/>
  <c r="D1145" i="18"/>
  <c r="E1145" i="18"/>
  <c r="G1145" i="18"/>
  <c r="H1145" i="18"/>
  <c r="A1146" i="18"/>
  <c r="B1146" i="18"/>
  <c r="C1146" i="18"/>
  <c r="D1146" i="18"/>
  <c r="E1146" i="18"/>
  <c r="G1146" i="18"/>
  <c r="H1146" i="18"/>
  <c r="A1147" i="18"/>
  <c r="B1147" i="18"/>
  <c r="C1147" i="18"/>
  <c r="D1147" i="18"/>
  <c r="E1147" i="18"/>
  <c r="G1147" i="18"/>
  <c r="H1147" i="18"/>
  <c r="A1148" i="18"/>
  <c r="B1148" i="18"/>
  <c r="C1148" i="18"/>
  <c r="D1148" i="18"/>
  <c r="E1148" i="18"/>
  <c r="G1148" i="18"/>
  <c r="H1148" i="18"/>
  <c r="A1149" i="18"/>
  <c r="B1149" i="18"/>
  <c r="C1149" i="18"/>
  <c r="D1149" i="18"/>
  <c r="E1149" i="18"/>
  <c r="G1149" i="18"/>
  <c r="H1149" i="18"/>
  <c r="A1150" i="18"/>
  <c r="B1150" i="18"/>
  <c r="C1150" i="18"/>
  <c r="D1150" i="18"/>
  <c r="E1150" i="18"/>
  <c r="G1150" i="18"/>
  <c r="H1150" i="18"/>
  <c r="A1151" i="18"/>
  <c r="B1151" i="18"/>
  <c r="C1151" i="18"/>
  <c r="D1151" i="18"/>
  <c r="E1151" i="18"/>
  <c r="G1151" i="18"/>
  <c r="H1151" i="18"/>
  <c r="A1152" i="18"/>
  <c r="B1152" i="18"/>
  <c r="C1152" i="18"/>
  <c r="D1152" i="18"/>
  <c r="E1152" i="18"/>
  <c r="G1152" i="18"/>
  <c r="H1152" i="18"/>
  <c r="A1153" i="18"/>
  <c r="B1153" i="18"/>
  <c r="C1153" i="18"/>
  <c r="D1153" i="18"/>
  <c r="E1153" i="18"/>
  <c r="G1153" i="18"/>
  <c r="H1153" i="18"/>
  <c r="A1154" i="18"/>
  <c r="B1154" i="18"/>
  <c r="C1154" i="18"/>
  <c r="D1154" i="18"/>
  <c r="E1154" i="18"/>
  <c r="G1154" i="18"/>
  <c r="H1154" i="18"/>
  <c r="A1155" i="18"/>
  <c r="B1155" i="18"/>
  <c r="C1155" i="18"/>
  <c r="D1155" i="18"/>
  <c r="E1155" i="18"/>
  <c r="G1155" i="18"/>
  <c r="H1155" i="18"/>
  <c r="A1156" i="18"/>
  <c r="B1156" i="18"/>
  <c r="C1156" i="18"/>
  <c r="D1156" i="18"/>
  <c r="E1156" i="18"/>
  <c r="G1156" i="18"/>
  <c r="H1156" i="18"/>
  <c r="A1157" i="18"/>
  <c r="B1157" i="18"/>
  <c r="C1157" i="18"/>
  <c r="D1157" i="18"/>
  <c r="E1157" i="18"/>
  <c r="G1157" i="18"/>
  <c r="H1157" i="18"/>
  <c r="A1158" i="18"/>
  <c r="B1158" i="18"/>
  <c r="C1158" i="18"/>
  <c r="D1158" i="18"/>
  <c r="E1158" i="18"/>
  <c r="G1158" i="18"/>
  <c r="H1158" i="18"/>
  <c r="A1159" i="18"/>
  <c r="B1159" i="18"/>
  <c r="C1159" i="18"/>
  <c r="D1159" i="18"/>
  <c r="E1159" i="18"/>
  <c r="G1159" i="18"/>
  <c r="H1159" i="18"/>
  <c r="A1160" i="18"/>
  <c r="B1160" i="18"/>
  <c r="C1160" i="18"/>
  <c r="D1160" i="18"/>
  <c r="E1160" i="18"/>
  <c r="G1160" i="18"/>
  <c r="H1160" i="18"/>
  <c r="A1161" i="18"/>
  <c r="B1161" i="18"/>
  <c r="C1161" i="18"/>
  <c r="D1161" i="18"/>
  <c r="E1161" i="18"/>
  <c r="G1161" i="18"/>
  <c r="H1161" i="18"/>
  <c r="A1162" i="18"/>
  <c r="B1162" i="18"/>
  <c r="C1162" i="18"/>
  <c r="D1162" i="18"/>
  <c r="E1162" i="18"/>
  <c r="G1162" i="18"/>
  <c r="H1162" i="18"/>
  <c r="A1163" i="18"/>
  <c r="B1163" i="18"/>
  <c r="C1163" i="18"/>
  <c r="D1163" i="18"/>
  <c r="E1163" i="18"/>
  <c r="G1163" i="18"/>
  <c r="H1163" i="18"/>
  <c r="A1164" i="18"/>
  <c r="B1164" i="18"/>
  <c r="C1164" i="18"/>
  <c r="D1164" i="18"/>
  <c r="E1164" i="18"/>
  <c r="G1164" i="18"/>
  <c r="H1164" i="18"/>
  <c r="A1165" i="18"/>
  <c r="B1165" i="18"/>
  <c r="C1165" i="18"/>
  <c r="D1165" i="18"/>
  <c r="E1165" i="18"/>
  <c r="G1165" i="18"/>
  <c r="H1165" i="18"/>
  <c r="A1166" i="18"/>
  <c r="B1166" i="18"/>
  <c r="C1166" i="18"/>
  <c r="D1166" i="18"/>
  <c r="E1166" i="18"/>
  <c r="G1166" i="18"/>
  <c r="H1166" i="18"/>
  <c r="A1167" i="18"/>
  <c r="B1167" i="18"/>
  <c r="C1167" i="18"/>
  <c r="D1167" i="18"/>
  <c r="E1167" i="18"/>
  <c r="G1167" i="18"/>
  <c r="H1167" i="18"/>
  <c r="A1168" i="18"/>
  <c r="B1168" i="18"/>
  <c r="C1168" i="18"/>
  <c r="D1168" i="18"/>
  <c r="E1168" i="18"/>
  <c r="G1168" i="18"/>
  <c r="H1168" i="18"/>
  <c r="A1169" i="18"/>
  <c r="B1169" i="18"/>
  <c r="C1169" i="18"/>
  <c r="D1169" i="18"/>
  <c r="E1169" i="18"/>
  <c r="G1169" i="18"/>
  <c r="H1169" i="18"/>
  <c r="A1170" i="18"/>
  <c r="B1170" i="18"/>
  <c r="C1170" i="18"/>
  <c r="D1170" i="18"/>
  <c r="E1170" i="18"/>
  <c r="G1170" i="18"/>
  <c r="H1170" i="18"/>
  <c r="A1171" i="18"/>
  <c r="B1171" i="18"/>
  <c r="C1171" i="18"/>
  <c r="D1171" i="18"/>
  <c r="E1171" i="18"/>
  <c r="G1171" i="18"/>
  <c r="H1171" i="18"/>
  <c r="A1172" i="18"/>
  <c r="B1172" i="18"/>
  <c r="C1172" i="18"/>
  <c r="D1172" i="18"/>
  <c r="E1172" i="18"/>
  <c r="G1172" i="18"/>
  <c r="H1172" i="18"/>
  <c r="A1173" i="18"/>
  <c r="B1173" i="18"/>
  <c r="C1173" i="18"/>
  <c r="D1173" i="18"/>
  <c r="E1173" i="18"/>
  <c r="G1173" i="18"/>
  <c r="H1173" i="18"/>
  <c r="A1174" i="18"/>
  <c r="B1174" i="18"/>
  <c r="C1174" i="18"/>
  <c r="D1174" i="18"/>
  <c r="E1174" i="18"/>
  <c r="G1174" i="18"/>
  <c r="H1174" i="18"/>
  <c r="A1175" i="18"/>
  <c r="B1175" i="18"/>
  <c r="C1175" i="18"/>
  <c r="D1175" i="18"/>
  <c r="E1175" i="18"/>
  <c r="G1175" i="18"/>
  <c r="H1175" i="18"/>
  <c r="A1176" i="18"/>
  <c r="B1176" i="18"/>
  <c r="C1176" i="18"/>
  <c r="D1176" i="18"/>
  <c r="E1176" i="18"/>
  <c r="G1176" i="18"/>
  <c r="H1176" i="18"/>
  <c r="A1177" i="18"/>
  <c r="B1177" i="18"/>
  <c r="C1177" i="18"/>
  <c r="D1177" i="18"/>
  <c r="E1177" i="18"/>
  <c r="G1177" i="18"/>
  <c r="H1177" i="18"/>
  <c r="A1178" i="18"/>
  <c r="B1178" i="18"/>
  <c r="C1178" i="18"/>
  <c r="D1178" i="18"/>
  <c r="E1178" i="18"/>
  <c r="G1178" i="18"/>
  <c r="H1178" i="18"/>
  <c r="A1179" i="18"/>
  <c r="B1179" i="18"/>
  <c r="C1179" i="18"/>
  <c r="D1179" i="18"/>
  <c r="E1179" i="18"/>
  <c r="G1179" i="18"/>
  <c r="H1179" i="18"/>
  <c r="A1180" i="18"/>
  <c r="B1180" i="18"/>
  <c r="C1180" i="18"/>
  <c r="D1180" i="18"/>
  <c r="E1180" i="18"/>
  <c r="G1180" i="18"/>
  <c r="H1180" i="18"/>
  <c r="A1181" i="18"/>
  <c r="B1181" i="18"/>
  <c r="C1181" i="18"/>
  <c r="D1181" i="18"/>
  <c r="E1181" i="18"/>
  <c r="G1181" i="18"/>
  <c r="H1181" i="18"/>
  <c r="A1182" i="18"/>
  <c r="B1182" i="18"/>
  <c r="C1182" i="18"/>
  <c r="D1182" i="18"/>
  <c r="E1182" i="18"/>
  <c r="G1182" i="18"/>
  <c r="H1182" i="18"/>
  <c r="A1183" i="18"/>
  <c r="B1183" i="18"/>
  <c r="C1183" i="18"/>
  <c r="D1183" i="18"/>
  <c r="E1183" i="18"/>
  <c r="G1183" i="18"/>
  <c r="H1183" i="18"/>
  <c r="A1184" i="18"/>
  <c r="B1184" i="18"/>
  <c r="C1184" i="18"/>
  <c r="D1184" i="18"/>
  <c r="E1184" i="18"/>
  <c r="G1184" i="18"/>
  <c r="H1184" i="18"/>
  <c r="A1185" i="18"/>
  <c r="B1185" i="18"/>
  <c r="C1185" i="18"/>
  <c r="D1185" i="18"/>
  <c r="E1185" i="18"/>
  <c r="G1185" i="18"/>
  <c r="H1185" i="18"/>
  <c r="A1186" i="18"/>
  <c r="B1186" i="18"/>
  <c r="C1186" i="18"/>
  <c r="D1186" i="18"/>
  <c r="E1186" i="18"/>
  <c r="G1186" i="18"/>
  <c r="H1186" i="18"/>
  <c r="A1187" i="18"/>
  <c r="B1187" i="18"/>
  <c r="C1187" i="18"/>
  <c r="D1187" i="18"/>
  <c r="E1187" i="18"/>
  <c r="G1187" i="18"/>
  <c r="H1187" i="18"/>
  <c r="A1188" i="18"/>
  <c r="B1188" i="18"/>
  <c r="C1188" i="18"/>
  <c r="D1188" i="18"/>
  <c r="E1188" i="18"/>
  <c r="G1188" i="18"/>
  <c r="H1188" i="18"/>
  <c r="A1189" i="18"/>
  <c r="B1189" i="18"/>
  <c r="C1189" i="18"/>
  <c r="D1189" i="18"/>
  <c r="E1189" i="18"/>
  <c r="G1189" i="18"/>
  <c r="H1189" i="18"/>
  <c r="A1190" i="18"/>
  <c r="B1190" i="18"/>
  <c r="C1190" i="18"/>
  <c r="D1190" i="18"/>
  <c r="E1190" i="18"/>
  <c r="G1190" i="18"/>
  <c r="H1190" i="18"/>
  <c r="A1191" i="18"/>
  <c r="B1191" i="18"/>
  <c r="C1191" i="18"/>
  <c r="D1191" i="18"/>
  <c r="E1191" i="18"/>
  <c r="G1191" i="18"/>
  <c r="H1191" i="18"/>
  <c r="A1192" i="18"/>
  <c r="B1192" i="18"/>
  <c r="C1192" i="18"/>
  <c r="D1192" i="18"/>
  <c r="E1192" i="18"/>
  <c r="G1192" i="18"/>
  <c r="H1192" i="18"/>
  <c r="A1193" i="18"/>
  <c r="B1193" i="18"/>
  <c r="C1193" i="18"/>
  <c r="D1193" i="18"/>
  <c r="E1193" i="18"/>
  <c r="G1193" i="18"/>
  <c r="H1193" i="18"/>
  <c r="A1194" i="18"/>
  <c r="B1194" i="18"/>
  <c r="C1194" i="18"/>
  <c r="D1194" i="18"/>
  <c r="E1194" i="18"/>
  <c r="G1194" i="18"/>
  <c r="H1194" i="18"/>
  <c r="A1195" i="18"/>
  <c r="B1195" i="18"/>
  <c r="C1195" i="18"/>
  <c r="D1195" i="18"/>
  <c r="E1195" i="18"/>
  <c r="G1195" i="18"/>
  <c r="H1195" i="18"/>
  <c r="A1196" i="18"/>
  <c r="B1196" i="18"/>
  <c r="C1196" i="18"/>
  <c r="D1196" i="18"/>
  <c r="E1196" i="18"/>
  <c r="G1196" i="18"/>
  <c r="H1196" i="18"/>
  <c r="A1197" i="18"/>
  <c r="B1197" i="18"/>
  <c r="C1197" i="18"/>
  <c r="D1197" i="18"/>
  <c r="E1197" i="18"/>
  <c r="G1197" i="18"/>
  <c r="H1197" i="18"/>
  <c r="A1198" i="18"/>
  <c r="B1198" i="18"/>
  <c r="C1198" i="18"/>
  <c r="D1198" i="18"/>
  <c r="E1198" i="18"/>
  <c r="G1198" i="18"/>
  <c r="H1198" i="18"/>
  <c r="A1199" i="18"/>
  <c r="B1199" i="18"/>
  <c r="C1199" i="18"/>
  <c r="D1199" i="18"/>
  <c r="E1199" i="18"/>
  <c r="G1199" i="18"/>
  <c r="H1199" i="18"/>
  <c r="A1200" i="18"/>
  <c r="B1200" i="18"/>
  <c r="C1200" i="18"/>
  <c r="D1200" i="18"/>
  <c r="E1200" i="18"/>
  <c r="G1200" i="18"/>
  <c r="H1200" i="18"/>
  <c r="A1201" i="18"/>
  <c r="B1201" i="18"/>
  <c r="C1201" i="18"/>
  <c r="D1201" i="18"/>
  <c r="E1201" i="18"/>
  <c r="G1201" i="18"/>
  <c r="H1201" i="18"/>
  <c r="A1202" i="18"/>
  <c r="B1202" i="18"/>
  <c r="C1202" i="18"/>
  <c r="D1202" i="18"/>
  <c r="E1202" i="18"/>
  <c r="G1202" i="18"/>
  <c r="H1202" i="18"/>
  <c r="A1203" i="18"/>
  <c r="B1203" i="18"/>
  <c r="C1203" i="18"/>
  <c r="D1203" i="18"/>
  <c r="E1203" i="18"/>
  <c r="G1203" i="18"/>
  <c r="H1203" i="18"/>
  <c r="A1204" i="18"/>
  <c r="B1204" i="18"/>
  <c r="C1204" i="18"/>
  <c r="D1204" i="18"/>
  <c r="E1204" i="18"/>
  <c r="G1204" i="18"/>
  <c r="H1204" i="18"/>
  <c r="A1205" i="18"/>
  <c r="B1205" i="18"/>
  <c r="C1205" i="18"/>
  <c r="D1205" i="18"/>
  <c r="E1205" i="18"/>
  <c r="G1205" i="18"/>
  <c r="H1205" i="18"/>
  <c r="A1206" i="18"/>
  <c r="B1206" i="18"/>
  <c r="C1206" i="18"/>
  <c r="D1206" i="18"/>
  <c r="E1206" i="18"/>
  <c r="G1206" i="18"/>
  <c r="H1206" i="18"/>
  <c r="A1207" i="18"/>
  <c r="B1207" i="18"/>
  <c r="C1207" i="18"/>
  <c r="D1207" i="18"/>
  <c r="E1207" i="18"/>
  <c r="G1207" i="18"/>
  <c r="H1207" i="18"/>
  <c r="A1208" i="18"/>
  <c r="B1208" i="18"/>
  <c r="C1208" i="18"/>
  <c r="D1208" i="18"/>
  <c r="E1208" i="18"/>
  <c r="G1208" i="18"/>
  <c r="H1208" i="18"/>
  <c r="A1209" i="18"/>
  <c r="B1209" i="18"/>
  <c r="C1209" i="18"/>
  <c r="D1209" i="18"/>
  <c r="E1209" i="18"/>
  <c r="G1209" i="18"/>
  <c r="H1209" i="18"/>
  <c r="A1210" i="18"/>
  <c r="B1210" i="18"/>
  <c r="C1210" i="18"/>
  <c r="D1210" i="18"/>
  <c r="E1210" i="18"/>
  <c r="G1210" i="18"/>
  <c r="H1210" i="18"/>
  <c r="A1211" i="18"/>
  <c r="B1211" i="18"/>
  <c r="C1211" i="18"/>
  <c r="D1211" i="18"/>
  <c r="E1211" i="18"/>
  <c r="G1211" i="18"/>
  <c r="H1211" i="18"/>
  <c r="A1212" i="18"/>
  <c r="B1212" i="18"/>
  <c r="C1212" i="18"/>
  <c r="D1212" i="18"/>
  <c r="E1212" i="18"/>
  <c r="G1212" i="18"/>
  <c r="H1212" i="18"/>
  <c r="A1213" i="18"/>
  <c r="B1213" i="18"/>
  <c r="C1213" i="18"/>
  <c r="D1213" i="18"/>
  <c r="E1213" i="18"/>
  <c r="G1213" i="18"/>
  <c r="H1213" i="18"/>
  <c r="A1214" i="18"/>
  <c r="B1214" i="18"/>
  <c r="C1214" i="18"/>
  <c r="D1214" i="18"/>
  <c r="E1214" i="18"/>
  <c r="G1214" i="18"/>
  <c r="H1214" i="18"/>
  <c r="A1215" i="18"/>
  <c r="B1215" i="18"/>
  <c r="C1215" i="18"/>
  <c r="D1215" i="18"/>
  <c r="E1215" i="18"/>
  <c r="G1215" i="18"/>
  <c r="H1215" i="18"/>
  <c r="A1216" i="18"/>
  <c r="B1216" i="18"/>
  <c r="C1216" i="18"/>
  <c r="D1216" i="18"/>
  <c r="E1216" i="18"/>
  <c r="G1216" i="18"/>
  <c r="H1216" i="18"/>
  <c r="A1217" i="18"/>
  <c r="B1217" i="18"/>
  <c r="C1217" i="18"/>
  <c r="D1217" i="18"/>
  <c r="E1217" i="18"/>
  <c r="G1217" i="18"/>
  <c r="H1217" i="18"/>
  <c r="A1218" i="18"/>
  <c r="B1218" i="18"/>
  <c r="C1218" i="18"/>
  <c r="D1218" i="18"/>
  <c r="E1218" i="18"/>
  <c r="G1218" i="18"/>
  <c r="H1218" i="18"/>
  <c r="A1219" i="18"/>
  <c r="B1219" i="18"/>
  <c r="C1219" i="18"/>
  <c r="D1219" i="18"/>
  <c r="E1219" i="18"/>
  <c r="G1219" i="18"/>
  <c r="H1219" i="18"/>
  <c r="A1220" i="18"/>
  <c r="B1220" i="18"/>
  <c r="C1220" i="18"/>
  <c r="D1220" i="18"/>
  <c r="E1220" i="18"/>
  <c r="G1220" i="18"/>
  <c r="H1220" i="18"/>
  <c r="A1221" i="18"/>
  <c r="B1221" i="18"/>
  <c r="C1221" i="18"/>
  <c r="D1221" i="18"/>
  <c r="E1221" i="18"/>
  <c r="G1221" i="18"/>
  <c r="H1221" i="18"/>
  <c r="A1222" i="18"/>
  <c r="B1222" i="18"/>
  <c r="C1222" i="18"/>
  <c r="D1222" i="18"/>
  <c r="E1222" i="18"/>
  <c r="G1222" i="18"/>
  <c r="H1222" i="18"/>
  <c r="A1223" i="18"/>
  <c r="B1223" i="18"/>
  <c r="C1223" i="18"/>
  <c r="D1223" i="18"/>
  <c r="E1223" i="18"/>
  <c r="G1223" i="18"/>
  <c r="H1223" i="18"/>
  <c r="A1224" i="18"/>
  <c r="B1224" i="18"/>
  <c r="C1224" i="18"/>
  <c r="D1224" i="18"/>
  <c r="E1224" i="18"/>
  <c r="G1224" i="18"/>
  <c r="H1224" i="18"/>
  <c r="A1225" i="18"/>
  <c r="B1225" i="18"/>
  <c r="C1225" i="18"/>
  <c r="D1225" i="18"/>
  <c r="E1225" i="18"/>
  <c r="G1225" i="18"/>
  <c r="H1225" i="18"/>
  <c r="A1226" i="18"/>
  <c r="B1226" i="18"/>
  <c r="C1226" i="18"/>
  <c r="D1226" i="18"/>
  <c r="E1226" i="18"/>
  <c r="G1226" i="18"/>
  <c r="H1226" i="18"/>
  <c r="A1227" i="18"/>
  <c r="B1227" i="18"/>
  <c r="C1227" i="18"/>
  <c r="D1227" i="18"/>
  <c r="E1227" i="18"/>
  <c r="G1227" i="18"/>
  <c r="H1227" i="18"/>
  <c r="A1228" i="18"/>
  <c r="B1228" i="18"/>
  <c r="C1228" i="18"/>
  <c r="D1228" i="18"/>
  <c r="E1228" i="18"/>
  <c r="G1228" i="18"/>
  <c r="H1228" i="18"/>
  <c r="A1229" i="18"/>
  <c r="B1229" i="18"/>
  <c r="C1229" i="18"/>
  <c r="D1229" i="18"/>
  <c r="E1229" i="18"/>
  <c r="G1229" i="18"/>
  <c r="H1229" i="18"/>
  <c r="A1230" i="18"/>
  <c r="B1230" i="18"/>
  <c r="C1230" i="18"/>
  <c r="D1230" i="18"/>
  <c r="E1230" i="18"/>
  <c r="G1230" i="18"/>
  <c r="H1230" i="18"/>
  <c r="A1231" i="18"/>
  <c r="B1231" i="18"/>
  <c r="C1231" i="18"/>
  <c r="D1231" i="18"/>
  <c r="E1231" i="18"/>
  <c r="G1231" i="18"/>
  <c r="H1231" i="18"/>
  <c r="A1232" i="18"/>
  <c r="B1232" i="18"/>
  <c r="C1232" i="18"/>
  <c r="D1232" i="18"/>
  <c r="E1232" i="18"/>
  <c r="G1232" i="18"/>
  <c r="H1232" i="18"/>
  <c r="A1233" i="18"/>
  <c r="B1233" i="18"/>
  <c r="C1233" i="18"/>
  <c r="D1233" i="18"/>
  <c r="E1233" i="18"/>
  <c r="G1233" i="18"/>
  <c r="H1233" i="18"/>
  <c r="A1234" i="18"/>
  <c r="B1234" i="18"/>
  <c r="C1234" i="18"/>
  <c r="D1234" i="18"/>
  <c r="E1234" i="18"/>
  <c r="G1234" i="18"/>
  <c r="H1234" i="18"/>
  <c r="A1235" i="18"/>
  <c r="B1235" i="18"/>
  <c r="C1235" i="18"/>
  <c r="D1235" i="18"/>
  <c r="E1235" i="18"/>
  <c r="G1235" i="18"/>
  <c r="H1235" i="18"/>
  <c r="A1236" i="18"/>
  <c r="B1236" i="18"/>
  <c r="C1236" i="18"/>
  <c r="D1236" i="18"/>
  <c r="E1236" i="18"/>
  <c r="G1236" i="18"/>
  <c r="H1236" i="18"/>
  <c r="A1237" i="18"/>
  <c r="B1237" i="18"/>
  <c r="C1237" i="18"/>
  <c r="D1237" i="18"/>
  <c r="E1237" i="18"/>
  <c r="G1237" i="18"/>
  <c r="H1237" i="18"/>
  <c r="A1238" i="18"/>
  <c r="B1238" i="18"/>
  <c r="C1238" i="18"/>
  <c r="D1238" i="18"/>
  <c r="E1238" i="18"/>
  <c r="G1238" i="18"/>
  <c r="H1238" i="18"/>
  <c r="A1239" i="18"/>
  <c r="B1239" i="18"/>
  <c r="C1239" i="18"/>
  <c r="D1239" i="18"/>
  <c r="E1239" i="18"/>
  <c r="G1239" i="18"/>
  <c r="H1239" i="18"/>
  <c r="A1240" i="18"/>
  <c r="B1240" i="18"/>
  <c r="C1240" i="18"/>
  <c r="D1240" i="18"/>
  <c r="E1240" i="18"/>
  <c r="G1240" i="18"/>
  <c r="H1240" i="18"/>
  <c r="A1241" i="18"/>
  <c r="B1241" i="18"/>
  <c r="C1241" i="18"/>
  <c r="D1241" i="18"/>
  <c r="E1241" i="18"/>
  <c r="G1241" i="18"/>
  <c r="H1241" i="18"/>
  <c r="A1242" i="18"/>
  <c r="B1242" i="18"/>
  <c r="C1242" i="18"/>
  <c r="D1242" i="18"/>
  <c r="E1242" i="18"/>
  <c r="G1242" i="18"/>
  <c r="H1242" i="18"/>
  <c r="A1243" i="18"/>
  <c r="B1243" i="18"/>
  <c r="C1243" i="18"/>
  <c r="D1243" i="18"/>
  <c r="E1243" i="18"/>
  <c r="G1243" i="18"/>
  <c r="H1243" i="18"/>
  <c r="A1244" i="18"/>
  <c r="B1244" i="18"/>
  <c r="C1244" i="18"/>
  <c r="D1244" i="18"/>
  <c r="E1244" i="18"/>
  <c r="G1244" i="18"/>
  <c r="H1244" i="18"/>
  <c r="A1245" i="18"/>
  <c r="B1245" i="18"/>
  <c r="C1245" i="18"/>
  <c r="D1245" i="18"/>
  <c r="E1245" i="18"/>
  <c r="G1245" i="18"/>
  <c r="H1245" i="18"/>
  <c r="A1246" i="18"/>
  <c r="B1246" i="18"/>
  <c r="C1246" i="18"/>
  <c r="D1246" i="18"/>
  <c r="E1246" i="18"/>
  <c r="G1246" i="18"/>
  <c r="H1246" i="18"/>
  <c r="A1247" i="18"/>
  <c r="B1247" i="18"/>
  <c r="C1247" i="18"/>
  <c r="D1247" i="18"/>
  <c r="E1247" i="18"/>
  <c r="G1247" i="18"/>
  <c r="H1247" i="18"/>
  <c r="A1248" i="18"/>
  <c r="B1248" i="18"/>
  <c r="C1248" i="18"/>
  <c r="D1248" i="18"/>
  <c r="E1248" i="18"/>
  <c r="G1248" i="18"/>
  <c r="H1248" i="18"/>
  <c r="A1249" i="18"/>
  <c r="B1249" i="18"/>
  <c r="C1249" i="18"/>
  <c r="D1249" i="18"/>
  <c r="E1249" i="18"/>
  <c r="G1249" i="18"/>
  <c r="H1249" i="18"/>
  <c r="A1250" i="18"/>
  <c r="B1250" i="18"/>
  <c r="C1250" i="18"/>
  <c r="D1250" i="18"/>
  <c r="E1250" i="18"/>
  <c r="G1250" i="18"/>
  <c r="H1250" i="18"/>
  <c r="A1251" i="18"/>
  <c r="B1251" i="18"/>
  <c r="C1251" i="18"/>
  <c r="D1251" i="18"/>
  <c r="E1251" i="18"/>
  <c r="G1251" i="18"/>
  <c r="H1251" i="18"/>
  <c r="A1252" i="18"/>
  <c r="B1252" i="18"/>
  <c r="C1252" i="18"/>
  <c r="D1252" i="18"/>
  <c r="E1252" i="18"/>
  <c r="G1252" i="18"/>
  <c r="H1252" i="18"/>
  <c r="A1253" i="18"/>
  <c r="B1253" i="18"/>
  <c r="C1253" i="18"/>
  <c r="D1253" i="18"/>
  <c r="E1253" i="18"/>
  <c r="G1253" i="18"/>
  <c r="H1253" i="18"/>
  <c r="A1254" i="18"/>
  <c r="B1254" i="18"/>
  <c r="C1254" i="18"/>
  <c r="D1254" i="18"/>
  <c r="E1254" i="18"/>
  <c r="G1254" i="18"/>
  <c r="H1254" i="18"/>
  <c r="A1255" i="18"/>
  <c r="B1255" i="18"/>
  <c r="C1255" i="18"/>
  <c r="D1255" i="18"/>
  <c r="E1255" i="18"/>
  <c r="G1255" i="18"/>
  <c r="H1255" i="18"/>
  <c r="A1256" i="18"/>
  <c r="B1256" i="18"/>
  <c r="C1256" i="18"/>
  <c r="D1256" i="18"/>
  <c r="E1256" i="18"/>
  <c r="G1256" i="18"/>
  <c r="H1256" i="18"/>
  <c r="A1257" i="18"/>
  <c r="B1257" i="18"/>
  <c r="C1257" i="18"/>
  <c r="D1257" i="18"/>
  <c r="E1257" i="18"/>
  <c r="G1257" i="18"/>
  <c r="H1257" i="18"/>
  <c r="A1258" i="18"/>
  <c r="B1258" i="18"/>
  <c r="C1258" i="18"/>
  <c r="D1258" i="18"/>
  <c r="E1258" i="18"/>
  <c r="G1258" i="18"/>
  <c r="H1258" i="18"/>
  <c r="A1259" i="18"/>
  <c r="B1259" i="18"/>
  <c r="C1259" i="18"/>
  <c r="D1259" i="18"/>
  <c r="E1259" i="18"/>
  <c r="G1259" i="18"/>
  <c r="H1259" i="18"/>
  <c r="A1260" i="18"/>
  <c r="B1260" i="18"/>
  <c r="C1260" i="18"/>
  <c r="D1260" i="18"/>
  <c r="E1260" i="18"/>
  <c r="G1260" i="18"/>
  <c r="H1260" i="18"/>
  <c r="A1261" i="18"/>
  <c r="B1261" i="18"/>
  <c r="C1261" i="18"/>
  <c r="D1261" i="18"/>
  <c r="E1261" i="18"/>
  <c r="G1261" i="18"/>
  <c r="H1261" i="18"/>
  <c r="A1262" i="18"/>
  <c r="B1262" i="18"/>
  <c r="C1262" i="18"/>
  <c r="D1262" i="18"/>
  <c r="E1262" i="18"/>
  <c r="G1262" i="18"/>
  <c r="H1262" i="18"/>
  <c r="A1263" i="18"/>
  <c r="B1263" i="18"/>
  <c r="C1263" i="18"/>
  <c r="D1263" i="18"/>
  <c r="E1263" i="18"/>
  <c r="G1263" i="18"/>
  <c r="H1263" i="18"/>
  <c r="A1264" i="18"/>
  <c r="B1264" i="18"/>
  <c r="C1264" i="18"/>
  <c r="D1264" i="18"/>
  <c r="E1264" i="18"/>
  <c r="G1264" i="18"/>
  <c r="H1264" i="18"/>
  <c r="A1265" i="18"/>
  <c r="B1265" i="18"/>
  <c r="C1265" i="18"/>
  <c r="D1265" i="18"/>
  <c r="E1265" i="18"/>
  <c r="G1265" i="18"/>
  <c r="H1265" i="18"/>
  <c r="A1266" i="18"/>
  <c r="B1266" i="18"/>
  <c r="C1266" i="18"/>
  <c r="D1266" i="18"/>
  <c r="E1266" i="18"/>
  <c r="G1266" i="18"/>
  <c r="H1266" i="18"/>
  <c r="A1267" i="18"/>
  <c r="B1267" i="18"/>
  <c r="C1267" i="18"/>
  <c r="D1267" i="18"/>
  <c r="E1267" i="18"/>
  <c r="G1267" i="18"/>
  <c r="H1267" i="18"/>
  <c r="A1268" i="18"/>
  <c r="B1268" i="18"/>
  <c r="C1268" i="18"/>
  <c r="D1268" i="18"/>
  <c r="E1268" i="18"/>
  <c r="G1268" i="18"/>
  <c r="H1268" i="18"/>
  <c r="A1269" i="18"/>
  <c r="B1269" i="18"/>
  <c r="C1269" i="18"/>
  <c r="D1269" i="18"/>
  <c r="E1269" i="18"/>
  <c r="G1269" i="18"/>
  <c r="H1269" i="18"/>
  <c r="A1270" i="18"/>
  <c r="B1270" i="18"/>
  <c r="C1270" i="18"/>
  <c r="D1270" i="18"/>
  <c r="E1270" i="18"/>
  <c r="G1270" i="18"/>
  <c r="H1270" i="18"/>
  <c r="A1271" i="18"/>
  <c r="B1271" i="18"/>
  <c r="C1271" i="18"/>
  <c r="D1271" i="18"/>
  <c r="E1271" i="18"/>
  <c r="G1271" i="18"/>
  <c r="H1271" i="18"/>
  <c r="A1272" i="18"/>
  <c r="B1272" i="18"/>
  <c r="C1272" i="18"/>
  <c r="D1272" i="18"/>
  <c r="E1272" i="18"/>
  <c r="G1272" i="18"/>
  <c r="H1272" i="18"/>
  <c r="A1273" i="18"/>
  <c r="B1273" i="18"/>
  <c r="C1273" i="18"/>
  <c r="D1273" i="18"/>
  <c r="E1273" i="18"/>
  <c r="G1273" i="18"/>
  <c r="H1273" i="18"/>
  <c r="A1274" i="18"/>
  <c r="B1274" i="18"/>
  <c r="C1274" i="18"/>
  <c r="D1274" i="18"/>
  <c r="E1274" i="18"/>
  <c r="G1274" i="18"/>
  <c r="H1274" i="18"/>
  <c r="A1275" i="18"/>
  <c r="B1275" i="18"/>
  <c r="C1275" i="18"/>
  <c r="D1275" i="18"/>
  <c r="E1275" i="18"/>
  <c r="G1275" i="18"/>
  <c r="H1275" i="18"/>
  <c r="A1276" i="18"/>
  <c r="B1276" i="18"/>
  <c r="C1276" i="18"/>
  <c r="D1276" i="18"/>
  <c r="E1276" i="18"/>
  <c r="G1276" i="18"/>
  <c r="H1276" i="18"/>
  <c r="A1277" i="18"/>
  <c r="B1277" i="18"/>
  <c r="C1277" i="18"/>
  <c r="D1277" i="18"/>
  <c r="E1277" i="18"/>
  <c r="G1277" i="18"/>
  <c r="H1277" i="18"/>
  <c r="A1278" i="18"/>
  <c r="B1278" i="18"/>
  <c r="C1278" i="18"/>
  <c r="D1278" i="18"/>
  <c r="E1278" i="18"/>
  <c r="G1278" i="18"/>
  <c r="H1278" i="18"/>
  <c r="A1279" i="18"/>
  <c r="B1279" i="18"/>
  <c r="C1279" i="18"/>
  <c r="D1279" i="18"/>
  <c r="E1279" i="18"/>
  <c r="G1279" i="18"/>
  <c r="H1279" i="18"/>
  <c r="A1280" i="18"/>
  <c r="B1280" i="18"/>
  <c r="C1280" i="18"/>
  <c r="D1280" i="18"/>
  <c r="E1280" i="18"/>
  <c r="G1280" i="18"/>
  <c r="H1280" i="18"/>
  <c r="A1281" i="18"/>
  <c r="B1281" i="18"/>
  <c r="C1281" i="18"/>
  <c r="D1281" i="18"/>
  <c r="E1281" i="18"/>
  <c r="G1281" i="18"/>
  <c r="H1281" i="18"/>
  <c r="A1282" i="18"/>
  <c r="B1282" i="18"/>
  <c r="C1282" i="18"/>
  <c r="D1282" i="18"/>
  <c r="E1282" i="18"/>
  <c r="G1282" i="18"/>
  <c r="H1282" i="18"/>
  <c r="A1283" i="18"/>
  <c r="B1283" i="18"/>
  <c r="C1283" i="18"/>
  <c r="D1283" i="18"/>
  <c r="E1283" i="18"/>
  <c r="G1283" i="18"/>
  <c r="H1283" i="18"/>
  <c r="A1284" i="18"/>
  <c r="B1284" i="18"/>
  <c r="C1284" i="18"/>
  <c r="D1284" i="18"/>
  <c r="E1284" i="18"/>
  <c r="G1284" i="18"/>
  <c r="H1284" i="18"/>
  <c r="A1285" i="18"/>
  <c r="B1285" i="18"/>
  <c r="C1285" i="18"/>
  <c r="D1285" i="18"/>
  <c r="E1285" i="18"/>
  <c r="G1285" i="18"/>
  <c r="H1285" i="18"/>
  <c r="A1286" i="18"/>
  <c r="B1286" i="18"/>
  <c r="C1286" i="18"/>
  <c r="D1286" i="18"/>
  <c r="E1286" i="18"/>
  <c r="G1286" i="18"/>
  <c r="H1286" i="18"/>
  <c r="A1287" i="18"/>
  <c r="B1287" i="18"/>
  <c r="C1287" i="18"/>
  <c r="D1287" i="18"/>
  <c r="E1287" i="18"/>
  <c r="G1287" i="18"/>
  <c r="H1287" i="18"/>
  <c r="A1288" i="18"/>
  <c r="B1288" i="18"/>
  <c r="C1288" i="18"/>
  <c r="D1288" i="18"/>
  <c r="E1288" i="18"/>
  <c r="G1288" i="18"/>
  <c r="H1288" i="18"/>
  <c r="A1289" i="18"/>
  <c r="B1289" i="18"/>
  <c r="C1289" i="18"/>
  <c r="D1289" i="18"/>
  <c r="E1289" i="18"/>
  <c r="G1289" i="18"/>
  <c r="H1289" i="18"/>
  <c r="A1290" i="18"/>
  <c r="B1290" i="18"/>
  <c r="C1290" i="18"/>
  <c r="D1290" i="18"/>
  <c r="E1290" i="18"/>
  <c r="G1290" i="18"/>
  <c r="H1290" i="18"/>
  <c r="A1291" i="18"/>
  <c r="B1291" i="18"/>
  <c r="C1291" i="18"/>
  <c r="D1291" i="18"/>
  <c r="E1291" i="18"/>
  <c r="G1291" i="18"/>
  <c r="H1291" i="18"/>
  <c r="A1292" i="18"/>
  <c r="B1292" i="18"/>
  <c r="C1292" i="18"/>
  <c r="D1292" i="18"/>
  <c r="E1292" i="18"/>
  <c r="G1292" i="18"/>
  <c r="H1292" i="18"/>
  <c r="A1293" i="18"/>
  <c r="B1293" i="18"/>
  <c r="C1293" i="18"/>
  <c r="D1293" i="18"/>
  <c r="E1293" i="18"/>
  <c r="G1293" i="18"/>
  <c r="H1293" i="18"/>
  <c r="A1294" i="18"/>
  <c r="B1294" i="18"/>
  <c r="C1294" i="18"/>
  <c r="D1294" i="18"/>
  <c r="E1294" i="18"/>
  <c r="G1294" i="18"/>
  <c r="H1294" i="18"/>
  <c r="A1295" i="18"/>
  <c r="B1295" i="18"/>
  <c r="C1295" i="18"/>
  <c r="D1295" i="18"/>
  <c r="E1295" i="18"/>
  <c r="G1295" i="18"/>
  <c r="H1295" i="18"/>
  <c r="A1296" i="18"/>
  <c r="B1296" i="18"/>
  <c r="C1296" i="18"/>
  <c r="D1296" i="18"/>
  <c r="E1296" i="18"/>
  <c r="G1296" i="18"/>
  <c r="H1296" i="18"/>
  <c r="A1297" i="18"/>
  <c r="B1297" i="18"/>
  <c r="C1297" i="18"/>
  <c r="D1297" i="18"/>
  <c r="E1297" i="18"/>
  <c r="G1297" i="18"/>
  <c r="H1297" i="18"/>
  <c r="A1298" i="18"/>
  <c r="B1298" i="18"/>
  <c r="C1298" i="18"/>
  <c r="D1298" i="18"/>
  <c r="E1298" i="18"/>
  <c r="G1298" i="18"/>
  <c r="H1298" i="18"/>
  <c r="A1299" i="18"/>
  <c r="B1299" i="18"/>
  <c r="C1299" i="18"/>
  <c r="D1299" i="18"/>
  <c r="E1299" i="18"/>
  <c r="G1299" i="18"/>
  <c r="H1299" i="18"/>
  <c r="A1300" i="18"/>
  <c r="B1300" i="18"/>
  <c r="C1300" i="18"/>
  <c r="D1300" i="18"/>
  <c r="E1300" i="18"/>
  <c r="G1300" i="18"/>
  <c r="H1300" i="18"/>
  <c r="A1301" i="18"/>
  <c r="B1301" i="18"/>
  <c r="C1301" i="18"/>
  <c r="D1301" i="18"/>
  <c r="E1301" i="18"/>
  <c r="G1301" i="18"/>
  <c r="H1301" i="18"/>
  <c r="A1302" i="18"/>
  <c r="B1302" i="18"/>
  <c r="C1302" i="18"/>
  <c r="D1302" i="18"/>
  <c r="E1302" i="18"/>
  <c r="G1302" i="18"/>
  <c r="H1302" i="18"/>
  <c r="A1303" i="18"/>
  <c r="B1303" i="18"/>
  <c r="C1303" i="18"/>
  <c r="D1303" i="18"/>
  <c r="E1303" i="18"/>
  <c r="G1303" i="18"/>
  <c r="H1303" i="18"/>
  <c r="A1304" i="18"/>
  <c r="B1304" i="18"/>
  <c r="C1304" i="18"/>
  <c r="D1304" i="18"/>
  <c r="E1304" i="18"/>
  <c r="G1304" i="18"/>
  <c r="H1304" i="18"/>
  <c r="A1305" i="18"/>
  <c r="B1305" i="18"/>
  <c r="C1305" i="18"/>
  <c r="D1305" i="18"/>
  <c r="E1305" i="18"/>
  <c r="G1305" i="18"/>
  <c r="H1305" i="18"/>
  <c r="A1306" i="18"/>
  <c r="B1306" i="18"/>
  <c r="C1306" i="18"/>
  <c r="D1306" i="18"/>
  <c r="E1306" i="18"/>
  <c r="G1306" i="18"/>
  <c r="H1306" i="18"/>
  <c r="A1307" i="18"/>
  <c r="B1307" i="18"/>
  <c r="C1307" i="18"/>
  <c r="D1307" i="18"/>
  <c r="E1307" i="18"/>
  <c r="G1307" i="18"/>
  <c r="H1307" i="18"/>
  <c r="A1308" i="18"/>
  <c r="B1308" i="18"/>
  <c r="C1308" i="18"/>
  <c r="D1308" i="18"/>
  <c r="E1308" i="18"/>
  <c r="G1308" i="18"/>
  <c r="H1308" i="18"/>
  <c r="A1309" i="18"/>
  <c r="B1309" i="18"/>
  <c r="C1309" i="18"/>
  <c r="D1309" i="18"/>
  <c r="E1309" i="18"/>
  <c r="G1309" i="18"/>
  <c r="H1309" i="18"/>
  <c r="A1310" i="18"/>
  <c r="B1310" i="18"/>
  <c r="C1310" i="18"/>
  <c r="D1310" i="18"/>
  <c r="E1310" i="18"/>
  <c r="G1310" i="18"/>
  <c r="H1310" i="18"/>
  <c r="A1311" i="18"/>
  <c r="B1311" i="18"/>
  <c r="C1311" i="18"/>
  <c r="D1311" i="18"/>
  <c r="E1311" i="18"/>
  <c r="G1311" i="18"/>
  <c r="H1311" i="18"/>
  <c r="A1312" i="18"/>
  <c r="B1312" i="18"/>
  <c r="C1312" i="18"/>
  <c r="D1312" i="18"/>
  <c r="E1312" i="18"/>
  <c r="G1312" i="18"/>
  <c r="H1312" i="18"/>
  <c r="A1313" i="18"/>
  <c r="B1313" i="18"/>
  <c r="C1313" i="18"/>
  <c r="D1313" i="18"/>
  <c r="E1313" i="18"/>
  <c r="G1313" i="18"/>
  <c r="H1313" i="18"/>
  <c r="A1314" i="18"/>
  <c r="B1314" i="18"/>
  <c r="C1314" i="18"/>
  <c r="D1314" i="18"/>
  <c r="E1314" i="18"/>
  <c r="G1314" i="18"/>
  <c r="H1314" i="18"/>
  <c r="A1315" i="18"/>
  <c r="B1315" i="18"/>
  <c r="C1315" i="18"/>
  <c r="D1315" i="18"/>
  <c r="E1315" i="18"/>
  <c r="G1315" i="18"/>
  <c r="H1315" i="18"/>
  <c r="A1316" i="18"/>
  <c r="B1316" i="18"/>
  <c r="C1316" i="18"/>
  <c r="D1316" i="18"/>
  <c r="E1316" i="18"/>
  <c r="G1316" i="18"/>
  <c r="H1316" i="18"/>
  <c r="A1317" i="18"/>
  <c r="B1317" i="18"/>
  <c r="C1317" i="18"/>
  <c r="D1317" i="18"/>
  <c r="E1317" i="18"/>
  <c r="G1317" i="18"/>
  <c r="H1317" i="18"/>
  <c r="A1318" i="18"/>
  <c r="B1318" i="18"/>
  <c r="C1318" i="18"/>
  <c r="D1318" i="18"/>
  <c r="E1318" i="18"/>
  <c r="G1318" i="18"/>
  <c r="H1318" i="18"/>
  <c r="A1319" i="18"/>
  <c r="B1319" i="18"/>
  <c r="C1319" i="18"/>
  <c r="D1319" i="18"/>
  <c r="E1319" i="18"/>
  <c r="G1319" i="18"/>
  <c r="H1319" i="18"/>
  <c r="A1320" i="18"/>
  <c r="B1320" i="18"/>
  <c r="C1320" i="18"/>
  <c r="D1320" i="18"/>
  <c r="E1320" i="18"/>
  <c r="G1320" i="18"/>
  <c r="H1320" i="18"/>
  <c r="A1321" i="18"/>
  <c r="B1321" i="18"/>
  <c r="C1321" i="18"/>
  <c r="D1321" i="18"/>
  <c r="E1321" i="18"/>
  <c r="G1321" i="18"/>
  <c r="H1321" i="18"/>
  <c r="A1322" i="18"/>
  <c r="B1322" i="18"/>
  <c r="C1322" i="18"/>
  <c r="D1322" i="18"/>
  <c r="E1322" i="18"/>
  <c r="G1322" i="18"/>
  <c r="H1322" i="18"/>
  <c r="A1323" i="18"/>
  <c r="B1323" i="18"/>
  <c r="C1323" i="18"/>
  <c r="D1323" i="18"/>
  <c r="E1323" i="18"/>
  <c r="G1323" i="18"/>
  <c r="H1323" i="18"/>
  <c r="A1324" i="18"/>
  <c r="B1324" i="18"/>
  <c r="C1324" i="18"/>
  <c r="D1324" i="18"/>
  <c r="E1324" i="18"/>
  <c r="G1324" i="18"/>
  <c r="H1324" i="18"/>
  <c r="A1325" i="18"/>
  <c r="B1325" i="18"/>
  <c r="C1325" i="18"/>
  <c r="D1325" i="18"/>
  <c r="E1325" i="18"/>
  <c r="G1325" i="18"/>
  <c r="H1325" i="18"/>
  <c r="A1326" i="18"/>
  <c r="B1326" i="18"/>
  <c r="C1326" i="18"/>
  <c r="D1326" i="18"/>
  <c r="E1326" i="18"/>
  <c r="G1326" i="18"/>
  <c r="H1326" i="18"/>
  <c r="A1327" i="18"/>
  <c r="B1327" i="18"/>
  <c r="C1327" i="18"/>
  <c r="D1327" i="18"/>
  <c r="E1327" i="18"/>
  <c r="G1327" i="18"/>
  <c r="H1327" i="18"/>
  <c r="A1328" i="18"/>
  <c r="B1328" i="18"/>
  <c r="C1328" i="18"/>
  <c r="D1328" i="18"/>
  <c r="E1328" i="18"/>
  <c r="G1328" i="18"/>
  <c r="H1328" i="18"/>
  <c r="A1329" i="18"/>
  <c r="B1329" i="18"/>
  <c r="C1329" i="18"/>
  <c r="D1329" i="18"/>
  <c r="E1329" i="18"/>
  <c r="G1329" i="18"/>
  <c r="H1329" i="18"/>
  <c r="A1330" i="18"/>
  <c r="B1330" i="18"/>
  <c r="C1330" i="18"/>
  <c r="D1330" i="18"/>
  <c r="E1330" i="18"/>
  <c r="G1330" i="18"/>
  <c r="H1330" i="18"/>
  <c r="A1331" i="18"/>
  <c r="B1331" i="18"/>
  <c r="C1331" i="18"/>
  <c r="D1331" i="18"/>
  <c r="E1331" i="18"/>
  <c r="G1331" i="18"/>
  <c r="H1331" i="18"/>
  <c r="A1332" i="18"/>
  <c r="B1332" i="18"/>
  <c r="C1332" i="18"/>
  <c r="D1332" i="18"/>
  <c r="E1332" i="18"/>
  <c r="G1332" i="18"/>
  <c r="H1332" i="18"/>
  <c r="A1333" i="18"/>
  <c r="B1333" i="18"/>
  <c r="C1333" i="18"/>
  <c r="D1333" i="18"/>
  <c r="E1333" i="18"/>
  <c r="G1333" i="18"/>
  <c r="H1333" i="18"/>
  <c r="A1334" i="18"/>
  <c r="B1334" i="18"/>
  <c r="C1334" i="18"/>
  <c r="D1334" i="18"/>
  <c r="E1334" i="18"/>
  <c r="G1334" i="18"/>
  <c r="H1334" i="18"/>
  <c r="A1335" i="18"/>
  <c r="B1335" i="18"/>
  <c r="C1335" i="18"/>
  <c r="D1335" i="18"/>
  <c r="E1335" i="18"/>
  <c r="G1335" i="18"/>
  <c r="H1335" i="18"/>
  <c r="A1336" i="18"/>
  <c r="B1336" i="18"/>
  <c r="C1336" i="18"/>
  <c r="D1336" i="18"/>
  <c r="E1336" i="18"/>
  <c r="G1336" i="18"/>
  <c r="H1336" i="18"/>
  <c r="A1337" i="18"/>
  <c r="B1337" i="18"/>
  <c r="C1337" i="18"/>
  <c r="D1337" i="18"/>
  <c r="E1337" i="18"/>
  <c r="G1337" i="18"/>
  <c r="H1337" i="18"/>
  <c r="A1338" i="18"/>
  <c r="B1338" i="18"/>
  <c r="C1338" i="18"/>
  <c r="D1338" i="18"/>
  <c r="E1338" i="18"/>
  <c r="G1338" i="18"/>
  <c r="H1338" i="18"/>
  <c r="A1339" i="18"/>
  <c r="B1339" i="18"/>
  <c r="C1339" i="18"/>
  <c r="D1339" i="18"/>
  <c r="E1339" i="18"/>
  <c r="G1339" i="18"/>
  <c r="H1339" i="18"/>
  <c r="A1340" i="18"/>
  <c r="B1340" i="18"/>
  <c r="C1340" i="18"/>
  <c r="D1340" i="18"/>
  <c r="E1340" i="18"/>
  <c r="G1340" i="18"/>
  <c r="H1340" i="18"/>
  <c r="A1341" i="18"/>
  <c r="B1341" i="18"/>
  <c r="C1341" i="18"/>
  <c r="D1341" i="18"/>
  <c r="E1341" i="18"/>
  <c r="G1341" i="18"/>
  <c r="H1341" i="18"/>
  <c r="A1342" i="18"/>
  <c r="B1342" i="18"/>
  <c r="C1342" i="18"/>
  <c r="D1342" i="18"/>
  <c r="E1342" i="18"/>
  <c r="G1342" i="18"/>
  <c r="H1342" i="18"/>
  <c r="A1343" i="18"/>
  <c r="B1343" i="18"/>
  <c r="C1343" i="18"/>
  <c r="D1343" i="18"/>
  <c r="E1343" i="18"/>
  <c r="G1343" i="18"/>
  <c r="H1343" i="18"/>
  <c r="A1344" i="18"/>
  <c r="B1344" i="18"/>
  <c r="C1344" i="18"/>
  <c r="D1344" i="18"/>
  <c r="E1344" i="18"/>
  <c r="G1344" i="18"/>
  <c r="H1344" i="18"/>
  <c r="A1345" i="18"/>
  <c r="B1345" i="18"/>
  <c r="C1345" i="18"/>
  <c r="D1345" i="18"/>
  <c r="E1345" i="18"/>
  <c r="G1345" i="18"/>
  <c r="H1345" i="18"/>
  <c r="A1346" i="18"/>
  <c r="B1346" i="18"/>
  <c r="C1346" i="18"/>
  <c r="D1346" i="18"/>
  <c r="E1346" i="18"/>
  <c r="G1346" i="18"/>
  <c r="H1346" i="18"/>
  <c r="A1347" i="18"/>
  <c r="B1347" i="18"/>
  <c r="C1347" i="18"/>
  <c r="D1347" i="18"/>
  <c r="E1347" i="18"/>
  <c r="G1347" i="18"/>
  <c r="H1347" i="18"/>
  <c r="A1348" i="18"/>
  <c r="B1348" i="18"/>
  <c r="C1348" i="18"/>
  <c r="D1348" i="18"/>
  <c r="E1348" i="18"/>
  <c r="G1348" i="18"/>
  <c r="H1348" i="18"/>
  <c r="A1349" i="18"/>
  <c r="B1349" i="18"/>
  <c r="C1349" i="18"/>
  <c r="D1349" i="18"/>
  <c r="E1349" i="18"/>
  <c r="G1349" i="18"/>
  <c r="H1349" i="18"/>
  <c r="A1350" i="18"/>
  <c r="B1350" i="18"/>
  <c r="C1350" i="18"/>
  <c r="D1350" i="18"/>
  <c r="E1350" i="18"/>
  <c r="G1350" i="18"/>
  <c r="H1350" i="18"/>
  <c r="A1351" i="18"/>
  <c r="B1351" i="18"/>
  <c r="C1351" i="18"/>
  <c r="D1351" i="18"/>
  <c r="E1351" i="18"/>
  <c r="G1351" i="18"/>
  <c r="H1351" i="18"/>
  <c r="A1352" i="18"/>
  <c r="B1352" i="18"/>
  <c r="C1352" i="18"/>
  <c r="D1352" i="18"/>
  <c r="E1352" i="18"/>
  <c r="G1352" i="18"/>
  <c r="H1352" i="18"/>
  <c r="A1353" i="18"/>
  <c r="B1353" i="18"/>
  <c r="C1353" i="18"/>
  <c r="D1353" i="18"/>
  <c r="E1353" i="18"/>
  <c r="G1353" i="18"/>
  <c r="H1353" i="18"/>
  <c r="A1354" i="18"/>
  <c r="B1354" i="18"/>
  <c r="C1354" i="18"/>
  <c r="D1354" i="18"/>
  <c r="E1354" i="18"/>
  <c r="G1354" i="18"/>
  <c r="H1354" i="18"/>
  <c r="A1355" i="18"/>
  <c r="B1355" i="18"/>
  <c r="C1355" i="18"/>
  <c r="D1355" i="18"/>
  <c r="E1355" i="18"/>
  <c r="G1355" i="18"/>
  <c r="H1355" i="18"/>
  <c r="A1356" i="18"/>
  <c r="B1356" i="18"/>
  <c r="C1356" i="18"/>
  <c r="D1356" i="18"/>
  <c r="E1356" i="18"/>
  <c r="G1356" i="18"/>
  <c r="H1356" i="18"/>
  <c r="A1357" i="18"/>
  <c r="B1357" i="18"/>
  <c r="C1357" i="18"/>
  <c r="D1357" i="18"/>
  <c r="E1357" i="18"/>
  <c r="G1357" i="18"/>
  <c r="H1357" i="18"/>
  <c r="A1358" i="18"/>
  <c r="B1358" i="18"/>
  <c r="C1358" i="18"/>
  <c r="D1358" i="18"/>
  <c r="E1358" i="18"/>
  <c r="G1358" i="18"/>
  <c r="H1358" i="18"/>
  <c r="A1359" i="18"/>
  <c r="B1359" i="18"/>
  <c r="C1359" i="18"/>
  <c r="D1359" i="18"/>
  <c r="E1359" i="18"/>
  <c r="G1359" i="18"/>
  <c r="H1359" i="18"/>
  <c r="A1360" i="18"/>
  <c r="B1360" i="18"/>
  <c r="C1360" i="18"/>
  <c r="D1360" i="18"/>
  <c r="E1360" i="18"/>
  <c r="G1360" i="18"/>
  <c r="H1360" i="18"/>
  <c r="A1361" i="18"/>
  <c r="B1361" i="18"/>
  <c r="C1361" i="18"/>
  <c r="D1361" i="18"/>
  <c r="E1361" i="18"/>
  <c r="G1361" i="18"/>
  <c r="H1361" i="18"/>
  <c r="A1362" i="18"/>
  <c r="B1362" i="18"/>
  <c r="C1362" i="18"/>
  <c r="D1362" i="18"/>
  <c r="E1362" i="18"/>
  <c r="G1362" i="18"/>
  <c r="H1362" i="18"/>
  <c r="A1363" i="18"/>
  <c r="B1363" i="18"/>
  <c r="C1363" i="18"/>
  <c r="D1363" i="18"/>
  <c r="E1363" i="18"/>
  <c r="G1363" i="18"/>
  <c r="H1363" i="18"/>
  <c r="A1364" i="18"/>
  <c r="B1364" i="18"/>
  <c r="C1364" i="18"/>
  <c r="D1364" i="18"/>
  <c r="E1364" i="18"/>
  <c r="G1364" i="18"/>
  <c r="H1364" i="18"/>
  <c r="A1365" i="18"/>
  <c r="B1365" i="18"/>
  <c r="C1365" i="18"/>
  <c r="D1365" i="18"/>
  <c r="E1365" i="18"/>
  <c r="G1365" i="18"/>
  <c r="H1365" i="18"/>
  <c r="A1366" i="18"/>
  <c r="B1366" i="18"/>
  <c r="C1366" i="18"/>
  <c r="D1366" i="18"/>
  <c r="E1366" i="18"/>
  <c r="G1366" i="18"/>
  <c r="H1366" i="18"/>
  <c r="A1367" i="18"/>
  <c r="B1367" i="18"/>
  <c r="C1367" i="18"/>
  <c r="D1367" i="18"/>
  <c r="E1367" i="18"/>
  <c r="G1367" i="18"/>
  <c r="H1367" i="18"/>
  <c r="A1368" i="18"/>
  <c r="B1368" i="18"/>
  <c r="C1368" i="18"/>
  <c r="D1368" i="18"/>
  <c r="E1368" i="18"/>
  <c r="G1368" i="18"/>
  <c r="H1368" i="18"/>
  <c r="A1369" i="18"/>
  <c r="B1369" i="18"/>
  <c r="C1369" i="18"/>
  <c r="D1369" i="18"/>
  <c r="E1369" i="18"/>
  <c r="G1369" i="18"/>
  <c r="H1369" i="18"/>
  <c r="A1370" i="18"/>
  <c r="B1370" i="18"/>
  <c r="C1370" i="18"/>
  <c r="D1370" i="18"/>
  <c r="E1370" i="18"/>
  <c r="G1370" i="18"/>
  <c r="H1370" i="18"/>
  <c r="A1371" i="18"/>
  <c r="B1371" i="18"/>
  <c r="C1371" i="18"/>
  <c r="D1371" i="18"/>
  <c r="E1371" i="18"/>
  <c r="G1371" i="18"/>
  <c r="H1371" i="18"/>
  <c r="A1372" i="18"/>
  <c r="B1372" i="18"/>
  <c r="C1372" i="18"/>
  <c r="D1372" i="18"/>
  <c r="E1372" i="18"/>
  <c r="G1372" i="18"/>
  <c r="H1372" i="18"/>
  <c r="A1373" i="18"/>
  <c r="B1373" i="18"/>
  <c r="C1373" i="18"/>
  <c r="D1373" i="18"/>
  <c r="E1373" i="18"/>
  <c r="G1373" i="18"/>
  <c r="H1373" i="18"/>
  <c r="A1374" i="18"/>
  <c r="B1374" i="18"/>
  <c r="C1374" i="18"/>
  <c r="D1374" i="18"/>
  <c r="E1374" i="18"/>
  <c r="G1374" i="18"/>
  <c r="H1374" i="18"/>
  <c r="A1375" i="18"/>
  <c r="B1375" i="18"/>
  <c r="C1375" i="18"/>
  <c r="D1375" i="18"/>
  <c r="E1375" i="18"/>
  <c r="G1375" i="18"/>
  <c r="H1375" i="18"/>
  <c r="A1376" i="18"/>
  <c r="B1376" i="18"/>
  <c r="C1376" i="18"/>
  <c r="D1376" i="18"/>
  <c r="E1376" i="18"/>
  <c r="G1376" i="18"/>
  <c r="H1376" i="18"/>
  <c r="A1377" i="18"/>
  <c r="B1377" i="18"/>
  <c r="C1377" i="18"/>
  <c r="D1377" i="18"/>
  <c r="E1377" i="18"/>
  <c r="G1377" i="18"/>
  <c r="H1377" i="18"/>
  <c r="A1378" i="18"/>
  <c r="B1378" i="18"/>
  <c r="C1378" i="18"/>
  <c r="D1378" i="18"/>
  <c r="E1378" i="18"/>
  <c r="G1378" i="18"/>
  <c r="H1378" i="18"/>
  <c r="A1379" i="18"/>
  <c r="B1379" i="18"/>
  <c r="C1379" i="18"/>
  <c r="D1379" i="18"/>
  <c r="E1379" i="18"/>
  <c r="G1379" i="18"/>
  <c r="H1379" i="18"/>
  <c r="A1380" i="18"/>
  <c r="B1380" i="18"/>
  <c r="C1380" i="18"/>
  <c r="D1380" i="18"/>
  <c r="E1380" i="18"/>
  <c r="G1380" i="18"/>
  <c r="H1380" i="18"/>
  <c r="A1381" i="18"/>
  <c r="B1381" i="18"/>
  <c r="C1381" i="18"/>
  <c r="D1381" i="18"/>
  <c r="E1381" i="18"/>
  <c r="G1381" i="18"/>
  <c r="H1381" i="18"/>
  <c r="A1382" i="18"/>
  <c r="B1382" i="18"/>
  <c r="C1382" i="18"/>
  <c r="D1382" i="18"/>
  <c r="E1382" i="18"/>
  <c r="G1382" i="18"/>
  <c r="H1382" i="18"/>
  <c r="A1383" i="18"/>
  <c r="B1383" i="18"/>
  <c r="C1383" i="18"/>
  <c r="D1383" i="18"/>
  <c r="E1383" i="18"/>
  <c r="G1383" i="18"/>
  <c r="H1383" i="18"/>
  <c r="A1384" i="18"/>
  <c r="B1384" i="18"/>
  <c r="C1384" i="18"/>
  <c r="D1384" i="18"/>
  <c r="E1384" i="18"/>
  <c r="G1384" i="18"/>
  <c r="H1384" i="18"/>
  <c r="A1385" i="18"/>
  <c r="B1385" i="18"/>
  <c r="C1385" i="18"/>
  <c r="D1385" i="18"/>
  <c r="E1385" i="18"/>
  <c r="G1385" i="18"/>
  <c r="H1385" i="18"/>
  <c r="A1386" i="18"/>
  <c r="B1386" i="18"/>
  <c r="C1386" i="18"/>
  <c r="D1386" i="18"/>
  <c r="E1386" i="18"/>
  <c r="G1386" i="18"/>
  <c r="H1386" i="18"/>
  <c r="A1387" i="18"/>
  <c r="B1387" i="18"/>
  <c r="C1387" i="18"/>
  <c r="D1387" i="18"/>
  <c r="E1387" i="18"/>
  <c r="G1387" i="18"/>
  <c r="H1387" i="18"/>
  <c r="A1388" i="18"/>
  <c r="B1388" i="18"/>
  <c r="C1388" i="18"/>
  <c r="D1388" i="18"/>
  <c r="E1388" i="18"/>
  <c r="G1388" i="18"/>
  <c r="H1388" i="18"/>
  <c r="A1389" i="18"/>
  <c r="B1389" i="18"/>
  <c r="C1389" i="18"/>
  <c r="D1389" i="18"/>
  <c r="E1389" i="18"/>
  <c r="G1389" i="18"/>
  <c r="H1389" i="18"/>
  <c r="A1390" i="18"/>
  <c r="B1390" i="18"/>
  <c r="C1390" i="18"/>
  <c r="D1390" i="18"/>
  <c r="E1390" i="18"/>
  <c r="G1390" i="18"/>
  <c r="H1390" i="18"/>
  <c r="A1391" i="18"/>
  <c r="B1391" i="18"/>
  <c r="C1391" i="18"/>
  <c r="D1391" i="18"/>
  <c r="E1391" i="18"/>
  <c r="G1391" i="18"/>
  <c r="H1391" i="18"/>
  <c r="A1392" i="18"/>
  <c r="B1392" i="18"/>
  <c r="C1392" i="18"/>
  <c r="D1392" i="18"/>
  <c r="E1392" i="18"/>
  <c r="G1392" i="18"/>
  <c r="H1392" i="18"/>
  <c r="A1393" i="18"/>
  <c r="B1393" i="18"/>
  <c r="C1393" i="18"/>
  <c r="D1393" i="18"/>
  <c r="E1393" i="18"/>
  <c r="G1393" i="18"/>
  <c r="H1393" i="18"/>
  <c r="A1394" i="18"/>
  <c r="B1394" i="18"/>
  <c r="C1394" i="18"/>
  <c r="D1394" i="18"/>
  <c r="E1394" i="18"/>
  <c r="G1394" i="18"/>
  <c r="H1394" i="18"/>
  <c r="A1395" i="18"/>
  <c r="B1395" i="18"/>
  <c r="C1395" i="18"/>
  <c r="D1395" i="18"/>
  <c r="E1395" i="18"/>
  <c r="G1395" i="18"/>
  <c r="H1395" i="18"/>
  <c r="A1396" i="18"/>
  <c r="B1396" i="18"/>
  <c r="C1396" i="18"/>
  <c r="D1396" i="18"/>
  <c r="E1396" i="18"/>
  <c r="G1396" i="18"/>
  <c r="H1396" i="18"/>
  <c r="A1397" i="18"/>
  <c r="B1397" i="18"/>
  <c r="C1397" i="18"/>
  <c r="D1397" i="18"/>
  <c r="E1397" i="18"/>
  <c r="G1397" i="18"/>
  <c r="H1397" i="18"/>
  <c r="A1398" i="18"/>
  <c r="B1398" i="18"/>
  <c r="C1398" i="18"/>
  <c r="D1398" i="18"/>
  <c r="E1398" i="18"/>
  <c r="G1398" i="18"/>
  <c r="H1398" i="18"/>
  <c r="A1399" i="18"/>
  <c r="B1399" i="18"/>
  <c r="C1399" i="18"/>
  <c r="D1399" i="18"/>
  <c r="E1399" i="18"/>
  <c r="G1399" i="18"/>
  <c r="H1399" i="18"/>
  <c r="A1400" i="18"/>
  <c r="B1400" i="18"/>
  <c r="C1400" i="18"/>
  <c r="D1400" i="18"/>
  <c r="E1400" i="18"/>
  <c r="G1400" i="18"/>
  <c r="H1400" i="18"/>
  <c r="A1401" i="18"/>
  <c r="B1401" i="18"/>
  <c r="C1401" i="18"/>
  <c r="D1401" i="18"/>
  <c r="E1401" i="18"/>
  <c r="G1401" i="18"/>
  <c r="H1401" i="18"/>
  <c r="A1402" i="18"/>
  <c r="B1402" i="18"/>
  <c r="C1402" i="18"/>
  <c r="D1402" i="18"/>
  <c r="E1402" i="18"/>
  <c r="G1402" i="18"/>
  <c r="H1402" i="18"/>
  <c r="A1403" i="18"/>
  <c r="B1403" i="18"/>
  <c r="C1403" i="18"/>
  <c r="D1403" i="18"/>
  <c r="E1403" i="18"/>
  <c r="G1403" i="18"/>
  <c r="H1403" i="18"/>
  <c r="A1404" i="18"/>
  <c r="B1404" i="18"/>
  <c r="C1404" i="18"/>
  <c r="D1404" i="18"/>
  <c r="E1404" i="18"/>
  <c r="G1404" i="18"/>
  <c r="H1404" i="18"/>
  <c r="A1405" i="18"/>
  <c r="B1405" i="18"/>
  <c r="C1405" i="18"/>
  <c r="D1405" i="18"/>
  <c r="E1405" i="18"/>
  <c r="G1405" i="18"/>
  <c r="H1405" i="18"/>
  <c r="A1406" i="18"/>
  <c r="B1406" i="18"/>
  <c r="C1406" i="18"/>
  <c r="D1406" i="18"/>
  <c r="E1406" i="18"/>
  <c r="G1406" i="18"/>
  <c r="H1406" i="18"/>
  <c r="A1407" i="18"/>
  <c r="B1407" i="18"/>
  <c r="C1407" i="18"/>
  <c r="D1407" i="18"/>
  <c r="E1407" i="18"/>
  <c r="G1407" i="18"/>
  <c r="H1407" i="18"/>
  <c r="A1408" i="18"/>
  <c r="B1408" i="18"/>
  <c r="C1408" i="18"/>
  <c r="D1408" i="18"/>
  <c r="E1408" i="18"/>
  <c r="G1408" i="18"/>
  <c r="H1408" i="18"/>
  <c r="A1409" i="18"/>
  <c r="B1409" i="18"/>
  <c r="C1409" i="18"/>
  <c r="D1409" i="18"/>
  <c r="E1409" i="18"/>
  <c r="G1409" i="18"/>
  <c r="H1409" i="18"/>
  <c r="A1410" i="18"/>
  <c r="B1410" i="18"/>
  <c r="C1410" i="18"/>
  <c r="D1410" i="18"/>
  <c r="E1410" i="18"/>
  <c r="G1410" i="18"/>
  <c r="H1410" i="18"/>
  <c r="A1411" i="18"/>
  <c r="B1411" i="18"/>
  <c r="C1411" i="18"/>
  <c r="D1411" i="18"/>
  <c r="E1411" i="18"/>
  <c r="G1411" i="18"/>
  <c r="H1411" i="18"/>
  <c r="A1412" i="18"/>
  <c r="B1412" i="18"/>
  <c r="C1412" i="18"/>
  <c r="D1412" i="18"/>
  <c r="E1412" i="18"/>
  <c r="G1412" i="18"/>
  <c r="H1412" i="18"/>
  <c r="A1413" i="18"/>
  <c r="B1413" i="18"/>
  <c r="C1413" i="18"/>
  <c r="D1413" i="18"/>
  <c r="E1413" i="18"/>
  <c r="G1413" i="18"/>
  <c r="H1413" i="18"/>
  <c r="A1414" i="18"/>
  <c r="B1414" i="18"/>
  <c r="C1414" i="18"/>
  <c r="D1414" i="18"/>
  <c r="E1414" i="18"/>
  <c r="G1414" i="18"/>
  <c r="H1414" i="18"/>
  <c r="A1415" i="18"/>
  <c r="B1415" i="18"/>
  <c r="C1415" i="18"/>
  <c r="D1415" i="18"/>
  <c r="E1415" i="18"/>
  <c r="G1415" i="18"/>
  <c r="H1415" i="18"/>
  <c r="A1416" i="18"/>
  <c r="B1416" i="18"/>
  <c r="C1416" i="18"/>
  <c r="D1416" i="18"/>
  <c r="E1416" i="18"/>
  <c r="G1416" i="18"/>
  <c r="H1416" i="18"/>
  <c r="A1417" i="18"/>
  <c r="B1417" i="18"/>
  <c r="C1417" i="18"/>
  <c r="D1417" i="18"/>
  <c r="E1417" i="18"/>
  <c r="G1417" i="18"/>
  <c r="H1417" i="18"/>
  <c r="A1418" i="18"/>
  <c r="B1418" i="18"/>
  <c r="C1418" i="18"/>
  <c r="D1418" i="18"/>
  <c r="E1418" i="18"/>
  <c r="G1418" i="18"/>
  <c r="H1418" i="18"/>
  <c r="A1419" i="18"/>
  <c r="B1419" i="18"/>
  <c r="C1419" i="18"/>
  <c r="D1419" i="18"/>
  <c r="E1419" i="18"/>
  <c r="G1419" i="18"/>
  <c r="H1419" i="18"/>
  <c r="A1420" i="18"/>
  <c r="B1420" i="18"/>
  <c r="C1420" i="18"/>
  <c r="D1420" i="18"/>
  <c r="E1420" i="18"/>
  <c r="G1420" i="18"/>
  <c r="H1420" i="18"/>
  <c r="A1421" i="18"/>
  <c r="B1421" i="18"/>
  <c r="C1421" i="18"/>
  <c r="D1421" i="18"/>
  <c r="E1421" i="18"/>
  <c r="G1421" i="18"/>
  <c r="H1421" i="18"/>
  <c r="A1422" i="18"/>
  <c r="B1422" i="18"/>
  <c r="C1422" i="18"/>
  <c r="D1422" i="18"/>
  <c r="E1422" i="18"/>
  <c r="G1422" i="18"/>
  <c r="H1422" i="18"/>
  <c r="A1423" i="18"/>
  <c r="B1423" i="18"/>
  <c r="C1423" i="18"/>
  <c r="D1423" i="18"/>
  <c r="E1423" i="18"/>
  <c r="G1423" i="18"/>
  <c r="H1423" i="18"/>
  <c r="A1424" i="18"/>
  <c r="B1424" i="18"/>
  <c r="C1424" i="18"/>
  <c r="D1424" i="18"/>
  <c r="E1424" i="18"/>
  <c r="G1424" i="18"/>
  <c r="H1424" i="18"/>
  <c r="A1425" i="18"/>
  <c r="B1425" i="18"/>
  <c r="C1425" i="18"/>
  <c r="D1425" i="18"/>
  <c r="E1425" i="18"/>
  <c r="G1425" i="18"/>
  <c r="H1425" i="18"/>
  <c r="A1426" i="18"/>
  <c r="B1426" i="18"/>
  <c r="C1426" i="18"/>
  <c r="D1426" i="18"/>
  <c r="E1426" i="18"/>
  <c r="G1426" i="18"/>
  <c r="H1426" i="18"/>
  <c r="A1427" i="18"/>
  <c r="B1427" i="18"/>
  <c r="C1427" i="18"/>
  <c r="D1427" i="18"/>
  <c r="E1427" i="18"/>
  <c r="G1427" i="18"/>
  <c r="H1427" i="18"/>
  <c r="A1428" i="18"/>
  <c r="B1428" i="18"/>
  <c r="C1428" i="18"/>
  <c r="D1428" i="18"/>
  <c r="E1428" i="18"/>
  <c r="G1428" i="18"/>
  <c r="H1428" i="18"/>
  <c r="A1429" i="18"/>
  <c r="B1429" i="18"/>
  <c r="C1429" i="18"/>
  <c r="D1429" i="18"/>
  <c r="E1429" i="18"/>
  <c r="G1429" i="18"/>
  <c r="H1429" i="18"/>
  <c r="A1430" i="18"/>
  <c r="B1430" i="18"/>
  <c r="C1430" i="18"/>
  <c r="D1430" i="18"/>
  <c r="E1430" i="18"/>
  <c r="G1430" i="18"/>
  <c r="H1430" i="18"/>
  <c r="A1431" i="18"/>
  <c r="B1431" i="18"/>
  <c r="C1431" i="18"/>
  <c r="D1431" i="18"/>
  <c r="E1431" i="18"/>
  <c r="G1431" i="18"/>
  <c r="H1431" i="18"/>
  <c r="A1432" i="18"/>
  <c r="B1432" i="18"/>
  <c r="C1432" i="18"/>
  <c r="D1432" i="18"/>
  <c r="E1432" i="18"/>
  <c r="G1432" i="18"/>
  <c r="H1432" i="18"/>
  <c r="A1433" i="18"/>
  <c r="B1433" i="18"/>
  <c r="C1433" i="18"/>
  <c r="D1433" i="18"/>
  <c r="E1433" i="18"/>
  <c r="G1433" i="18"/>
  <c r="H1433" i="18"/>
  <c r="A1434" i="18"/>
  <c r="B1434" i="18"/>
  <c r="C1434" i="18"/>
  <c r="D1434" i="18"/>
  <c r="E1434" i="18"/>
  <c r="G1434" i="18"/>
  <c r="H1434" i="18"/>
  <c r="A1435" i="18"/>
  <c r="B1435" i="18"/>
  <c r="C1435" i="18"/>
  <c r="D1435" i="18"/>
  <c r="E1435" i="18"/>
  <c r="G1435" i="18"/>
  <c r="H1435" i="18"/>
  <c r="A1436" i="18"/>
  <c r="B1436" i="18"/>
  <c r="C1436" i="18"/>
  <c r="D1436" i="18"/>
  <c r="E1436" i="18"/>
  <c r="G1436" i="18"/>
  <c r="H1436" i="18"/>
  <c r="A1437" i="18"/>
  <c r="B1437" i="18"/>
  <c r="C1437" i="18"/>
  <c r="D1437" i="18"/>
  <c r="E1437" i="18"/>
  <c r="G1437" i="18"/>
  <c r="H1437" i="18"/>
  <c r="A1438" i="18"/>
  <c r="B1438" i="18"/>
  <c r="C1438" i="18"/>
  <c r="D1438" i="18"/>
  <c r="E1438" i="18"/>
  <c r="G1438" i="18"/>
  <c r="H1438" i="18"/>
  <c r="A1439" i="18"/>
  <c r="B1439" i="18"/>
  <c r="C1439" i="18"/>
  <c r="D1439" i="18"/>
  <c r="E1439" i="18"/>
  <c r="G1439" i="18"/>
  <c r="H1439" i="18"/>
  <c r="A1440" i="18"/>
  <c r="B1440" i="18"/>
  <c r="C1440" i="18"/>
  <c r="D1440" i="18"/>
  <c r="E1440" i="18"/>
  <c r="G1440" i="18"/>
  <c r="H1440" i="18"/>
  <c r="A1441" i="18"/>
  <c r="B1441" i="18"/>
  <c r="C1441" i="18"/>
  <c r="D1441" i="18"/>
  <c r="E1441" i="18"/>
  <c r="G1441" i="18"/>
  <c r="H1441" i="18"/>
  <c r="A1442" i="18"/>
  <c r="B1442" i="18"/>
  <c r="C1442" i="18"/>
  <c r="D1442" i="18"/>
  <c r="E1442" i="18"/>
  <c r="G1442" i="18"/>
  <c r="H1442" i="18"/>
  <c r="A1443" i="18"/>
  <c r="B1443" i="18"/>
  <c r="C1443" i="18"/>
  <c r="D1443" i="18"/>
  <c r="E1443" i="18"/>
  <c r="G1443" i="18"/>
  <c r="H1443" i="18"/>
  <c r="A1444" i="18"/>
  <c r="B1444" i="18"/>
  <c r="C1444" i="18"/>
  <c r="D1444" i="18"/>
  <c r="E1444" i="18"/>
  <c r="G1444" i="18"/>
  <c r="H1444" i="18"/>
  <c r="A1445" i="18"/>
  <c r="B1445" i="18"/>
  <c r="C1445" i="18"/>
  <c r="D1445" i="18"/>
  <c r="E1445" i="18"/>
  <c r="G1445" i="18"/>
  <c r="H1445" i="18"/>
  <c r="A1446" i="18"/>
  <c r="B1446" i="18"/>
  <c r="C1446" i="18"/>
  <c r="D1446" i="18"/>
  <c r="E1446" i="18"/>
  <c r="G1446" i="18"/>
  <c r="H1446" i="18"/>
  <c r="A1447" i="18"/>
  <c r="B1447" i="18"/>
  <c r="C1447" i="18"/>
  <c r="D1447" i="18"/>
  <c r="E1447" i="18"/>
  <c r="G1447" i="18"/>
  <c r="H1447" i="18"/>
  <c r="A1448" i="18"/>
  <c r="B1448" i="18"/>
  <c r="C1448" i="18"/>
  <c r="D1448" i="18"/>
  <c r="E1448" i="18"/>
  <c r="G1448" i="18"/>
  <c r="H1448" i="18"/>
  <c r="A1449" i="18"/>
  <c r="B1449" i="18"/>
  <c r="C1449" i="18"/>
  <c r="D1449" i="18"/>
  <c r="E1449" i="18"/>
  <c r="G1449" i="18"/>
  <c r="H1449" i="18"/>
  <c r="A1450" i="18"/>
  <c r="B1450" i="18"/>
  <c r="C1450" i="18"/>
  <c r="D1450" i="18"/>
  <c r="E1450" i="18"/>
  <c r="G1450" i="18"/>
  <c r="H1450" i="18"/>
  <c r="A1451" i="18"/>
  <c r="B1451" i="18"/>
  <c r="C1451" i="18"/>
  <c r="D1451" i="18"/>
  <c r="E1451" i="18"/>
  <c r="G1451" i="18"/>
  <c r="H1451" i="18"/>
  <c r="A1452" i="18"/>
  <c r="B1452" i="18"/>
  <c r="C1452" i="18"/>
  <c r="D1452" i="18"/>
  <c r="E1452" i="18"/>
  <c r="G1452" i="18"/>
  <c r="H1452" i="18"/>
  <c r="A1453" i="18"/>
  <c r="B1453" i="18"/>
  <c r="C1453" i="18"/>
  <c r="D1453" i="18"/>
  <c r="E1453" i="18"/>
  <c r="G1453" i="18"/>
  <c r="H1453" i="18"/>
  <c r="A1454" i="18"/>
  <c r="B1454" i="18"/>
  <c r="C1454" i="18"/>
  <c r="D1454" i="18"/>
  <c r="E1454" i="18"/>
  <c r="G1454" i="18"/>
  <c r="H1454" i="18"/>
  <c r="A1455" i="18"/>
  <c r="B1455" i="18"/>
  <c r="C1455" i="18"/>
  <c r="D1455" i="18"/>
  <c r="E1455" i="18"/>
  <c r="G1455" i="18"/>
  <c r="H1455" i="18"/>
  <c r="A1456" i="18"/>
  <c r="B1456" i="18"/>
  <c r="C1456" i="18"/>
  <c r="D1456" i="18"/>
  <c r="E1456" i="18"/>
  <c r="G1456" i="18"/>
  <c r="H1456" i="18"/>
  <c r="A1457" i="18"/>
  <c r="B1457" i="18"/>
  <c r="C1457" i="18"/>
  <c r="D1457" i="18"/>
  <c r="E1457" i="18"/>
  <c r="G1457" i="18"/>
  <c r="H1457" i="18"/>
  <c r="A1458" i="18"/>
  <c r="B1458" i="18"/>
  <c r="C1458" i="18"/>
  <c r="D1458" i="18"/>
  <c r="E1458" i="18"/>
  <c r="G1458" i="18"/>
  <c r="H1458" i="18"/>
  <c r="A1459" i="18"/>
  <c r="B1459" i="18"/>
  <c r="C1459" i="18"/>
  <c r="D1459" i="18"/>
  <c r="E1459" i="18"/>
  <c r="G1459" i="18"/>
  <c r="H1459" i="18"/>
  <c r="A1460" i="18"/>
  <c r="B1460" i="18"/>
  <c r="C1460" i="18"/>
  <c r="D1460" i="18"/>
  <c r="E1460" i="18"/>
  <c r="G1460" i="18"/>
  <c r="H1460" i="18"/>
  <c r="A1461" i="18"/>
  <c r="B1461" i="18"/>
  <c r="C1461" i="18"/>
  <c r="D1461" i="18"/>
  <c r="E1461" i="18"/>
  <c r="G1461" i="18"/>
  <c r="H1461" i="18"/>
  <c r="A1462" i="18"/>
  <c r="B1462" i="18"/>
  <c r="C1462" i="18"/>
  <c r="D1462" i="18"/>
  <c r="E1462" i="18"/>
  <c r="G1462" i="18"/>
  <c r="H1462" i="18"/>
  <c r="A1463" i="18"/>
  <c r="B1463" i="18"/>
  <c r="C1463" i="18"/>
  <c r="D1463" i="18"/>
  <c r="E1463" i="18"/>
  <c r="G1463" i="18"/>
  <c r="H1463" i="18"/>
  <c r="A1464" i="18"/>
  <c r="B1464" i="18"/>
  <c r="C1464" i="18"/>
  <c r="D1464" i="18"/>
  <c r="E1464" i="18"/>
  <c r="G1464" i="18"/>
  <c r="H1464" i="18"/>
  <c r="A1465" i="18"/>
  <c r="B1465" i="18"/>
  <c r="C1465" i="18"/>
  <c r="D1465" i="18"/>
  <c r="E1465" i="18"/>
  <c r="G1465" i="18"/>
  <c r="H1465" i="18"/>
  <c r="A1466" i="18"/>
  <c r="B1466" i="18"/>
  <c r="C1466" i="18"/>
  <c r="D1466" i="18"/>
  <c r="E1466" i="18"/>
  <c r="G1466" i="18"/>
  <c r="H1466" i="18"/>
  <c r="A1467" i="18"/>
  <c r="B1467" i="18"/>
  <c r="C1467" i="18"/>
  <c r="D1467" i="18"/>
  <c r="E1467" i="18"/>
  <c r="G1467" i="18"/>
  <c r="H1467" i="18"/>
  <c r="A1468" i="18"/>
  <c r="B1468" i="18"/>
  <c r="C1468" i="18"/>
  <c r="D1468" i="18"/>
  <c r="E1468" i="18"/>
  <c r="G1468" i="18"/>
  <c r="H1468" i="18"/>
  <c r="A1469" i="18"/>
  <c r="B1469" i="18"/>
  <c r="C1469" i="18"/>
  <c r="D1469" i="18"/>
  <c r="E1469" i="18"/>
  <c r="G1469" i="18"/>
  <c r="H1469" i="18"/>
  <c r="A1470" i="18"/>
  <c r="B1470" i="18"/>
  <c r="C1470" i="18"/>
  <c r="D1470" i="18"/>
  <c r="E1470" i="18"/>
  <c r="G1470" i="18"/>
  <c r="H1470" i="18"/>
  <c r="A1471" i="18"/>
  <c r="B1471" i="18"/>
  <c r="C1471" i="18"/>
  <c r="D1471" i="18"/>
  <c r="E1471" i="18"/>
  <c r="G1471" i="18"/>
  <c r="H1471" i="18"/>
  <c r="A1472" i="18"/>
  <c r="B1472" i="18"/>
  <c r="C1472" i="18"/>
  <c r="D1472" i="18"/>
  <c r="E1472" i="18"/>
  <c r="G1472" i="18"/>
  <c r="H1472" i="18"/>
  <c r="A1473" i="18"/>
  <c r="B1473" i="18"/>
  <c r="C1473" i="18"/>
  <c r="D1473" i="18"/>
  <c r="E1473" i="18"/>
  <c r="G1473" i="18"/>
  <c r="H1473" i="18"/>
  <c r="A1474" i="18"/>
  <c r="B1474" i="18"/>
  <c r="C1474" i="18"/>
  <c r="D1474" i="18"/>
  <c r="E1474" i="18"/>
  <c r="G1474" i="18"/>
  <c r="H1474" i="18"/>
  <c r="A1475" i="18"/>
  <c r="B1475" i="18"/>
  <c r="C1475" i="18"/>
  <c r="D1475" i="18"/>
  <c r="E1475" i="18"/>
  <c r="G1475" i="18"/>
  <c r="H1475" i="18"/>
  <c r="A1476" i="18"/>
  <c r="B1476" i="18"/>
  <c r="C1476" i="18"/>
  <c r="D1476" i="18"/>
  <c r="E1476" i="18"/>
  <c r="G1476" i="18"/>
  <c r="H1476" i="18"/>
  <c r="A1477" i="18"/>
  <c r="B1477" i="18"/>
  <c r="C1477" i="18"/>
  <c r="D1477" i="18"/>
  <c r="E1477" i="18"/>
  <c r="G1477" i="18"/>
  <c r="H1477" i="18"/>
  <c r="A1478" i="18"/>
  <c r="B1478" i="18"/>
  <c r="C1478" i="18"/>
  <c r="D1478" i="18"/>
  <c r="E1478" i="18"/>
  <c r="G1478" i="18"/>
  <c r="H1478" i="18"/>
  <c r="A1479" i="18"/>
  <c r="B1479" i="18"/>
  <c r="C1479" i="18"/>
  <c r="D1479" i="18"/>
  <c r="E1479" i="18"/>
  <c r="G1479" i="18"/>
  <c r="H1479" i="18"/>
  <c r="A1480" i="18"/>
  <c r="B1480" i="18"/>
  <c r="C1480" i="18"/>
  <c r="D1480" i="18"/>
  <c r="E1480" i="18"/>
  <c r="G1480" i="18"/>
  <c r="H1480" i="18"/>
  <c r="A1481" i="18"/>
  <c r="B1481" i="18"/>
  <c r="C1481" i="18"/>
  <c r="D1481" i="18"/>
  <c r="E1481" i="18"/>
  <c r="G1481" i="18"/>
  <c r="H1481" i="18"/>
  <c r="A1482" i="18"/>
  <c r="B1482" i="18"/>
  <c r="C1482" i="18"/>
  <c r="D1482" i="18"/>
  <c r="E1482" i="18"/>
  <c r="G1482" i="18"/>
  <c r="H1482" i="18"/>
  <c r="A1483" i="18"/>
  <c r="B1483" i="18"/>
  <c r="C1483" i="18"/>
  <c r="D1483" i="18"/>
  <c r="E1483" i="18"/>
  <c r="G1483" i="18"/>
  <c r="H1483" i="18"/>
  <c r="A1484" i="18"/>
  <c r="B1484" i="18"/>
  <c r="C1484" i="18"/>
  <c r="D1484" i="18"/>
  <c r="E1484" i="18"/>
  <c r="G1484" i="18"/>
  <c r="H1484" i="18"/>
  <c r="A1485" i="18"/>
  <c r="B1485" i="18"/>
  <c r="C1485" i="18"/>
  <c r="D1485" i="18"/>
  <c r="E1485" i="18"/>
  <c r="G1485" i="18"/>
  <c r="H1485" i="18"/>
  <c r="A1486" i="18"/>
  <c r="B1486" i="18"/>
  <c r="C1486" i="18"/>
  <c r="D1486" i="18"/>
  <c r="E1486" i="18"/>
  <c r="G1486" i="18"/>
  <c r="H1486" i="18"/>
  <c r="A1487" i="18"/>
  <c r="B1487" i="18"/>
  <c r="C1487" i="18"/>
  <c r="D1487" i="18"/>
  <c r="E1487" i="18"/>
  <c r="G1487" i="18"/>
  <c r="H1487" i="18"/>
  <c r="A1488" i="18"/>
  <c r="B1488" i="18"/>
  <c r="C1488" i="18"/>
  <c r="D1488" i="18"/>
  <c r="E1488" i="18"/>
  <c r="G1488" i="18"/>
  <c r="H1488" i="18"/>
  <c r="A1489" i="18"/>
  <c r="B1489" i="18"/>
  <c r="C1489" i="18"/>
  <c r="D1489" i="18"/>
  <c r="E1489" i="18"/>
  <c r="G1489" i="18"/>
  <c r="H1489" i="18"/>
  <c r="A1490" i="18"/>
  <c r="B1490" i="18"/>
  <c r="C1490" i="18"/>
  <c r="D1490" i="18"/>
  <c r="E1490" i="18"/>
  <c r="G1490" i="18"/>
  <c r="H1490" i="18"/>
  <c r="A1491" i="18"/>
  <c r="B1491" i="18"/>
  <c r="C1491" i="18"/>
  <c r="D1491" i="18"/>
  <c r="E1491" i="18"/>
  <c r="G1491" i="18"/>
  <c r="H1491" i="18"/>
  <c r="A1492" i="18"/>
  <c r="B1492" i="18"/>
  <c r="C1492" i="18"/>
  <c r="D1492" i="18"/>
  <c r="E1492" i="18"/>
  <c r="G1492" i="18"/>
  <c r="H1492" i="18"/>
  <c r="A1493" i="18"/>
  <c r="B1493" i="18"/>
  <c r="C1493" i="18"/>
  <c r="D1493" i="18"/>
  <c r="E1493" i="18"/>
  <c r="G1493" i="18"/>
  <c r="H1493" i="18"/>
  <c r="A1494" i="18"/>
  <c r="B1494" i="18"/>
  <c r="C1494" i="18"/>
  <c r="D1494" i="18"/>
  <c r="E1494" i="18"/>
  <c r="G1494" i="18"/>
  <c r="H1494" i="18"/>
  <c r="A1495" i="18"/>
  <c r="B1495" i="18"/>
  <c r="C1495" i="18"/>
  <c r="D1495" i="18"/>
  <c r="E1495" i="18"/>
  <c r="G1495" i="18"/>
  <c r="H1495" i="18"/>
  <c r="A1496" i="18"/>
  <c r="B1496" i="18"/>
  <c r="C1496" i="18"/>
  <c r="D1496" i="18"/>
  <c r="E1496" i="18"/>
  <c r="G1496" i="18"/>
  <c r="H1496" i="18"/>
  <c r="A1497" i="18"/>
  <c r="B1497" i="18"/>
  <c r="C1497" i="18"/>
  <c r="D1497" i="18"/>
  <c r="E1497" i="18"/>
  <c r="G1497" i="18"/>
  <c r="H1497" i="18"/>
  <c r="A1498" i="18"/>
  <c r="B1498" i="18"/>
  <c r="C1498" i="18"/>
  <c r="D1498" i="18"/>
  <c r="E1498" i="18"/>
  <c r="G1498" i="18"/>
  <c r="H1498" i="18"/>
  <c r="A1499" i="18"/>
  <c r="B1499" i="18"/>
  <c r="C1499" i="18"/>
  <c r="D1499" i="18"/>
  <c r="E1499" i="18"/>
  <c r="G1499" i="18"/>
  <c r="H1499" i="18"/>
  <c r="A1500" i="18"/>
  <c r="B1500" i="18"/>
  <c r="C1500" i="18"/>
  <c r="D1500" i="18"/>
  <c r="E1500" i="18"/>
  <c r="G1500" i="18"/>
  <c r="H1500" i="18"/>
  <c r="H314" i="2" l="1"/>
  <c r="H315" i="2"/>
  <c r="H316" i="2"/>
  <c r="H317" i="2"/>
  <c r="H318" i="2"/>
  <c r="K257" i="2" l="1"/>
  <c r="B257" i="2" s="1"/>
  <c r="H257" i="2" s="1"/>
  <c r="K263" i="2"/>
  <c r="B263" i="2" s="1"/>
  <c r="H263" i="2" s="1"/>
  <c r="K262" i="2"/>
  <c r="B262" i="2" s="1"/>
  <c r="H262" i="2" s="1"/>
  <c r="K261" i="2"/>
  <c r="B261" i="2" s="1"/>
  <c r="H261" i="2" s="1"/>
  <c r="K260" i="2"/>
  <c r="B260" i="2" s="1"/>
  <c r="H260" i="2" s="1"/>
  <c r="K259" i="2"/>
  <c r="H259" i="2" s="1"/>
  <c r="K258" i="2"/>
  <c r="B258" i="2" s="1"/>
  <c r="H258" i="2" s="1"/>
  <c r="AG8" i="13"/>
  <c r="AG9" i="13"/>
  <c r="AG10" i="13"/>
  <c r="AG11" i="13"/>
  <c r="AG12" i="13"/>
  <c r="AG13" i="13"/>
  <c r="AG14" i="13"/>
  <c r="AG15" i="13"/>
  <c r="AG16" i="13"/>
  <c r="AG17" i="13"/>
  <c r="AG18" i="13"/>
  <c r="AG19" i="13"/>
  <c r="AG20" i="13"/>
  <c r="AG21" i="13"/>
  <c r="AG22" i="13"/>
  <c r="AG23" i="13"/>
  <c r="AG24" i="13"/>
  <c r="AG25" i="13"/>
  <c r="AG26" i="13"/>
  <c r="AG27" i="13"/>
  <c r="AG28" i="13"/>
  <c r="AG29" i="13"/>
  <c r="AG30" i="13"/>
  <c r="AG31" i="13"/>
  <c r="AG32" i="13"/>
  <c r="AG33" i="13"/>
  <c r="AG34" i="13"/>
  <c r="AG35" i="13"/>
  <c r="AG36" i="13"/>
  <c r="AG37" i="13"/>
  <c r="AG38" i="13"/>
  <c r="AG39" i="13"/>
  <c r="AG40" i="13"/>
  <c r="AG41" i="13"/>
  <c r="AG42" i="13"/>
  <c r="AG43" i="13"/>
  <c r="AG44" i="13"/>
  <c r="AG45" i="13"/>
  <c r="AG46" i="13"/>
  <c r="AG47" i="13"/>
  <c r="AG48" i="13"/>
  <c r="AG49" i="13"/>
  <c r="AG50" i="13"/>
  <c r="AG51" i="13"/>
  <c r="AG52" i="13"/>
  <c r="AG53" i="13"/>
  <c r="AG54" i="13"/>
  <c r="AG55" i="13"/>
  <c r="AG56" i="13"/>
  <c r="AG57" i="13"/>
  <c r="AG58" i="13"/>
  <c r="AG59" i="13"/>
  <c r="AG60" i="13"/>
  <c r="AG61" i="13"/>
  <c r="AG62" i="13"/>
  <c r="AG63" i="13"/>
  <c r="AG64" i="13"/>
  <c r="AG65" i="13"/>
  <c r="AG66" i="13"/>
  <c r="AG67" i="13"/>
  <c r="AG68" i="13"/>
  <c r="AG69" i="13"/>
  <c r="AG70" i="13"/>
  <c r="AG71" i="13"/>
  <c r="AG72" i="13"/>
  <c r="AG73" i="13"/>
  <c r="AG74" i="13"/>
  <c r="AG75" i="13"/>
  <c r="AG76" i="13"/>
  <c r="AG77" i="13"/>
  <c r="AG78" i="13"/>
  <c r="AG79" i="13"/>
  <c r="AG80" i="13"/>
  <c r="AG81" i="13"/>
  <c r="AG82" i="13"/>
  <c r="AG83" i="13"/>
  <c r="AG84" i="13"/>
  <c r="AG85" i="13"/>
  <c r="AG86" i="13"/>
  <c r="AG87" i="13"/>
  <c r="AG88" i="13"/>
  <c r="AG89" i="13"/>
  <c r="AG90" i="13"/>
  <c r="AG91" i="13"/>
  <c r="AG92" i="13"/>
  <c r="AG93" i="13"/>
  <c r="AG94" i="13"/>
  <c r="AG95" i="13"/>
  <c r="AG96" i="13"/>
  <c r="AG97" i="13"/>
  <c r="AG98" i="13"/>
  <c r="AG99" i="13"/>
  <c r="AG100" i="13"/>
  <c r="AG101" i="13"/>
  <c r="AG102" i="13"/>
  <c r="AG103" i="13"/>
  <c r="AG104" i="13"/>
  <c r="AG105" i="13"/>
  <c r="AG106" i="13"/>
  <c r="AG107" i="13"/>
  <c r="AG108" i="13"/>
  <c r="AG109" i="13"/>
  <c r="AG110" i="13"/>
  <c r="AG111" i="13"/>
  <c r="AG112" i="13"/>
  <c r="AG113" i="13"/>
  <c r="AG114" i="13"/>
  <c r="AG115" i="13"/>
  <c r="AG116" i="13"/>
  <c r="AG117" i="13"/>
  <c r="AG118" i="13"/>
  <c r="AG119" i="13"/>
  <c r="AG120" i="13"/>
  <c r="AG121" i="13"/>
  <c r="AG122" i="13"/>
  <c r="AG123" i="13"/>
  <c r="AG124" i="13"/>
  <c r="AG125" i="13"/>
  <c r="AG126" i="13"/>
  <c r="AG127" i="13"/>
  <c r="AG128" i="13"/>
  <c r="AG129" i="13"/>
  <c r="AG130" i="13"/>
  <c r="AG131" i="13"/>
  <c r="AG132" i="13"/>
  <c r="AG133" i="13"/>
  <c r="AG134" i="13"/>
  <c r="AG135" i="13"/>
  <c r="AG136" i="13"/>
  <c r="AG137" i="13"/>
  <c r="AG138" i="13"/>
  <c r="AG139" i="13"/>
  <c r="AG140" i="13"/>
  <c r="AG141" i="13"/>
  <c r="AG142" i="13"/>
  <c r="AG143" i="13"/>
  <c r="AG144" i="13"/>
  <c r="AG145" i="13"/>
  <c r="AG146" i="13"/>
  <c r="AG147" i="13"/>
  <c r="AG148" i="13"/>
  <c r="AG149" i="13"/>
  <c r="AG150" i="13"/>
  <c r="AG151" i="13"/>
  <c r="AG152" i="13"/>
  <c r="AG153" i="13"/>
  <c r="AG154" i="13"/>
  <c r="AG155" i="13"/>
  <c r="AG156" i="13"/>
  <c r="AG157" i="13"/>
  <c r="AG158" i="13"/>
  <c r="AG159" i="13"/>
  <c r="AG160" i="13"/>
  <c r="AG161" i="13"/>
  <c r="AG162" i="13"/>
  <c r="AG163" i="13"/>
  <c r="AG164" i="13"/>
  <c r="AG165" i="13"/>
  <c r="AG166" i="13"/>
  <c r="AG167" i="13"/>
  <c r="AG168" i="13"/>
  <c r="AG169" i="13"/>
  <c r="AG170" i="13"/>
  <c r="AG171" i="13"/>
  <c r="AG172" i="13"/>
  <c r="AG173" i="13"/>
  <c r="AG174" i="13"/>
  <c r="AG175" i="13"/>
  <c r="AG176" i="13"/>
  <c r="AG177" i="13"/>
  <c r="AG178" i="13"/>
  <c r="AG179" i="13"/>
  <c r="AG180" i="13"/>
  <c r="AG181" i="13"/>
  <c r="AG182" i="13"/>
  <c r="AG183" i="13"/>
  <c r="AG184" i="13"/>
  <c r="AG185" i="13"/>
  <c r="AG186" i="13"/>
  <c r="AG187" i="13"/>
  <c r="AG188" i="13"/>
  <c r="AG189" i="13"/>
  <c r="AG190" i="13"/>
  <c r="AG191" i="13"/>
  <c r="AG192" i="13"/>
  <c r="AG193" i="13"/>
  <c r="AG194" i="13"/>
  <c r="AG195" i="13"/>
  <c r="AG196" i="13"/>
  <c r="AG197" i="13"/>
  <c r="AG198" i="13"/>
  <c r="AG199" i="13"/>
  <c r="AG200" i="13"/>
  <c r="AG201" i="13"/>
  <c r="AG202" i="13"/>
  <c r="AG203" i="13"/>
  <c r="AG204" i="13"/>
  <c r="AG205" i="13"/>
  <c r="AG206" i="13"/>
  <c r="AG207" i="13"/>
  <c r="AG208" i="13"/>
  <c r="AG209" i="13"/>
  <c r="AG210" i="13"/>
  <c r="AG211" i="13"/>
  <c r="AG212" i="13"/>
  <c r="AG213" i="13"/>
  <c r="AG214" i="13"/>
  <c r="AG215" i="13"/>
  <c r="AG216" i="13"/>
  <c r="AG217" i="13"/>
  <c r="AG218" i="13"/>
  <c r="AG219" i="13"/>
  <c r="AG220" i="13"/>
  <c r="AG221" i="13"/>
  <c r="AG222" i="13"/>
  <c r="AG223" i="13"/>
  <c r="AG224" i="13"/>
  <c r="AG225" i="13"/>
  <c r="AG226" i="13"/>
  <c r="AG227" i="13"/>
  <c r="AG228" i="13"/>
  <c r="AG229" i="13"/>
  <c r="AG230" i="13"/>
  <c r="AG231" i="13"/>
  <c r="AG232" i="13"/>
  <c r="AG233" i="13"/>
  <c r="AG234" i="13"/>
  <c r="AG235" i="13"/>
  <c r="AG236" i="13"/>
  <c r="AG237" i="13"/>
  <c r="AG238" i="13"/>
  <c r="AG239" i="13"/>
  <c r="AG240" i="13"/>
  <c r="AG241" i="13"/>
  <c r="AG242" i="13"/>
  <c r="AG243" i="13"/>
  <c r="AG244" i="13"/>
  <c r="AG245" i="13"/>
  <c r="AG246" i="13"/>
  <c r="AG247" i="13"/>
  <c r="AG248" i="13"/>
  <c r="AG249" i="13"/>
  <c r="AG250" i="13"/>
  <c r="AG251" i="13"/>
  <c r="AG252" i="13"/>
  <c r="AG253" i="13"/>
  <c r="AG254" i="13"/>
  <c r="AG255" i="13"/>
  <c r="AG256" i="13"/>
  <c r="AG257" i="13"/>
  <c r="AG258" i="13"/>
  <c r="AG259" i="13"/>
  <c r="AG260" i="13"/>
  <c r="AG261" i="13"/>
  <c r="AG262" i="13"/>
  <c r="AG263" i="13"/>
  <c r="AG264" i="13"/>
  <c r="AG265" i="13"/>
  <c r="AG266" i="13"/>
  <c r="AG267" i="13"/>
  <c r="AG268" i="13"/>
  <c r="AG269" i="13"/>
  <c r="AG270" i="13"/>
  <c r="AG271" i="13"/>
  <c r="AG272" i="13"/>
  <c r="AG273" i="13"/>
  <c r="AG274" i="13"/>
  <c r="AG275" i="13"/>
  <c r="AG276" i="13"/>
  <c r="AG277" i="13"/>
  <c r="AG278" i="13"/>
  <c r="AG279" i="13"/>
  <c r="AG280" i="13"/>
  <c r="AG281" i="13"/>
  <c r="AG282" i="13"/>
  <c r="AG283" i="13"/>
  <c r="AG284" i="13"/>
  <c r="AG285" i="13"/>
  <c r="AG286" i="13"/>
  <c r="AG287" i="13"/>
  <c r="AG288" i="13"/>
  <c r="AG289" i="13"/>
  <c r="AG290" i="13"/>
  <c r="AG291" i="13"/>
  <c r="AG292" i="13"/>
  <c r="AG293" i="13"/>
  <c r="AG294" i="13"/>
  <c r="AG295" i="13"/>
  <c r="AG296" i="13"/>
  <c r="AG297" i="13"/>
  <c r="AG298" i="13"/>
  <c r="AG299" i="13"/>
  <c r="AG300" i="13"/>
  <c r="AG301" i="13"/>
  <c r="AG302" i="13"/>
  <c r="AG303" i="13"/>
  <c r="AG304" i="13"/>
  <c r="AG305" i="13"/>
  <c r="AG306" i="13"/>
  <c r="AG307" i="13"/>
  <c r="AG308" i="13"/>
  <c r="AG309" i="13"/>
  <c r="AG310" i="13"/>
  <c r="AG311" i="13"/>
  <c r="AG312" i="13"/>
  <c r="AG313" i="13"/>
  <c r="AG314" i="13"/>
  <c r="AG315" i="13"/>
  <c r="AG316" i="13"/>
  <c r="AG317" i="13"/>
  <c r="AG318" i="13"/>
  <c r="AG319" i="13"/>
  <c r="AG320" i="13"/>
  <c r="AG321" i="13"/>
  <c r="AG322" i="13"/>
  <c r="AG323" i="13"/>
  <c r="AG324" i="13"/>
  <c r="AG325" i="13"/>
  <c r="AG326" i="13"/>
  <c r="AG327" i="13"/>
  <c r="AG328" i="13"/>
  <c r="AG329" i="13"/>
  <c r="AG330" i="13"/>
  <c r="AG331" i="13"/>
  <c r="AG332" i="13"/>
  <c r="AG333" i="13"/>
  <c r="AG334" i="13"/>
  <c r="AG335" i="13"/>
  <c r="AG336" i="13"/>
  <c r="AG337" i="13"/>
  <c r="AG338" i="13"/>
  <c r="AG339" i="13"/>
  <c r="AG340" i="13"/>
  <c r="AG341" i="13"/>
  <c r="AG342" i="13"/>
  <c r="AG343" i="13"/>
  <c r="AG344" i="13"/>
  <c r="AG345" i="13"/>
  <c r="AG346" i="13"/>
  <c r="AG347" i="13"/>
  <c r="AG348" i="13"/>
  <c r="AG349" i="13"/>
  <c r="AG350" i="13"/>
  <c r="AG351" i="13"/>
  <c r="AG352" i="13"/>
  <c r="AG353" i="13"/>
  <c r="AG354" i="13"/>
  <c r="AG355" i="13"/>
  <c r="AG356" i="13"/>
  <c r="AG357" i="13"/>
  <c r="AG358" i="13"/>
  <c r="AG359" i="13"/>
  <c r="AG360" i="13"/>
  <c r="AG361" i="13"/>
  <c r="AG362" i="13"/>
  <c r="AG363" i="13"/>
  <c r="AG364" i="13"/>
  <c r="AG365" i="13"/>
  <c r="AG366" i="13"/>
  <c r="AG367" i="13"/>
  <c r="AG368" i="13"/>
  <c r="AG369" i="13"/>
  <c r="AG370" i="13"/>
  <c r="AG371" i="13"/>
  <c r="AG372" i="13"/>
  <c r="AG373" i="13"/>
  <c r="AG374" i="13"/>
  <c r="AG375" i="13"/>
  <c r="AG376" i="13"/>
  <c r="AG377" i="13"/>
  <c r="AG378" i="13"/>
  <c r="AG379" i="13"/>
  <c r="AG380" i="13"/>
  <c r="AG381" i="13"/>
  <c r="AG382" i="13"/>
  <c r="AG383" i="13"/>
  <c r="AG384" i="13"/>
  <c r="AG385" i="13"/>
  <c r="AG386" i="13"/>
  <c r="AG387" i="13"/>
  <c r="AG388" i="13"/>
  <c r="AG389" i="13"/>
  <c r="AG390" i="13"/>
  <c r="AG391" i="13"/>
  <c r="AG392" i="13"/>
  <c r="AG393" i="13"/>
  <c r="AG394" i="13"/>
  <c r="AG395" i="13"/>
  <c r="AG396" i="13"/>
  <c r="AG397" i="13"/>
  <c r="AG398" i="13"/>
  <c r="AG399" i="13"/>
  <c r="AG400" i="13"/>
  <c r="AG401" i="13"/>
  <c r="AG402" i="13"/>
  <c r="AG403" i="13"/>
  <c r="AG404" i="13"/>
  <c r="AG405" i="13"/>
  <c r="AG406" i="13"/>
  <c r="AG407" i="13"/>
  <c r="AG408" i="13"/>
  <c r="AG409" i="13"/>
  <c r="AG410" i="13"/>
  <c r="AG411" i="13"/>
  <c r="AG412" i="13"/>
  <c r="AG413" i="13"/>
  <c r="AG414" i="13"/>
  <c r="AG415" i="13"/>
  <c r="AG416" i="13"/>
  <c r="AG417" i="13"/>
  <c r="AG418" i="13"/>
  <c r="AG419" i="13"/>
  <c r="AG420" i="13"/>
  <c r="AG421" i="13"/>
  <c r="AG422" i="13"/>
  <c r="AG423" i="13"/>
  <c r="AG424" i="13"/>
  <c r="AG425" i="13"/>
  <c r="AG426" i="13"/>
  <c r="AG427" i="13"/>
  <c r="AG428" i="13"/>
  <c r="AG429" i="13"/>
  <c r="AG430" i="13"/>
  <c r="AG431" i="13"/>
  <c r="AG432" i="13"/>
  <c r="AG433" i="13"/>
  <c r="AG434" i="13"/>
  <c r="AG435" i="13"/>
  <c r="AG436" i="13"/>
  <c r="AG437" i="13"/>
  <c r="AG438" i="13"/>
  <c r="AG439" i="13"/>
  <c r="AG440" i="13"/>
  <c r="AG441" i="13"/>
  <c r="AG442" i="13"/>
  <c r="AG443" i="13"/>
  <c r="AG444" i="13"/>
  <c r="AG445" i="13"/>
  <c r="AG446" i="13"/>
  <c r="AG447" i="13"/>
  <c r="AG448" i="13"/>
  <c r="AG449" i="13"/>
  <c r="AG450" i="13"/>
  <c r="AG451" i="13"/>
  <c r="AG452" i="13"/>
  <c r="AG453" i="13"/>
  <c r="AG454" i="13"/>
  <c r="AG455" i="13"/>
  <c r="AG456" i="13"/>
  <c r="AG457" i="13"/>
  <c r="AG458" i="13"/>
  <c r="AG459" i="13"/>
  <c r="AG460" i="13"/>
  <c r="AG461" i="13"/>
  <c r="AG462" i="13"/>
  <c r="AG463" i="13"/>
  <c r="AG464" i="13"/>
  <c r="AG465" i="13"/>
  <c r="AG466" i="13"/>
  <c r="AG467" i="13"/>
  <c r="AG468" i="13"/>
  <c r="AG469" i="13"/>
  <c r="AG470" i="13"/>
  <c r="AG471" i="13"/>
  <c r="AG472" i="13"/>
  <c r="AG473" i="13"/>
  <c r="AG474" i="13"/>
  <c r="AG475" i="13"/>
  <c r="AG476" i="13"/>
  <c r="AG477" i="13"/>
  <c r="AG478" i="13"/>
  <c r="AG479" i="13"/>
  <c r="AG480" i="13"/>
  <c r="AG481" i="13"/>
  <c r="AG482" i="13"/>
  <c r="AG483" i="13"/>
  <c r="AG484" i="13"/>
  <c r="AG485" i="13"/>
  <c r="AG486" i="13"/>
  <c r="AG487" i="13"/>
  <c r="AG488" i="13"/>
  <c r="AG489" i="13"/>
  <c r="AG490" i="13"/>
  <c r="AG491" i="13"/>
  <c r="AG492" i="13"/>
  <c r="AG493" i="13"/>
  <c r="AG494" i="13"/>
  <c r="AG495" i="13"/>
  <c r="AG496" i="13"/>
  <c r="AG497" i="13"/>
  <c r="AG498" i="13"/>
  <c r="AG499" i="13"/>
  <c r="AG500" i="13"/>
  <c r="AG501" i="13"/>
  <c r="AG502" i="13"/>
  <c r="AG503" i="13"/>
  <c r="AG504" i="13"/>
  <c r="AG505" i="13"/>
  <c r="AG506" i="13"/>
  <c r="AG507" i="13"/>
  <c r="AG508" i="13"/>
  <c r="AG509" i="13"/>
  <c r="AG510" i="13"/>
  <c r="AG511" i="13"/>
  <c r="AG512" i="13"/>
  <c r="AG513" i="13"/>
  <c r="AG514" i="13"/>
  <c r="AG515" i="13"/>
  <c r="AG516" i="13"/>
  <c r="AG517" i="13"/>
  <c r="AG518" i="13"/>
  <c r="AG519" i="13"/>
  <c r="AG520" i="13"/>
  <c r="AG521" i="13"/>
  <c r="AG522" i="13"/>
  <c r="AG523" i="13"/>
  <c r="AG524" i="13"/>
  <c r="AG525" i="13"/>
  <c r="AG526" i="13"/>
  <c r="AG527" i="13"/>
  <c r="AG528" i="13"/>
  <c r="AG529" i="13"/>
  <c r="AG530" i="13"/>
  <c r="AG531" i="13"/>
  <c r="AG532" i="13"/>
  <c r="AG533" i="13"/>
  <c r="AG534" i="13"/>
  <c r="AG535" i="13"/>
  <c r="AG536" i="13"/>
  <c r="AG537" i="13"/>
  <c r="AG538" i="13"/>
  <c r="AG539" i="13"/>
  <c r="AG540" i="13"/>
  <c r="AG541" i="13"/>
  <c r="AG542" i="13"/>
  <c r="AG543" i="13"/>
  <c r="AG544" i="13"/>
  <c r="AG545" i="13"/>
  <c r="AG546" i="13"/>
  <c r="AG547" i="13"/>
  <c r="AG548" i="13"/>
  <c r="AG549" i="13"/>
  <c r="AG550" i="13"/>
  <c r="AG551" i="13"/>
  <c r="AG552" i="13"/>
  <c r="AG553" i="13"/>
  <c r="AG554" i="13"/>
  <c r="AG555" i="13"/>
  <c r="AG556" i="13"/>
  <c r="AG557" i="13"/>
  <c r="AG558" i="13"/>
  <c r="AG559" i="13"/>
  <c r="AG560" i="13"/>
  <c r="AG561" i="13"/>
  <c r="AG562" i="13"/>
  <c r="AG563" i="13"/>
  <c r="AG564" i="13"/>
  <c r="AG565" i="13"/>
  <c r="AG566" i="13"/>
  <c r="AG567" i="13"/>
  <c r="AG568" i="13"/>
  <c r="AG569" i="13"/>
  <c r="AG570" i="13"/>
  <c r="AG571" i="13"/>
  <c r="AG572" i="13"/>
  <c r="AG573" i="13"/>
  <c r="AG574" i="13"/>
  <c r="AG575" i="13"/>
  <c r="AG576" i="13"/>
  <c r="AG577" i="13"/>
  <c r="AG578" i="13"/>
  <c r="AG579" i="13"/>
  <c r="AG580" i="13"/>
  <c r="AG581" i="13"/>
  <c r="AG582" i="13"/>
  <c r="AG583" i="13"/>
  <c r="AG584" i="13"/>
  <c r="AG585" i="13"/>
  <c r="AG586" i="13"/>
  <c r="AG587" i="13"/>
  <c r="AG588" i="13"/>
  <c r="AG589" i="13"/>
  <c r="AG590" i="13"/>
  <c r="AG591" i="13"/>
  <c r="AG592" i="13"/>
  <c r="AG593" i="13"/>
  <c r="AG594" i="13"/>
  <c r="AG595" i="13"/>
  <c r="AG596" i="13"/>
  <c r="AG597" i="13"/>
  <c r="AG598" i="13"/>
  <c r="AG599" i="13"/>
  <c r="AG600" i="13"/>
  <c r="AG601" i="13"/>
  <c r="AG602" i="13"/>
  <c r="AG603" i="13"/>
  <c r="AG604" i="13"/>
  <c r="AG605" i="13"/>
  <c r="AG606" i="13"/>
  <c r="AG607" i="13"/>
  <c r="AG608" i="13"/>
  <c r="AG609" i="13"/>
  <c r="AG610" i="13"/>
  <c r="AG611" i="13"/>
  <c r="AG612" i="13"/>
  <c r="AG613" i="13"/>
  <c r="AG614" i="13"/>
  <c r="AG615" i="13"/>
  <c r="AG616" i="13"/>
  <c r="AG617" i="13"/>
  <c r="AG618" i="13"/>
  <c r="AG619" i="13"/>
  <c r="AG620" i="13"/>
  <c r="AG621" i="13"/>
  <c r="AG622" i="13"/>
  <c r="AG623" i="13"/>
  <c r="AG624" i="13"/>
  <c r="AG625" i="13"/>
  <c r="AG626" i="13"/>
  <c r="AG627" i="13"/>
  <c r="AG628" i="13"/>
  <c r="AG629" i="13"/>
  <c r="AG630" i="13"/>
  <c r="AG631" i="13"/>
  <c r="AG632" i="13"/>
  <c r="AG633" i="13"/>
  <c r="AG634" i="13"/>
  <c r="AG635" i="13"/>
  <c r="AG636" i="13"/>
  <c r="AG637" i="13"/>
  <c r="AG638" i="13"/>
  <c r="AG639" i="13"/>
  <c r="AG640" i="13"/>
  <c r="AG641" i="13"/>
  <c r="AG642" i="13"/>
  <c r="AG643" i="13"/>
  <c r="AG644" i="13"/>
  <c r="AG645" i="13"/>
  <c r="AG646" i="13"/>
  <c r="AG647" i="13"/>
  <c r="AG648" i="13"/>
  <c r="AG649" i="13"/>
  <c r="AG650" i="13"/>
  <c r="AG651" i="13"/>
  <c r="AG652" i="13"/>
  <c r="AG653" i="13"/>
  <c r="AG654" i="13"/>
  <c r="AG655" i="13"/>
  <c r="AG656" i="13"/>
  <c r="AG657" i="13"/>
  <c r="AG658" i="13"/>
  <c r="AG659" i="13"/>
  <c r="AG660" i="13"/>
  <c r="AG661" i="13"/>
  <c r="AG662" i="13"/>
  <c r="AG663" i="13"/>
  <c r="AG664" i="13"/>
  <c r="AG665" i="13"/>
  <c r="AG666" i="13"/>
  <c r="AG667" i="13"/>
  <c r="AG668" i="13"/>
  <c r="AG669" i="13"/>
  <c r="AG670" i="13"/>
  <c r="AG671" i="13"/>
  <c r="AG672" i="13"/>
  <c r="AG673" i="13"/>
  <c r="AG674" i="13"/>
  <c r="AG675" i="13"/>
  <c r="AG676" i="13"/>
  <c r="AG677" i="13"/>
  <c r="AG678" i="13"/>
  <c r="AG679" i="13"/>
  <c r="AG680" i="13"/>
  <c r="AG681" i="13"/>
  <c r="AG682" i="13"/>
  <c r="AG683" i="13"/>
  <c r="AG684" i="13"/>
  <c r="AG685" i="13"/>
  <c r="AG686" i="13"/>
  <c r="AG687" i="13"/>
  <c r="AG688" i="13"/>
  <c r="AG689" i="13"/>
  <c r="AG690" i="13"/>
  <c r="AG691" i="13"/>
  <c r="AG692" i="13"/>
  <c r="AG693" i="13"/>
  <c r="AG694" i="13"/>
  <c r="AG695" i="13"/>
  <c r="AG696" i="13"/>
  <c r="AG697" i="13"/>
  <c r="AG698" i="13"/>
  <c r="AG699" i="13"/>
  <c r="AG700" i="13"/>
  <c r="AG701" i="13"/>
  <c r="AG702" i="13"/>
  <c r="AG703" i="13"/>
  <c r="AG704" i="13"/>
  <c r="AG705" i="13"/>
  <c r="AG706" i="13"/>
  <c r="AG707" i="13"/>
  <c r="AG708" i="13"/>
  <c r="AG709" i="13"/>
  <c r="AG710" i="13"/>
  <c r="AG711" i="13"/>
  <c r="AG712" i="13"/>
  <c r="AG713" i="13"/>
  <c r="AG714" i="13"/>
  <c r="AG715" i="13"/>
  <c r="AG716" i="13"/>
  <c r="AG717" i="13"/>
  <c r="AG718" i="13"/>
  <c r="AG719" i="13"/>
  <c r="AG720" i="13"/>
  <c r="AG721" i="13"/>
  <c r="AG722" i="13"/>
  <c r="AG723" i="13"/>
  <c r="AG724" i="13"/>
  <c r="AG725" i="13"/>
  <c r="AG726" i="13"/>
  <c r="AG727" i="13"/>
  <c r="AG728" i="13"/>
  <c r="AG729" i="13"/>
  <c r="AG730" i="13"/>
  <c r="AG731" i="13"/>
  <c r="AG732" i="13"/>
  <c r="AG733" i="13"/>
  <c r="AG734" i="13"/>
  <c r="AG735" i="13"/>
  <c r="AG736" i="13"/>
  <c r="AG737" i="13"/>
  <c r="AG738" i="13"/>
  <c r="AG739" i="13"/>
  <c r="AG740" i="13"/>
  <c r="AG741" i="13"/>
  <c r="AG742" i="13"/>
  <c r="AG743" i="13"/>
  <c r="AG744" i="13"/>
  <c r="AG745" i="13"/>
  <c r="AG746" i="13"/>
  <c r="AG747" i="13"/>
  <c r="AG748" i="13"/>
  <c r="AG749" i="13"/>
  <c r="AG750" i="13"/>
  <c r="AG751" i="13"/>
  <c r="AG752" i="13"/>
  <c r="AG753" i="13"/>
  <c r="AG754" i="13"/>
  <c r="AG755" i="13"/>
  <c r="AG756" i="13"/>
  <c r="AG757" i="13"/>
  <c r="AG758" i="13"/>
  <c r="AG759" i="13"/>
  <c r="AG760" i="13"/>
  <c r="AG761" i="13"/>
  <c r="AG762" i="13"/>
  <c r="AG763" i="13"/>
  <c r="AG764" i="13"/>
  <c r="AG765" i="13"/>
  <c r="AG766" i="13"/>
  <c r="AG767" i="13"/>
  <c r="AG768" i="13"/>
  <c r="AG769" i="13"/>
  <c r="AG770" i="13"/>
  <c r="AG771" i="13"/>
  <c r="AG772" i="13"/>
  <c r="AG773" i="13"/>
  <c r="AG774" i="13"/>
  <c r="AG775" i="13"/>
  <c r="AG776" i="13"/>
  <c r="AG777" i="13"/>
  <c r="AG778" i="13"/>
  <c r="AG779" i="13"/>
  <c r="AG780" i="13"/>
  <c r="AG781" i="13"/>
  <c r="AG782" i="13"/>
  <c r="AG783" i="13"/>
  <c r="AG784" i="13"/>
  <c r="AG785" i="13"/>
  <c r="AG786" i="13"/>
  <c r="AG787" i="13"/>
  <c r="AG788" i="13"/>
  <c r="AG789" i="13"/>
  <c r="AG790" i="13"/>
  <c r="AG791" i="13"/>
  <c r="AG792" i="13"/>
  <c r="AG793" i="13"/>
  <c r="AG794" i="13"/>
  <c r="AG795" i="13"/>
  <c r="AG796" i="13"/>
  <c r="AG797" i="13"/>
  <c r="AG798" i="13"/>
  <c r="AG799" i="13"/>
  <c r="AG800" i="13"/>
  <c r="AG801" i="13"/>
  <c r="AG802" i="13"/>
  <c r="AG803" i="13"/>
  <c r="AG804" i="13"/>
  <c r="AG805" i="13"/>
  <c r="AG806" i="13"/>
  <c r="AG807" i="13"/>
  <c r="AG808" i="13"/>
  <c r="AG809" i="13"/>
  <c r="AG810" i="13"/>
  <c r="AG811" i="13"/>
  <c r="AG812" i="13"/>
  <c r="AG813" i="13"/>
  <c r="AG814" i="13"/>
  <c r="AG815" i="13"/>
  <c r="AG816" i="13"/>
  <c r="AG817" i="13"/>
  <c r="AG818" i="13"/>
  <c r="AG819" i="13"/>
  <c r="AG820" i="13"/>
  <c r="AG821" i="13"/>
  <c r="AG822" i="13"/>
  <c r="AG823" i="13"/>
  <c r="AG824" i="13"/>
  <c r="AG825" i="13"/>
  <c r="AG826" i="13"/>
  <c r="AG827" i="13"/>
  <c r="AG828" i="13"/>
  <c r="AG829" i="13"/>
  <c r="AG830" i="13"/>
  <c r="AG831" i="13"/>
  <c r="AG832" i="13"/>
  <c r="AG833" i="13"/>
  <c r="AG834" i="13"/>
  <c r="AG835" i="13"/>
  <c r="AG836" i="13"/>
  <c r="AG837" i="13"/>
  <c r="AG838" i="13"/>
  <c r="AG839" i="13"/>
  <c r="AG840" i="13"/>
  <c r="AG841" i="13"/>
  <c r="AG842" i="13"/>
  <c r="AG843" i="13"/>
  <c r="AG844" i="13"/>
  <c r="AG845" i="13"/>
  <c r="AG846" i="13"/>
  <c r="AG847" i="13"/>
  <c r="AG848" i="13"/>
  <c r="AG849" i="13"/>
  <c r="AG850" i="13"/>
  <c r="AG851" i="13"/>
  <c r="AG852" i="13"/>
  <c r="AG853" i="13"/>
  <c r="AG854" i="13"/>
  <c r="AG855" i="13"/>
  <c r="AG856" i="13"/>
  <c r="AG857" i="13"/>
  <c r="AG858" i="13"/>
  <c r="AG859" i="13"/>
  <c r="AG860" i="13"/>
  <c r="AG861" i="13"/>
  <c r="AG862" i="13"/>
  <c r="AG863" i="13"/>
  <c r="AG864" i="13"/>
  <c r="AG865" i="13"/>
  <c r="AG866" i="13"/>
  <c r="AG867" i="13"/>
  <c r="AG868" i="13"/>
  <c r="AG869" i="13"/>
  <c r="AG870" i="13"/>
  <c r="AG871" i="13"/>
  <c r="AG872" i="13"/>
  <c r="AG873" i="13"/>
  <c r="AG874" i="13"/>
  <c r="AG875" i="13"/>
  <c r="AG876" i="13"/>
  <c r="AG877" i="13"/>
  <c r="AG878" i="13"/>
  <c r="AG879" i="13"/>
  <c r="AG880" i="13"/>
  <c r="AG881" i="13"/>
  <c r="AG882" i="13"/>
  <c r="AG883" i="13"/>
  <c r="AG884" i="13"/>
  <c r="AG885" i="13"/>
  <c r="AG886" i="13"/>
  <c r="AG887" i="13"/>
  <c r="AG888" i="13"/>
  <c r="AG889" i="13"/>
  <c r="AG890" i="13"/>
  <c r="AG891" i="13"/>
  <c r="AG892" i="13"/>
  <c r="AG893" i="13"/>
  <c r="AG894" i="13"/>
  <c r="AG895" i="13"/>
  <c r="AG896" i="13"/>
  <c r="AG897" i="13"/>
  <c r="AG898" i="13"/>
  <c r="AG899" i="13"/>
  <c r="AG900" i="13"/>
  <c r="AG901" i="13"/>
  <c r="AG902" i="13"/>
  <c r="AG903" i="13"/>
  <c r="AG904" i="13"/>
  <c r="AG905" i="13"/>
  <c r="AG906" i="13"/>
  <c r="AG907" i="13"/>
  <c r="AG908" i="13"/>
  <c r="AG909" i="13"/>
  <c r="AG910" i="13"/>
  <c r="AG911" i="13"/>
  <c r="AG912" i="13"/>
  <c r="AG913" i="13"/>
  <c r="AG914" i="13"/>
  <c r="AG915" i="13"/>
  <c r="AG916" i="13"/>
  <c r="AG917" i="13"/>
  <c r="AG918" i="13"/>
  <c r="AG919" i="13"/>
  <c r="AG920" i="13"/>
  <c r="AG921" i="13"/>
  <c r="AG922" i="13"/>
  <c r="AG923" i="13"/>
  <c r="AG924" i="13"/>
  <c r="AG925" i="13"/>
  <c r="AG926" i="13"/>
  <c r="AG927" i="13"/>
  <c r="AG928" i="13"/>
  <c r="AG929" i="13"/>
  <c r="AG930" i="13"/>
  <c r="AG931" i="13"/>
  <c r="AG932" i="13"/>
  <c r="AG933" i="13"/>
  <c r="AG934" i="13"/>
  <c r="AG935" i="13"/>
  <c r="AG936" i="13"/>
  <c r="AG937" i="13"/>
  <c r="AG938" i="13"/>
  <c r="AG939" i="13"/>
  <c r="AG940" i="13"/>
  <c r="AG941" i="13"/>
  <c r="AG942" i="13"/>
  <c r="AG943" i="13"/>
  <c r="AG944" i="13"/>
  <c r="AG945" i="13"/>
  <c r="AG946" i="13"/>
  <c r="AG947" i="13"/>
  <c r="AG948" i="13"/>
  <c r="AG949" i="13"/>
  <c r="AG950" i="13"/>
  <c r="AG951" i="13"/>
  <c r="AG952" i="13"/>
  <c r="AG953" i="13"/>
  <c r="AG954" i="13"/>
  <c r="AG955" i="13"/>
  <c r="AG956" i="13"/>
  <c r="AG957" i="13"/>
  <c r="AG958" i="13"/>
  <c r="AG959" i="13"/>
  <c r="AG960" i="13"/>
  <c r="AG961" i="13"/>
  <c r="AG962" i="13"/>
  <c r="AG963" i="13"/>
  <c r="AG964" i="13"/>
  <c r="AG965" i="13"/>
  <c r="AG966" i="13"/>
  <c r="AG967" i="13"/>
  <c r="AG968" i="13"/>
  <c r="AG969" i="13"/>
  <c r="AG970" i="13"/>
  <c r="AG971" i="13"/>
  <c r="AG972" i="13"/>
  <c r="AG973" i="13"/>
  <c r="AG974" i="13"/>
  <c r="AG975" i="13"/>
  <c r="AG976" i="13"/>
  <c r="AG977" i="13"/>
  <c r="AG978" i="13"/>
  <c r="AG979" i="13"/>
  <c r="AG980" i="13"/>
  <c r="AG981" i="13"/>
  <c r="AG982" i="13"/>
  <c r="AG983" i="13"/>
  <c r="AG984" i="13"/>
  <c r="AG985" i="13"/>
  <c r="AG986" i="13"/>
  <c r="AG987" i="13"/>
  <c r="AG988" i="13"/>
  <c r="AG989" i="13"/>
  <c r="AG990" i="13"/>
  <c r="AG991" i="13"/>
  <c r="AG992" i="13"/>
  <c r="AG993" i="13"/>
  <c r="AG994" i="13"/>
  <c r="AG995" i="13"/>
  <c r="AG996" i="13"/>
  <c r="AG997" i="13"/>
  <c r="AG998" i="13"/>
  <c r="AG999" i="13"/>
  <c r="AG1000" i="13"/>
  <c r="AG1001" i="13"/>
  <c r="AG1002" i="13"/>
  <c r="AG1003" i="13"/>
  <c r="AG1004" i="13"/>
  <c r="AG1005" i="13"/>
  <c r="AG1006" i="13"/>
  <c r="AG1007" i="13"/>
  <c r="AG1008" i="13"/>
  <c r="AG1009" i="13"/>
  <c r="AG1010" i="13"/>
  <c r="AG1011" i="13"/>
  <c r="AG1012" i="13"/>
  <c r="AG1013" i="13"/>
  <c r="AG1014" i="13"/>
  <c r="AG1015" i="13"/>
  <c r="AG1016" i="13"/>
  <c r="AG1017" i="13"/>
  <c r="AG1018" i="13"/>
  <c r="AG1019" i="13"/>
  <c r="AG1020" i="13"/>
  <c r="AG1021" i="13"/>
  <c r="AG1022" i="13"/>
  <c r="AG1023" i="13"/>
  <c r="AG1024" i="13"/>
  <c r="AG1025" i="13"/>
  <c r="AG1026" i="13"/>
  <c r="AG1027" i="13"/>
  <c r="AG1028" i="13"/>
  <c r="AG1029" i="13"/>
  <c r="AG1030" i="13"/>
  <c r="AG1031" i="13"/>
  <c r="AG1032" i="13"/>
  <c r="AG1033" i="13"/>
  <c r="AG1034" i="13"/>
  <c r="AG1035" i="13"/>
  <c r="AG1036" i="13"/>
  <c r="AG1037" i="13"/>
  <c r="AG1038" i="13"/>
  <c r="AG1039" i="13"/>
  <c r="AG1040" i="13"/>
  <c r="AG1041" i="13"/>
  <c r="AG1042" i="13"/>
  <c r="AG1043" i="13"/>
  <c r="AG1044" i="13"/>
  <c r="AG1045" i="13"/>
  <c r="AG1046" i="13"/>
  <c r="AG1047" i="13"/>
  <c r="AG1048" i="13"/>
  <c r="AG1049" i="13"/>
  <c r="AG1050" i="13"/>
  <c r="AG1051" i="13"/>
  <c r="AG1052" i="13"/>
  <c r="AG1053" i="13"/>
  <c r="AG1054" i="13"/>
  <c r="AG1055" i="13"/>
  <c r="AG1056" i="13"/>
  <c r="AG1057" i="13"/>
  <c r="AG1058" i="13"/>
  <c r="AG1059" i="13"/>
  <c r="AG1060" i="13"/>
  <c r="AG1061" i="13"/>
  <c r="AG1062" i="13"/>
  <c r="AG1063" i="13"/>
  <c r="AG1064" i="13"/>
  <c r="AG1065" i="13"/>
  <c r="AG1066" i="13"/>
  <c r="AG1067" i="13"/>
  <c r="AG1068" i="13"/>
  <c r="AG1069" i="13"/>
  <c r="AG1070" i="13"/>
  <c r="AG1071" i="13"/>
  <c r="AG1072" i="13"/>
  <c r="AG1073" i="13"/>
  <c r="AG1074" i="13"/>
  <c r="AG1075" i="13"/>
  <c r="AG1076" i="13"/>
  <c r="AG1077" i="13"/>
  <c r="AG1078" i="13"/>
  <c r="AG1079" i="13"/>
  <c r="AG1080" i="13"/>
  <c r="AG1081" i="13"/>
  <c r="AG1082" i="13"/>
  <c r="AG1083" i="13"/>
  <c r="AG1084" i="13"/>
  <c r="AG1085" i="13"/>
  <c r="AG1086" i="13"/>
  <c r="AG1087" i="13"/>
  <c r="AG1088" i="13"/>
  <c r="AG1089" i="13"/>
  <c r="AG1090" i="13"/>
  <c r="AG1091" i="13"/>
  <c r="AG1092" i="13"/>
  <c r="AG1093" i="13"/>
  <c r="AG1094" i="13"/>
  <c r="AG1095" i="13"/>
  <c r="AG1096" i="13"/>
  <c r="AG1097" i="13"/>
  <c r="AG1098" i="13"/>
  <c r="AG1099" i="13"/>
  <c r="AG1100" i="13"/>
  <c r="AG1101" i="13"/>
  <c r="AG1102" i="13"/>
  <c r="AG1103" i="13"/>
  <c r="AG1104" i="13"/>
  <c r="AG1105" i="13"/>
  <c r="AG1106" i="13"/>
  <c r="AG1107" i="13"/>
  <c r="AG1108" i="13"/>
  <c r="AG1109" i="13"/>
  <c r="AG1110" i="13"/>
  <c r="AG1111" i="13"/>
  <c r="AG1112" i="13"/>
  <c r="AG1113" i="13"/>
  <c r="AG1114" i="13"/>
  <c r="AG1115" i="13"/>
  <c r="AG1116" i="13"/>
  <c r="AG1117" i="13"/>
  <c r="AG1118" i="13"/>
  <c r="AG1119" i="13"/>
  <c r="AG1120" i="13"/>
  <c r="AG1121" i="13"/>
  <c r="AG1122" i="13"/>
  <c r="AG1123" i="13"/>
  <c r="AG1124" i="13"/>
  <c r="AG1125" i="13"/>
  <c r="AG1126" i="13"/>
  <c r="AG1127" i="13"/>
  <c r="AG1128" i="13"/>
  <c r="AG1129" i="13"/>
  <c r="AG1130" i="13"/>
  <c r="AG1131" i="13"/>
  <c r="AG1132" i="13"/>
  <c r="AG1133" i="13"/>
  <c r="AG1134" i="13"/>
  <c r="AG1135" i="13"/>
  <c r="AG1136" i="13"/>
  <c r="AG1137" i="13"/>
  <c r="AG1138" i="13"/>
  <c r="AG1139" i="13"/>
  <c r="AG1140" i="13"/>
  <c r="AG1141" i="13"/>
  <c r="AG1142" i="13"/>
  <c r="AG1143" i="13"/>
  <c r="AG1144" i="13"/>
  <c r="AG1145" i="13"/>
  <c r="AG1146" i="13"/>
  <c r="AG1147" i="13"/>
  <c r="AG1148" i="13"/>
  <c r="AG1149" i="13"/>
  <c r="AG1150" i="13"/>
  <c r="AG1151" i="13"/>
  <c r="AG1152" i="13"/>
  <c r="AG1153" i="13"/>
  <c r="AG1154" i="13"/>
  <c r="AG1155" i="13"/>
  <c r="AG1156" i="13"/>
  <c r="AG1157" i="13"/>
  <c r="AG1158" i="13"/>
  <c r="AG1159" i="13"/>
  <c r="AG1160" i="13"/>
  <c r="AG1161" i="13"/>
  <c r="AG1162" i="13"/>
  <c r="AG1163" i="13"/>
  <c r="AG1164" i="13"/>
  <c r="AG1165" i="13"/>
  <c r="AG1166" i="13"/>
  <c r="AG1167" i="13"/>
  <c r="AG1168" i="13"/>
  <c r="AG1169" i="13"/>
  <c r="AG1170" i="13"/>
  <c r="AG1171" i="13"/>
  <c r="AG1172" i="13"/>
  <c r="AG1173" i="13"/>
  <c r="AG1174" i="13"/>
  <c r="AG1175" i="13"/>
  <c r="AG1176" i="13"/>
  <c r="AG1177" i="13"/>
  <c r="AG1178" i="13"/>
  <c r="AG1179" i="13"/>
  <c r="AG1180" i="13"/>
  <c r="AG1181" i="13"/>
  <c r="AG1182" i="13"/>
  <c r="AG1183" i="13"/>
  <c r="AG1184" i="13"/>
  <c r="AG1185" i="13"/>
  <c r="AG1186" i="13"/>
  <c r="AG1187" i="13"/>
  <c r="AG1188" i="13"/>
  <c r="AG1189" i="13"/>
  <c r="AG1190" i="13"/>
  <c r="AG1191" i="13"/>
  <c r="AG1192" i="13"/>
  <c r="AG1193" i="13"/>
  <c r="AG1194" i="13"/>
  <c r="AG1195" i="13"/>
  <c r="AG1196" i="13"/>
  <c r="AG1197" i="13"/>
  <c r="AG1198" i="13"/>
  <c r="AG1199" i="13"/>
  <c r="AG1200" i="13"/>
  <c r="AG1201" i="13"/>
  <c r="AG1202" i="13"/>
  <c r="AG1203" i="13"/>
  <c r="AG1204" i="13"/>
  <c r="AG1205" i="13"/>
  <c r="AG1206" i="13"/>
  <c r="AG1207" i="13"/>
  <c r="AG1208" i="13"/>
  <c r="AG1209" i="13"/>
  <c r="AG1210" i="13"/>
  <c r="AG1211" i="13"/>
  <c r="AG1212" i="13"/>
  <c r="AG1213" i="13"/>
  <c r="AG1214" i="13"/>
  <c r="AG1215" i="13"/>
  <c r="AG1216" i="13"/>
  <c r="AG1217" i="13"/>
  <c r="AG1218" i="13"/>
  <c r="AG1219" i="13"/>
  <c r="AG1220" i="13"/>
  <c r="AG1221" i="13"/>
  <c r="AG1222" i="13"/>
  <c r="AG1223" i="13"/>
  <c r="AG1224" i="13"/>
  <c r="AG1225" i="13"/>
  <c r="AG1226" i="13"/>
  <c r="AG1227" i="13"/>
  <c r="AG1228" i="13"/>
  <c r="AG1229" i="13"/>
  <c r="AG1230" i="13"/>
  <c r="AG1231" i="13"/>
  <c r="AG1232" i="13"/>
  <c r="AG1233" i="13"/>
  <c r="AG1234" i="13"/>
  <c r="AG1235" i="13"/>
  <c r="AG1236" i="13"/>
  <c r="AG1237" i="13"/>
  <c r="AG1238" i="13"/>
  <c r="AG1239" i="13"/>
  <c r="AG1240" i="13"/>
  <c r="AG1241" i="13"/>
  <c r="AG1242" i="13"/>
  <c r="AG1243" i="13"/>
  <c r="AG1244" i="13"/>
  <c r="AG1245" i="13"/>
  <c r="AG1246" i="13"/>
  <c r="AG1247" i="13"/>
  <c r="AG1248" i="13"/>
  <c r="AG1249" i="13"/>
  <c r="AG1250" i="13"/>
  <c r="AG1251" i="13"/>
  <c r="AG1252" i="13"/>
  <c r="AG1253" i="13"/>
  <c r="AG1254" i="13"/>
  <c r="AG1255" i="13"/>
  <c r="AG1256" i="13"/>
  <c r="AG1257" i="13"/>
  <c r="AG1258" i="13"/>
  <c r="AG1259" i="13"/>
  <c r="AG1260" i="13"/>
  <c r="AG1261" i="13"/>
  <c r="AG1262" i="13"/>
  <c r="AG1263" i="13"/>
  <c r="AG1264" i="13"/>
  <c r="AG1265" i="13"/>
  <c r="AG1266" i="13"/>
  <c r="AG1267" i="13"/>
  <c r="AG1268" i="13"/>
  <c r="AG1269" i="13"/>
  <c r="AG1270" i="13"/>
  <c r="AG1271" i="13"/>
  <c r="AG1272" i="13"/>
  <c r="AG1273" i="13"/>
  <c r="AG1274" i="13"/>
  <c r="AG1275" i="13"/>
  <c r="AG1276" i="13"/>
  <c r="AG1277" i="13"/>
  <c r="AG1278" i="13"/>
  <c r="AG1279" i="13"/>
  <c r="AG1280" i="13"/>
  <c r="AG1281" i="13"/>
  <c r="AG1282" i="13"/>
  <c r="AG1283" i="13"/>
  <c r="AG1284" i="13"/>
  <c r="AG1285" i="13"/>
  <c r="AG1286" i="13"/>
  <c r="AG1287" i="13"/>
  <c r="AG1288" i="13"/>
  <c r="AG1289" i="13"/>
  <c r="AG1290" i="13"/>
  <c r="AG1291" i="13"/>
  <c r="AG1292" i="13"/>
  <c r="AG1293" i="13"/>
  <c r="AG1294" i="13"/>
  <c r="AG1295" i="13"/>
  <c r="AG1296" i="13"/>
  <c r="AG1297" i="13"/>
  <c r="AG1298" i="13"/>
  <c r="AG1299" i="13"/>
  <c r="AG1300" i="13"/>
  <c r="AG1301" i="13"/>
  <c r="AG1302" i="13"/>
  <c r="AG1303" i="13"/>
  <c r="AG1304" i="13"/>
  <c r="AG1305" i="13"/>
  <c r="AG1306" i="13"/>
  <c r="AG1307" i="13"/>
  <c r="AG1308" i="13"/>
  <c r="AG1309" i="13"/>
  <c r="AG1310" i="13"/>
  <c r="AG1311" i="13"/>
  <c r="AG1312" i="13"/>
  <c r="AG1313" i="13"/>
  <c r="AG1314" i="13"/>
  <c r="AG1315" i="13"/>
  <c r="AG1316" i="13"/>
  <c r="AG1317" i="13"/>
  <c r="AG1318" i="13"/>
  <c r="AG1319" i="13"/>
  <c r="AG1320" i="13"/>
  <c r="AG1321" i="13"/>
  <c r="AG1322" i="13"/>
  <c r="AG1323" i="13"/>
  <c r="AG1324" i="13"/>
  <c r="AG1325" i="13"/>
  <c r="AG1326" i="13"/>
  <c r="AG1327" i="13"/>
  <c r="AG1328" i="13"/>
  <c r="AG1329" i="13"/>
  <c r="AG1330" i="13"/>
  <c r="AG1331" i="13"/>
  <c r="AG1332" i="13"/>
  <c r="AG1333" i="13"/>
  <c r="AG1334" i="13"/>
  <c r="AG1335" i="13"/>
  <c r="AG1336" i="13"/>
  <c r="AG1337" i="13"/>
  <c r="AG1338" i="13"/>
  <c r="AG1339" i="13"/>
  <c r="AG1340" i="13"/>
  <c r="AG1341" i="13"/>
  <c r="AG1342" i="13"/>
  <c r="AG1343" i="13"/>
  <c r="AG1344" i="13"/>
  <c r="AG1345" i="13"/>
  <c r="AG1346" i="13"/>
  <c r="AG1347" i="13"/>
  <c r="AG1348" i="13"/>
  <c r="AG1349" i="13"/>
  <c r="AG1350" i="13"/>
  <c r="AG1351" i="13"/>
  <c r="AG1352" i="13"/>
  <c r="AG1353" i="13"/>
  <c r="AG1354" i="13"/>
  <c r="AG1355" i="13"/>
  <c r="AG1356" i="13"/>
  <c r="AG1357" i="13"/>
  <c r="AG1358" i="13"/>
  <c r="AG1359" i="13"/>
  <c r="AG1360" i="13"/>
  <c r="AG1361" i="13"/>
  <c r="AG1362" i="13"/>
  <c r="AG1363" i="13"/>
  <c r="AG1364" i="13"/>
  <c r="AG1365" i="13"/>
  <c r="AG1366" i="13"/>
  <c r="AG1367" i="13"/>
  <c r="AG1368" i="13"/>
  <c r="AG1369" i="13"/>
  <c r="AG1370" i="13"/>
  <c r="AG1371" i="13"/>
  <c r="AG1372" i="13"/>
  <c r="AG1373" i="13"/>
  <c r="AG1374" i="13"/>
  <c r="AG1375" i="13"/>
  <c r="AG1376" i="13"/>
  <c r="AG1377" i="13"/>
  <c r="AG1378" i="13"/>
  <c r="AG1379" i="13"/>
  <c r="AG1380" i="13"/>
  <c r="AG1381" i="13"/>
  <c r="AG1382" i="13"/>
  <c r="AG1383" i="13"/>
  <c r="AB8" i="13"/>
  <c r="AB9" i="13"/>
  <c r="AB10" i="13"/>
  <c r="AB11" i="13"/>
  <c r="AB12" i="13"/>
  <c r="AB13" i="13"/>
  <c r="AB14" i="13"/>
  <c r="AB15" i="13"/>
  <c r="AB16" i="13"/>
  <c r="AB17" i="13"/>
  <c r="AB18" i="13"/>
  <c r="AB19" i="13"/>
  <c r="AB20" i="13"/>
  <c r="AB21" i="13"/>
  <c r="AB22" i="13"/>
  <c r="AB23" i="13"/>
  <c r="AB24" i="13"/>
  <c r="AB25" i="13"/>
  <c r="AB26" i="13"/>
  <c r="AB27" i="13"/>
  <c r="AB28" i="13"/>
  <c r="AB29" i="13"/>
  <c r="AB30" i="13"/>
  <c r="AB31" i="13"/>
  <c r="AB32" i="13"/>
  <c r="AB33" i="13"/>
  <c r="AB34" i="13"/>
  <c r="AB35" i="13"/>
  <c r="AB36" i="13"/>
  <c r="AB37" i="13"/>
  <c r="AB38" i="13"/>
  <c r="AB39" i="13"/>
  <c r="AB40" i="13"/>
  <c r="AB41" i="13"/>
  <c r="AB42" i="13"/>
  <c r="AB43" i="13"/>
  <c r="AB44" i="13"/>
  <c r="AB45" i="13"/>
  <c r="AB46" i="13"/>
  <c r="AB47" i="13"/>
  <c r="AB48" i="13"/>
  <c r="AB49" i="13"/>
  <c r="AB50" i="13"/>
  <c r="AB51" i="13"/>
  <c r="AB52" i="13"/>
  <c r="AB53" i="13"/>
  <c r="AB54" i="13"/>
  <c r="AB55" i="13"/>
  <c r="AB56" i="13"/>
  <c r="AB57" i="13"/>
  <c r="AB58" i="13"/>
  <c r="AB59" i="13"/>
  <c r="AB60" i="13"/>
  <c r="AB61" i="13"/>
  <c r="AB62" i="13"/>
  <c r="AB63" i="13"/>
  <c r="AB64" i="13"/>
  <c r="AB65" i="13"/>
  <c r="AB66" i="13"/>
  <c r="AB67" i="13"/>
  <c r="AB68" i="13"/>
  <c r="AB69" i="13"/>
  <c r="AB70" i="13"/>
  <c r="AB71" i="13"/>
  <c r="AB72" i="13"/>
  <c r="AB73" i="13"/>
  <c r="AB74" i="13"/>
  <c r="AB75" i="13"/>
  <c r="AB76" i="13"/>
  <c r="AB77" i="13"/>
  <c r="AB78" i="13"/>
  <c r="AB79" i="13"/>
  <c r="AB80" i="13"/>
  <c r="AB81" i="13"/>
  <c r="AB82" i="13"/>
  <c r="AB83" i="13"/>
  <c r="AB84" i="13"/>
  <c r="AB85" i="13"/>
  <c r="AB86" i="13"/>
  <c r="AB87" i="13"/>
  <c r="AB88" i="13"/>
  <c r="AB89" i="13"/>
  <c r="AB90" i="13"/>
  <c r="AB91" i="13"/>
  <c r="AB92" i="13"/>
  <c r="AB93" i="13"/>
  <c r="AB94" i="13"/>
  <c r="AB95" i="13"/>
  <c r="AB96" i="13"/>
  <c r="AB97" i="13"/>
  <c r="AB98" i="13"/>
  <c r="AB99" i="13"/>
  <c r="AB100" i="13"/>
  <c r="AB101" i="13"/>
  <c r="AB102" i="13"/>
  <c r="AB103" i="13"/>
  <c r="AB104" i="13"/>
  <c r="AB105" i="13"/>
  <c r="AB106" i="13"/>
  <c r="AB107" i="13"/>
  <c r="AB108" i="13"/>
  <c r="AB109" i="13"/>
  <c r="AB110" i="13"/>
  <c r="AB111" i="13"/>
  <c r="AB112" i="13"/>
  <c r="AB113" i="13"/>
  <c r="AB114" i="13"/>
  <c r="AB115" i="13"/>
  <c r="AB116" i="13"/>
  <c r="AB117" i="13"/>
  <c r="AB118" i="13"/>
  <c r="AB119" i="13"/>
  <c r="AB120" i="13"/>
  <c r="AB121" i="13"/>
  <c r="AB122" i="13"/>
  <c r="AB123" i="13"/>
  <c r="AB124" i="13"/>
  <c r="AB125" i="13"/>
  <c r="AB126" i="13"/>
  <c r="AB127" i="13"/>
  <c r="AB128" i="13"/>
  <c r="AB129" i="13"/>
  <c r="AB130" i="13"/>
  <c r="AB131" i="13"/>
  <c r="AB132" i="13"/>
  <c r="AB133" i="13"/>
  <c r="AB134" i="13"/>
  <c r="AB135" i="13"/>
  <c r="AB136" i="13"/>
  <c r="AB137" i="13"/>
  <c r="AB138" i="13"/>
  <c r="AB139" i="13"/>
  <c r="AB140" i="13"/>
  <c r="AB141" i="13"/>
  <c r="AB142" i="13"/>
  <c r="AB143" i="13"/>
  <c r="AB144" i="13"/>
  <c r="AB145" i="13"/>
  <c r="AB146" i="13"/>
  <c r="AB147" i="13"/>
  <c r="AB148" i="13"/>
  <c r="AB149" i="13"/>
  <c r="AB150" i="13"/>
  <c r="AB151" i="13"/>
  <c r="AB152" i="13"/>
  <c r="AB153" i="13"/>
  <c r="AB154" i="13"/>
  <c r="AB155" i="13"/>
  <c r="AB156" i="13"/>
  <c r="AB157" i="13"/>
  <c r="AB158" i="13"/>
  <c r="AB159" i="13"/>
  <c r="AB160" i="13"/>
  <c r="AB161" i="13"/>
  <c r="AB162" i="13"/>
  <c r="AB163" i="13"/>
  <c r="AB164" i="13"/>
  <c r="AB165" i="13"/>
  <c r="AB166" i="13"/>
  <c r="AB167" i="13"/>
  <c r="AB168" i="13"/>
  <c r="AB169" i="13"/>
  <c r="AB170" i="13"/>
  <c r="AB171" i="13"/>
  <c r="AB172" i="13"/>
  <c r="AB173" i="13"/>
  <c r="AB174" i="13"/>
  <c r="AB175" i="13"/>
  <c r="AB176" i="13"/>
  <c r="AB177" i="13"/>
  <c r="AB178" i="13"/>
  <c r="AB179" i="13"/>
  <c r="AB180" i="13"/>
  <c r="AB181" i="13"/>
  <c r="AB182" i="13"/>
  <c r="AB183" i="13"/>
  <c r="AB184" i="13"/>
  <c r="AB185" i="13"/>
  <c r="AB186" i="13"/>
  <c r="AB187" i="13"/>
  <c r="AB188" i="13"/>
  <c r="AB189" i="13"/>
  <c r="AB190" i="13"/>
  <c r="AB191" i="13"/>
  <c r="AB192" i="13"/>
  <c r="AB193" i="13"/>
  <c r="AB194" i="13"/>
  <c r="AB195" i="13"/>
  <c r="AB196" i="13"/>
  <c r="AB197" i="13"/>
  <c r="AB198" i="13"/>
  <c r="AB199" i="13"/>
  <c r="AB200" i="13"/>
  <c r="AB201" i="13"/>
  <c r="AB202" i="13"/>
  <c r="AB203" i="13"/>
  <c r="AB204" i="13"/>
  <c r="AB205" i="13"/>
  <c r="AB206" i="13"/>
  <c r="AB207" i="13"/>
  <c r="AB208" i="13"/>
  <c r="AB209" i="13"/>
  <c r="AB210" i="13"/>
  <c r="AB211" i="13"/>
  <c r="AB212" i="13"/>
  <c r="AB213" i="13"/>
  <c r="AB214" i="13"/>
  <c r="AB215" i="13"/>
  <c r="AB216" i="13"/>
  <c r="AB217" i="13"/>
  <c r="AB218" i="13"/>
  <c r="AB219" i="13"/>
  <c r="AB220" i="13"/>
  <c r="AB221" i="13"/>
  <c r="AB222" i="13"/>
  <c r="AB223" i="13"/>
  <c r="AB224" i="13"/>
  <c r="AB225" i="13"/>
  <c r="AB226" i="13"/>
  <c r="AB227" i="13"/>
  <c r="AB228" i="13"/>
  <c r="AB229" i="13"/>
  <c r="AB230" i="13"/>
  <c r="AB231" i="13"/>
  <c r="AB232" i="13"/>
  <c r="AB233" i="13"/>
  <c r="AB234" i="13"/>
  <c r="AB235" i="13"/>
  <c r="AB236" i="13"/>
  <c r="AB237" i="13"/>
  <c r="AB238" i="13"/>
  <c r="AB239" i="13"/>
  <c r="AB240" i="13"/>
  <c r="AB241" i="13"/>
  <c r="AB242" i="13"/>
  <c r="AB243" i="13"/>
  <c r="AB244" i="13"/>
  <c r="AB245" i="13"/>
  <c r="AB246" i="13"/>
  <c r="AB247" i="13"/>
  <c r="AB248" i="13"/>
  <c r="AB249" i="13"/>
  <c r="AB250" i="13"/>
  <c r="AB251" i="13"/>
  <c r="AB252" i="13"/>
  <c r="AB253" i="13"/>
  <c r="AB254" i="13"/>
  <c r="AB255" i="13"/>
  <c r="AB256" i="13"/>
  <c r="AB257" i="13"/>
  <c r="AB258" i="13"/>
  <c r="AB259" i="13"/>
  <c r="AB260" i="13"/>
  <c r="AB261" i="13"/>
  <c r="AB262" i="13"/>
  <c r="AB263" i="13"/>
  <c r="AB264" i="13"/>
  <c r="AB265" i="13"/>
  <c r="AB266" i="13"/>
  <c r="AB267" i="13"/>
  <c r="AB268" i="13"/>
  <c r="AB269" i="13"/>
  <c r="AB270" i="13"/>
  <c r="AB271" i="13"/>
  <c r="AB272" i="13"/>
  <c r="AB273" i="13"/>
  <c r="AB274" i="13"/>
  <c r="AB275" i="13"/>
  <c r="AB276" i="13"/>
  <c r="AB277" i="13"/>
  <c r="AB278" i="13"/>
  <c r="AB279" i="13"/>
  <c r="AB280" i="13"/>
  <c r="AB281" i="13"/>
  <c r="AB282" i="13"/>
  <c r="AB283" i="13"/>
  <c r="AB284" i="13"/>
  <c r="AB285" i="13"/>
  <c r="AB286" i="13"/>
  <c r="AB287" i="13"/>
  <c r="AB288" i="13"/>
  <c r="AB289" i="13"/>
  <c r="AB290" i="13"/>
  <c r="AB291" i="13"/>
  <c r="AB292" i="13"/>
  <c r="AB293" i="13"/>
  <c r="AB294" i="13"/>
  <c r="AB295" i="13"/>
  <c r="AB296" i="13"/>
  <c r="AB297" i="13"/>
  <c r="AB298" i="13"/>
  <c r="AB299" i="13"/>
  <c r="AB300" i="13"/>
  <c r="AB301" i="13"/>
  <c r="AB302" i="13"/>
  <c r="AB303" i="13"/>
  <c r="AB304" i="13"/>
  <c r="AB305" i="13"/>
  <c r="AB306" i="13"/>
  <c r="AB307" i="13"/>
  <c r="AB308" i="13"/>
  <c r="AB309" i="13"/>
  <c r="AB310" i="13"/>
  <c r="AB311" i="13"/>
  <c r="AB312" i="13"/>
  <c r="AB313" i="13"/>
  <c r="AB314" i="13"/>
  <c r="AB315" i="13"/>
  <c r="AB316" i="13"/>
  <c r="AB317" i="13"/>
  <c r="AB318" i="13"/>
  <c r="AB319" i="13"/>
  <c r="AB320" i="13"/>
  <c r="AB321" i="13"/>
  <c r="AB322" i="13"/>
  <c r="AB323" i="13"/>
  <c r="AB324" i="13"/>
  <c r="AB325" i="13"/>
  <c r="AB326" i="13"/>
  <c r="AB327" i="13"/>
  <c r="AB328" i="13"/>
  <c r="AB329" i="13"/>
  <c r="AB330" i="13"/>
  <c r="AB331" i="13"/>
  <c r="AB332" i="13"/>
  <c r="AB333" i="13"/>
  <c r="AB334" i="13"/>
  <c r="AB335" i="13"/>
  <c r="AB336" i="13"/>
  <c r="AB337" i="13"/>
  <c r="AB338" i="13"/>
  <c r="AB339" i="13"/>
  <c r="AB340" i="13"/>
  <c r="AB341" i="13"/>
  <c r="AB342" i="13"/>
  <c r="AB343" i="13"/>
  <c r="AB344" i="13"/>
  <c r="AB345" i="13"/>
  <c r="AB346" i="13"/>
  <c r="AB347" i="13"/>
  <c r="AB348" i="13"/>
  <c r="AB349" i="13"/>
  <c r="AB350" i="13"/>
  <c r="AB351" i="13"/>
  <c r="AB352" i="13"/>
  <c r="AB353" i="13"/>
  <c r="AB354" i="13"/>
  <c r="AB355" i="13"/>
  <c r="AB356" i="13"/>
  <c r="AB357" i="13"/>
  <c r="AB358" i="13"/>
  <c r="AB359" i="13"/>
  <c r="AB360" i="13"/>
  <c r="AB361" i="13"/>
  <c r="AB362" i="13"/>
  <c r="AB363" i="13"/>
  <c r="AB364" i="13"/>
  <c r="AB365" i="13"/>
  <c r="AB366" i="13"/>
  <c r="AB367" i="13"/>
  <c r="AB368" i="13"/>
  <c r="AB369" i="13"/>
  <c r="AB370" i="13"/>
  <c r="AB371" i="13"/>
  <c r="AB372" i="13"/>
  <c r="AB373" i="13"/>
  <c r="AB374" i="13"/>
  <c r="AB375" i="13"/>
  <c r="AB376" i="13"/>
  <c r="AB377" i="13"/>
  <c r="AB378" i="13"/>
  <c r="AB379" i="13"/>
  <c r="AB380" i="13"/>
  <c r="AB381" i="13"/>
  <c r="AB382" i="13"/>
  <c r="AB383" i="13"/>
  <c r="AB384" i="13"/>
  <c r="AB385" i="13"/>
  <c r="AB386" i="13"/>
  <c r="AB387" i="13"/>
  <c r="AB388" i="13"/>
  <c r="AB389" i="13"/>
  <c r="AB390" i="13"/>
  <c r="AB391" i="13"/>
  <c r="AB392" i="13"/>
  <c r="AB393" i="13"/>
  <c r="AB394" i="13"/>
  <c r="AB395" i="13"/>
  <c r="AB396" i="13"/>
  <c r="AB397" i="13"/>
  <c r="AB398" i="13"/>
  <c r="AB399" i="13"/>
  <c r="AB400" i="13"/>
  <c r="AB401" i="13"/>
  <c r="AB402" i="13"/>
  <c r="AB403" i="13"/>
  <c r="AB404" i="13"/>
  <c r="AB405" i="13"/>
  <c r="AB406" i="13"/>
  <c r="AB407" i="13"/>
  <c r="AB408" i="13"/>
  <c r="AB409" i="13"/>
  <c r="AB410" i="13"/>
  <c r="AB411" i="13"/>
  <c r="AB412" i="13"/>
  <c r="AB413" i="13"/>
  <c r="AB414" i="13"/>
  <c r="AB415" i="13"/>
  <c r="AB416" i="13"/>
  <c r="AB417" i="13"/>
  <c r="AB418" i="13"/>
  <c r="AB419" i="13"/>
  <c r="AB420" i="13"/>
  <c r="AB421" i="13"/>
  <c r="AB422" i="13"/>
  <c r="AB423" i="13"/>
  <c r="AB424" i="13"/>
  <c r="AB425" i="13"/>
  <c r="AB426" i="13"/>
  <c r="AB427" i="13"/>
  <c r="AB428" i="13"/>
  <c r="AB429" i="13"/>
  <c r="AB430" i="13"/>
  <c r="AB431" i="13"/>
  <c r="AB432" i="13"/>
  <c r="AB433" i="13"/>
  <c r="AB434" i="13"/>
  <c r="AB435" i="13"/>
  <c r="AB436" i="13"/>
  <c r="AB437" i="13"/>
  <c r="AB438" i="13"/>
  <c r="AB439" i="13"/>
  <c r="AB440" i="13"/>
  <c r="AB441" i="13"/>
  <c r="AB442" i="13"/>
  <c r="AB443" i="13"/>
  <c r="AB444" i="13"/>
  <c r="AB445" i="13"/>
  <c r="AB446" i="13"/>
  <c r="AB447" i="13"/>
  <c r="AB448" i="13"/>
  <c r="AB449" i="13"/>
  <c r="AB450" i="13"/>
  <c r="AB451" i="13"/>
  <c r="AB452" i="13"/>
  <c r="AB453" i="13"/>
  <c r="AB454" i="13"/>
  <c r="AB455" i="13"/>
  <c r="AB456" i="13"/>
  <c r="AB457" i="13"/>
  <c r="AB458" i="13"/>
  <c r="AB459" i="13"/>
  <c r="AB460" i="13"/>
  <c r="AB461" i="13"/>
  <c r="AB462" i="13"/>
  <c r="AB463" i="13"/>
  <c r="AB464" i="13"/>
  <c r="AB465" i="13"/>
  <c r="AB466" i="13"/>
  <c r="AB467" i="13"/>
  <c r="AB468" i="13"/>
  <c r="AB469" i="13"/>
  <c r="AB470" i="13"/>
  <c r="AB471" i="13"/>
  <c r="AB472" i="13"/>
  <c r="AB473" i="13"/>
  <c r="AB474" i="13"/>
  <c r="AB475" i="13"/>
  <c r="AB476" i="13"/>
  <c r="AB477" i="13"/>
  <c r="AB478" i="13"/>
  <c r="AB479" i="13"/>
  <c r="AB480" i="13"/>
  <c r="AB481" i="13"/>
  <c r="AB482" i="13"/>
  <c r="AB483" i="13"/>
  <c r="AB484" i="13"/>
  <c r="AB485" i="13"/>
  <c r="AB486" i="13"/>
  <c r="AB487" i="13"/>
  <c r="AB488" i="13"/>
  <c r="AB489" i="13"/>
  <c r="AB490" i="13"/>
  <c r="AB491" i="13"/>
  <c r="AB492" i="13"/>
  <c r="AB493" i="13"/>
  <c r="AB494" i="13"/>
  <c r="AB495" i="13"/>
  <c r="AB496" i="13"/>
  <c r="AB497" i="13"/>
  <c r="AB498" i="13"/>
  <c r="AB499" i="13"/>
  <c r="AB500" i="13"/>
  <c r="AB501" i="13"/>
  <c r="AB502" i="13"/>
  <c r="AB503" i="13"/>
  <c r="AB504" i="13"/>
  <c r="AB505" i="13"/>
  <c r="AB506" i="13"/>
  <c r="AB507" i="13"/>
  <c r="AB508" i="13"/>
  <c r="AB509" i="13"/>
  <c r="AB510" i="13"/>
  <c r="AB511" i="13"/>
  <c r="AB512" i="13"/>
  <c r="AB513" i="13"/>
  <c r="AB514" i="13"/>
  <c r="AB515" i="13"/>
  <c r="AB516" i="13"/>
  <c r="AB517" i="13"/>
  <c r="AB518" i="13"/>
  <c r="AB519" i="13"/>
  <c r="AB520" i="13"/>
  <c r="AB521" i="13"/>
  <c r="AB522" i="13"/>
  <c r="AB523" i="13"/>
  <c r="AB524" i="13"/>
  <c r="AB525" i="13"/>
  <c r="AB526" i="13"/>
  <c r="AB527" i="13"/>
  <c r="AB528" i="13"/>
  <c r="AB529" i="13"/>
  <c r="AB530" i="13"/>
  <c r="AB531" i="13"/>
  <c r="AB532" i="13"/>
  <c r="AB533" i="13"/>
  <c r="AB534" i="13"/>
  <c r="AB535" i="13"/>
  <c r="AB536" i="13"/>
  <c r="AB537" i="13"/>
  <c r="AB538" i="13"/>
  <c r="AB539" i="13"/>
  <c r="AB540" i="13"/>
  <c r="AB541" i="13"/>
  <c r="AB542" i="13"/>
  <c r="AB543" i="13"/>
  <c r="AB544" i="13"/>
  <c r="AB545" i="13"/>
  <c r="AB546" i="13"/>
  <c r="AB547" i="13"/>
  <c r="AB548" i="13"/>
  <c r="AB549" i="13"/>
  <c r="AB550" i="13"/>
  <c r="AB551" i="13"/>
  <c r="AB552" i="13"/>
  <c r="AB553" i="13"/>
  <c r="AB554" i="13"/>
  <c r="AB555" i="13"/>
  <c r="AB556" i="13"/>
  <c r="AB557" i="13"/>
  <c r="AB558" i="13"/>
  <c r="AB559" i="13"/>
  <c r="AB560" i="13"/>
  <c r="AB561" i="13"/>
  <c r="AB562" i="13"/>
  <c r="AB563" i="13"/>
  <c r="AB564" i="13"/>
  <c r="AB565" i="13"/>
  <c r="AB566" i="13"/>
  <c r="AB567" i="13"/>
  <c r="AB568" i="13"/>
  <c r="AB569" i="13"/>
  <c r="AB570" i="13"/>
  <c r="AB571" i="13"/>
  <c r="AB572" i="13"/>
  <c r="AB573" i="13"/>
  <c r="AB574" i="13"/>
  <c r="AB575" i="13"/>
  <c r="AB576" i="13"/>
  <c r="AB577" i="13"/>
  <c r="AB578" i="13"/>
  <c r="AB579" i="13"/>
  <c r="AB580" i="13"/>
  <c r="AB581" i="13"/>
  <c r="AB582" i="13"/>
  <c r="AB583" i="13"/>
  <c r="AB584" i="13"/>
  <c r="AB585" i="13"/>
  <c r="AB586" i="13"/>
  <c r="AB587" i="13"/>
  <c r="AB588" i="13"/>
  <c r="AB589" i="13"/>
  <c r="AB590" i="13"/>
  <c r="AB591" i="13"/>
  <c r="AB592" i="13"/>
  <c r="AB593" i="13"/>
  <c r="AB594" i="13"/>
  <c r="AB595" i="13"/>
  <c r="AB596" i="13"/>
  <c r="AB597" i="13"/>
  <c r="AB598" i="13"/>
  <c r="AB599" i="13"/>
  <c r="AB600" i="13"/>
  <c r="AB601" i="13"/>
  <c r="AB602" i="13"/>
  <c r="AB603" i="13"/>
  <c r="AB604" i="13"/>
  <c r="AB605" i="13"/>
  <c r="AB606" i="13"/>
  <c r="AB607" i="13"/>
  <c r="AB608" i="13"/>
  <c r="AB609" i="13"/>
  <c r="AB610" i="13"/>
  <c r="AB611" i="13"/>
  <c r="AB612" i="13"/>
  <c r="AB613" i="13"/>
  <c r="AB614" i="13"/>
  <c r="AB615" i="13"/>
  <c r="AB616" i="13"/>
  <c r="AB617" i="13"/>
  <c r="AB618" i="13"/>
  <c r="AB619" i="13"/>
  <c r="AB620" i="13"/>
  <c r="AB621" i="13"/>
  <c r="AB622" i="13"/>
  <c r="AB623" i="13"/>
  <c r="AB624" i="13"/>
  <c r="AB625" i="13"/>
  <c r="AB626" i="13"/>
  <c r="AB627" i="13"/>
  <c r="AB628" i="13"/>
  <c r="AB629" i="13"/>
  <c r="AB630" i="13"/>
  <c r="AB631" i="13"/>
  <c r="AB632" i="13"/>
  <c r="AB633" i="13"/>
  <c r="AB634" i="13"/>
  <c r="AB635" i="13"/>
  <c r="AB636" i="13"/>
  <c r="AB637" i="13"/>
  <c r="AB638" i="13"/>
  <c r="AB639" i="13"/>
  <c r="AB640" i="13"/>
  <c r="AB641" i="13"/>
  <c r="AB642" i="13"/>
  <c r="AB643" i="13"/>
  <c r="AB644" i="13"/>
  <c r="AB645" i="13"/>
  <c r="AB646" i="13"/>
  <c r="AB647" i="13"/>
  <c r="AB648" i="13"/>
  <c r="AB649" i="13"/>
  <c r="AB650" i="13"/>
  <c r="AB651" i="13"/>
  <c r="AB652" i="13"/>
  <c r="AB653" i="13"/>
  <c r="AB654" i="13"/>
  <c r="AB655" i="13"/>
  <c r="AB656" i="13"/>
  <c r="AB657" i="13"/>
  <c r="AB658" i="13"/>
  <c r="AB659" i="13"/>
  <c r="AB660" i="13"/>
  <c r="AB661" i="13"/>
  <c r="AB662" i="13"/>
  <c r="AB663" i="13"/>
  <c r="AB664" i="13"/>
  <c r="AB665" i="13"/>
  <c r="AB666" i="13"/>
  <c r="AB667" i="13"/>
  <c r="AB668" i="13"/>
  <c r="AB669" i="13"/>
  <c r="AB670" i="13"/>
  <c r="AB671" i="13"/>
  <c r="AB672" i="13"/>
  <c r="AB673" i="13"/>
  <c r="AB674" i="13"/>
  <c r="AB675" i="13"/>
  <c r="AB676" i="13"/>
  <c r="AB677" i="13"/>
  <c r="AB678" i="13"/>
  <c r="AB679" i="13"/>
  <c r="AB680" i="13"/>
  <c r="AB681" i="13"/>
  <c r="AB682" i="13"/>
  <c r="AB683" i="13"/>
  <c r="AB684" i="13"/>
  <c r="AB685" i="13"/>
  <c r="AB686" i="13"/>
  <c r="AB687" i="13"/>
  <c r="AB688" i="13"/>
  <c r="AB689" i="13"/>
  <c r="AB690" i="13"/>
  <c r="AB691" i="13"/>
  <c r="AB692" i="13"/>
  <c r="AB693" i="13"/>
  <c r="AB694" i="13"/>
  <c r="AB695" i="13"/>
  <c r="AB696" i="13"/>
  <c r="AB697" i="13"/>
  <c r="AB698" i="13"/>
  <c r="AB699" i="13"/>
  <c r="AB700" i="13"/>
  <c r="AB701" i="13"/>
  <c r="AB702" i="13"/>
  <c r="AB703" i="13"/>
  <c r="AB704" i="13"/>
  <c r="AB705" i="13"/>
  <c r="AB706" i="13"/>
  <c r="AB707" i="13"/>
  <c r="AB708" i="13"/>
  <c r="AB709" i="13"/>
  <c r="AB710" i="13"/>
  <c r="AB711" i="13"/>
  <c r="AB712" i="13"/>
  <c r="AB713" i="13"/>
  <c r="AB714" i="13"/>
  <c r="AB715" i="13"/>
  <c r="AB716" i="13"/>
  <c r="AB717" i="13"/>
  <c r="AB718" i="13"/>
  <c r="AB719" i="13"/>
  <c r="AB720" i="13"/>
  <c r="AB721" i="13"/>
  <c r="AB722" i="13"/>
  <c r="AB723" i="13"/>
  <c r="AB724" i="13"/>
  <c r="AB725" i="13"/>
  <c r="AB726" i="13"/>
  <c r="AB727" i="13"/>
  <c r="AB728" i="13"/>
  <c r="AB729" i="13"/>
  <c r="AB730" i="13"/>
  <c r="AB731" i="13"/>
  <c r="AB732" i="13"/>
  <c r="AB733" i="13"/>
  <c r="AB734" i="13"/>
  <c r="AB735" i="13"/>
  <c r="AB736" i="13"/>
  <c r="AB737" i="13"/>
  <c r="AB738" i="13"/>
  <c r="AB739" i="13"/>
  <c r="AB740" i="13"/>
  <c r="AB741" i="13"/>
  <c r="AB742" i="13"/>
  <c r="AB743" i="13"/>
  <c r="AB744" i="13"/>
  <c r="AB745" i="13"/>
  <c r="AB746" i="13"/>
  <c r="AB747" i="13"/>
  <c r="AB748" i="13"/>
  <c r="AB749" i="13"/>
  <c r="AB750" i="13"/>
  <c r="AB751" i="13"/>
  <c r="AB752" i="13"/>
  <c r="AB753" i="13"/>
  <c r="AB754" i="13"/>
  <c r="AB755" i="13"/>
  <c r="AB756" i="13"/>
  <c r="AB757" i="13"/>
  <c r="AB758" i="13"/>
  <c r="AB759" i="13"/>
  <c r="AB760" i="13"/>
  <c r="AB761" i="13"/>
  <c r="AB762" i="13"/>
  <c r="AB763" i="13"/>
  <c r="AB764" i="13"/>
  <c r="AB765" i="13"/>
  <c r="AB766" i="13"/>
  <c r="AB767" i="13"/>
  <c r="AB768" i="13"/>
  <c r="AB769" i="13"/>
  <c r="AB770" i="13"/>
  <c r="AB771" i="13"/>
  <c r="AB772" i="13"/>
  <c r="AB773" i="13"/>
  <c r="AB774" i="13"/>
  <c r="AB775" i="13"/>
  <c r="AB776" i="13"/>
  <c r="AB777" i="13"/>
  <c r="AB778" i="13"/>
  <c r="AB779" i="13"/>
  <c r="AB780" i="13"/>
  <c r="AB781" i="13"/>
  <c r="AB782" i="13"/>
  <c r="AB783" i="13"/>
  <c r="AB784" i="13"/>
  <c r="AB785" i="13"/>
  <c r="AB786" i="13"/>
  <c r="AB787" i="13"/>
  <c r="AB788" i="13"/>
  <c r="AB789" i="13"/>
  <c r="AB790" i="13"/>
  <c r="AB791" i="13"/>
  <c r="AB792" i="13"/>
  <c r="AB793" i="13"/>
  <c r="AB794" i="13"/>
  <c r="AB795" i="13"/>
  <c r="AB796" i="13"/>
  <c r="AB797" i="13"/>
  <c r="AB798" i="13"/>
  <c r="AB799" i="13"/>
  <c r="AB800" i="13"/>
  <c r="AB801" i="13"/>
  <c r="AB802" i="13"/>
  <c r="AB803" i="13"/>
  <c r="AB804" i="13"/>
  <c r="AB805" i="13"/>
  <c r="AB806" i="13"/>
  <c r="AB807" i="13"/>
  <c r="AB808" i="13"/>
  <c r="AB809" i="13"/>
  <c r="AB810" i="13"/>
  <c r="AB811" i="13"/>
  <c r="AB812" i="13"/>
  <c r="AB813" i="13"/>
  <c r="AB814" i="13"/>
  <c r="AB815" i="13"/>
  <c r="AB816" i="13"/>
  <c r="AB817" i="13"/>
  <c r="AB818" i="13"/>
  <c r="AB819" i="13"/>
  <c r="AB820" i="13"/>
  <c r="AB821" i="13"/>
  <c r="AB822" i="13"/>
  <c r="AB823" i="13"/>
  <c r="AB824" i="13"/>
  <c r="AB825" i="13"/>
  <c r="AB826" i="13"/>
  <c r="AB827" i="13"/>
  <c r="AB828" i="13"/>
  <c r="AB829" i="13"/>
  <c r="AB830" i="13"/>
  <c r="AB831" i="13"/>
  <c r="AB832" i="13"/>
  <c r="AB833" i="13"/>
  <c r="AB834" i="13"/>
  <c r="AB835" i="13"/>
  <c r="AB836" i="13"/>
  <c r="AB837" i="13"/>
  <c r="AB838" i="13"/>
  <c r="AB839" i="13"/>
  <c r="AB840" i="13"/>
  <c r="AB841" i="13"/>
  <c r="AB842" i="13"/>
  <c r="AB843" i="13"/>
  <c r="AB844" i="13"/>
  <c r="AB845" i="13"/>
  <c r="AB846" i="13"/>
  <c r="AB847" i="13"/>
  <c r="AB848" i="13"/>
  <c r="AB849" i="13"/>
  <c r="AB850" i="13"/>
  <c r="AB851" i="13"/>
  <c r="AB852" i="13"/>
  <c r="AB853" i="13"/>
  <c r="AB854" i="13"/>
  <c r="AB855" i="13"/>
  <c r="AB856" i="13"/>
  <c r="AB857" i="13"/>
  <c r="AB858" i="13"/>
  <c r="AB859" i="13"/>
  <c r="AB860" i="13"/>
  <c r="AB861" i="13"/>
  <c r="AB862" i="13"/>
  <c r="AB863" i="13"/>
  <c r="AB864" i="13"/>
  <c r="AB865" i="13"/>
  <c r="AB866" i="13"/>
  <c r="AB867" i="13"/>
  <c r="AB868" i="13"/>
  <c r="AB869" i="13"/>
  <c r="AB870" i="13"/>
  <c r="AB871" i="13"/>
  <c r="AB872" i="13"/>
  <c r="AB873" i="13"/>
  <c r="AB874" i="13"/>
  <c r="AB875" i="13"/>
  <c r="AB876" i="13"/>
  <c r="AB877" i="13"/>
  <c r="AB878" i="13"/>
  <c r="AB879" i="13"/>
  <c r="AB880" i="13"/>
  <c r="AB881" i="13"/>
  <c r="AB882" i="13"/>
  <c r="AB883" i="13"/>
  <c r="AB884" i="13"/>
  <c r="AB885" i="13"/>
  <c r="AB886" i="13"/>
  <c r="AB887" i="13"/>
  <c r="AB888" i="13"/>
  <c r="AB889" i="13"/>
  <c r="AB890" i="13"/>
  <c r="AB891" i="13"/>
  <c r="AB892" i="13"/>
  <c r="AB893" i="13"/>
  <c r="AB894" i="13"/>
  <c r="AB895" i="13"/>
  <c r="AB896" i="13"/>
  <c r="AB897" i="13"/>
  <c r="AB898" i="13"/>
  <c r="AB899" i="13"/>
  <c r="AB900" i="13"/>
  <c r="AB901" i="13"/>
  <c r="AB902" i="13"/>
  <c r="AB903" i="13"/>
  <c r="AB904" i="13"/>
  <c r="AB905" i="13"/>
  <c r="AB906" i="13"/>
  <c r="AB907" i="13"/>
  <c r="AB908" i="13"/>
  <c r="AB909" i="13"/>
  <c r="AB910" i="13"/>
  <c r="AB911" i="13"/>
  <c r="AB912" i="13"/>
  <c r="AB913" i="13"/>
  <c r="AB914" i="13"/>
  <c r="AB915" i="13"/>
  <c r="AB916" i="13"/>
  <c r="AB917" i="13"/>
  <c r="AB918" i="13"/>
  <c r="AB919" i="13"/>
  <c r="AB920" i="13"/>
  <c r="AB921" i="13"/>
  <c r="AB922" i="13"/>
  <c r="AB923" i="13"/>
  <c r="AB924" i="13"/>
  <c r="AB925" i="13"/>
  <c r="AB926" i="13"/>
  <c r="AB927" i="13"/>
  <c r="AB928" i="13"/>
  <c r="AB929" i="13"/>
  <c r="AB930" i="13"/>
  <c r="AB931" i="13"/>
  <c r="AB932" i="13"/>
  <c r="AB933" i="13"/>
  <c r="AB934" i="13"/>
  <c r="AB935" i="13"/>
  <c r="AB936" i="13"/>
  <c r="AB937" i="13"/>
  <c r="AB938" i="13"/>
  <c r="AB939" i="13"/>
  <c r="AB940" i="13"/>
  <c r="AB941" i="13"/>
  <c r="AB942" i="13"/>
  <c r="AB943" i="13"/>
  <c r="AB944" i="13"/>
  <c r="AB945" i="13"/>
  <c r="AB946" i="13"/>
  <c r="AB947" i="13"/>
  <c r="AB948" i="13"/>
  <c r="AB949" i="13"/>
  <c r="AB950" i="13"/>
  <c r="AB951" i="13"/>
  <c r="AB952" i="13"/>
  <c r="AB953" i="13"/>
  <c r="AB954" i="13"/>
  <c r="AB955" i="13"/>
  <c r="AB956" i="13"/>
  <c r="AB957" i="13"/>
  <c r="AB958" i="13"/>
  <c r="AB959" i="13"/>
  <c r="AB960" i="13"/>
  <c r="AB961" i="13"/>
  <c r="AB962" i="13"/>
  <c r="AB963" i="13"/>
  <c r="AB964" i="13"/>
  <c r="AB965" i="13"/>
  <c r="AB966" i="13"/>
  <c r="AB967" i="13"/>
  <c r="AB968" i="13"/>
  <c r="AB969" i="13"/>
  <c r="AB970" i="13"/>
  <c r="AB971" i="13"/>
  <c r="AB972" i="13"/>
  <c r="AB973" i="13"/>
  <c r="AB974" i="13"/>
  <c r="AB975" i="13"/>
  <c r="AB976" i="13"/>
  <c r="AB977" i="13"/>
  <c r="AB978" i="13"/>
  <c r="AB979" i="13"/>
  <c r="AB980" i="13"/>
  <c r="AB981" i="13"/>
  <c r="AB982" i="13"/>
  <c r="AB983" i="13"/>
  <c r="AB984" i="13"/>
  <c r="AB985" i="13"/>
  <c r="AB986" i="13"/>
  <c r="AB987" i="13"/>
  <c r="AB988" i="13"/>
  <c r="AB989" i="13"/>
  <c r="AB990" i="13"/>
  <c r="AB991" i="13"/>
  <c r="AB992" i="13"/>
  <c r="AB993" i="13"/>
  <c r="AB994" i="13"/>
  <c r="AB995" i="13"/>
  <c r="AB996" i="13"/>
  <c r="AB997" i="13"/>
  <c r="AB998" i="13"/>
  <c r="AB999" i="13"/>
  <c r="AB1000" i="13"/>
  <c r="AB1001" i="13"/>
  <c r="AB1002" i="13"/>
  <c r="AB1003" i="13"/>
  <c r="AB1004" i="13"/>
  <c r="AB1005" i="13"/>
  <c r="AB1006" i="13"/>
  <c r="AB1007" i="13"/>
  <c r="AB1008" i="13"/>
  <c r="AB1009" i="13"/>
  <c r="AB1010" i="13"/>
  <c r="AB1011" i="13"/>
  <c r="AB1012" i="13"/>
  <c r="AB1013" i="13"/>
  <c r="AB1014" i="13"/>
  <c r="AB1015" i="13"/>
  <c r="AB1016" i="13"/>
  <c r="AB1017" i="13"/>
  <c r="AB1018" i="13"/>
  <c r="AB1019" i="13"/>
  <c r="AB1020" i="13"/>
  <c r="AB1021" i="13"/>
  <c r="AB1022" i="13"/>
  <c r="AB1023" i="13"/>
  <c r="AB1024" i="13"/>
  <c r="AB1025" i="13"/>
  <c r="AB1026" i="13"/>
  <c r="AB1027" i="13"/>
  <c r="AB1028" i="13"/>
  <c r="AB1029" i="13"/>
  <c r="AB1030" i="13"/>
  <c r="AB1031" i="13"/>
  <c r="AB1032" i="13"/>
  <c r="AB1033" i="13"/>
  <c r="AB1034" i="13"/>
  <c r="AB1035" i="13"/>
  <c r="AB1036" i="13"/>
  <c r="AB1037" i="13"/>
  <c r="AB1038" i="13"/>
  <c r="AB1039" i="13"/>
  <c r="AB1040" i="13"/>
  <c r="AB1041" i="13"/>
  <c r="AB1042" i="13"/>
  <c r="AB1043" i="13"/>
  <c r="AB1044" i="13"/>
  <c r="AB1045" i="13"/>
  <c r="AB1046" i="13"/>
  <c r="AB1047" i="13"/>
  <c r="AB1048" i="13"/>
  <c r="AB1049" i="13"/>
  <c r="AB1050" i="13"/>
  <c r="AB1051" i="13"/>
  <c r="AB1052" i="13"/>
  <c r="AB1053" i="13"/>
  <c r="AB1054" i="13"/>
  <c r="AB1055" i="13"/>
  <c r="AB1056" i="13"/>
  <c r="AB1057" i="13"/>
  <c r="AB1058" i="13"/>
  <c r="AB1059" i="13"/>
  <c r="AB1060" i="13"/>
  <c r="AB1061" i="13"/>
  <c r="AB1062" i="13"/>
  <c r="AB1063" i="13"/>
  <c r="AB1064" i="13"/>
  <c r="AB1065" i="13"/>
  <c r="AB1066" i="13"/>
  <c r="AB1067" i="13"/>
  <c r="AB1068" i="13"/>
  <c r="AB1069" i="13"/>
  <c r="AB1070" i="13"/>
  <c r="AB1071" i="13"/>
  <c r="AB1072" i="13"/>
  <c r="AB1073" i="13"/>
  <c r="AB1074" i="13"/>
  <c r="AB1075" i="13"/>
  <c r="AB1076" i="13"/>
  <c r="AB1077" i="13"/>
  <c r="AB1078" i="13"/>
  <c r="AB1079" i="13"/>
  <c r="AB1080" i="13"/>
  <c r="AB1081" i="13"/>
  <c r="AB1082" i="13"/>
  <c r="AB1083" i="13"/>
  <c r="AB1084" i="13"/>
  <c r="AB1085" i="13"/>
  <c r="AB1086" i="13"/>
  <c r="AB1087" i="13"/>
  <c r="AB1088" i="13"/>
  <c r="AB1089" i="13"/>
  <c r="AB1090" i="13"/>
  <c r="AB1091" i="13"/>
  <c r="AB1092" i="13"/>
  <c r="AB1093" i="13"/>
  <c r="AB1094" i="13"/>
  <c r="AB1095" i="13"/>
  <c r="AB1096" i="13"/>
  <c r="AB1097" i="13"/>
  <c r="AB1098" i="13"/>
  <c r="AB1099" i="13"/>
  <c r="AB1100" i="13"/>
  <c r="AB1101" i="13"/>
  <c r="AB1102" i="13"/>
  <c r="AB1103" i="13"/>
  <c r="AB1104" i="13"/>
  <c r="AB1105" i="13"/>
  <c r="AB1106" i="13"/>
  <c r="AB1107" i="13"/>
  <c r="AB1108" i="13"/>
  <c r="AB1109" i="13"/>
  <c r="AB1110" i="13"/>
  <c r="AB1111" i="13"/>
  <c r="AB1112" i="13"/>
  <c r="AB1113" i="13"/>
  <c r="AB1114" i="13"/>
  <c r="AB1115" i="13"/>
  <c r="AB1116" i="13"/>
  <c r="AB1117" i="13"/>
  <c r="AB1118" i="13"/>
  <c r="AB1119" i="13"/>
  <c r="AB1120" i="13"/>
  <c r="AB1121" i="13"/>
  <c r="AB1122" i="13"/>
  <c r="AB1123" i="13"/>
  <c r="AB1124" i="13"/>
  <c r="AB1125" i="13"/>
  <c r="AB1126" i="13"/>
  <c r="AB1127" i="13"/>
  <c r="AB1128" i="13"/>
  <c r="AB1129" i="13"/>
  <c r="AB1130" i="13"/>
  <c r="AB1131" i="13"/>
  <c r="AB1132" i="13"/>
  <c r="AB1133" i="13"/>
  <c r="AB1134" i="13"/>
  <c r="AB1135" i="13"/>
  <c r="AB1136" i="13"/>
  <c r="AB1137" i="13"/>
  <c r="AB1138" i="13"/>
  <c r="AB1139" i="13"/>
  <c r="AB1140" i="13"/>
  <c r="AB1141" i="13"/>
  <c r="AB1142" i="13"/>
  <c r="AB1143" i="13"/>
  <c r="AB1144" i="13"/>
  <c r="AB1145" i="13"/>
  <c r="AB1146" i="13"/>
  <c r="AB1147" i="13"/>
  <c r="AB1148" i="13"/>
  <c r="AB1149" i="13"/>
  <c r="AB1150" i="13"/>
  <c r="AB1151" i="13"/>
  <c r="AB1152" i="13"/>
  <c r="AB1153" i="13"/>
  <c r="AB1154" i="13"/>
  <c r="AB1155" i="13"/>
  <c r="AB1156" i="13"/>
  <c r="AB1157" i="13"/>
  <c r="AB1158" i="13"/>
  <c r="AB1159" i="13"/>
  <c r="AB1160" i="13"/>
  <c r="AB1161" i="13"/>
  <c r="AB1162" i="13"/>
  <c r="AB1163" i="13"/>
  <c r="AB1164" i="13"/>
  <c r="AB1165" i="13"/>
  <c r="AB1166" i="13"/>
  <c r="AB1167" i="13"/>
  <c r="AB1168" i="13"/>
  <c r="AB1169" i="13"/>
  <c r="AB1170" i="13"/>
  <c r="AB1171" i="13"/>
  <c r="AB1172" i="13"/>
  <c r="AB1173" i="13"/>
  <c r="AB1174" i="13"/>
  <c r="AB1175" i="13"/>
  <c r="AB1176" i="13"/>
  <c r="AB1177" i="13"/>
  <c r="AB1178" i="13"/>
  <c r="AB1179" i="13"/>
  <c r="AB1180" i="13"/>
  <c r="AB1181" i="13"/>
  <c r="AB1182" i="13"/>
  <c r="AB1183" i="13"/>
  <c r="AB1184" i="13"/>
  <c r="AB1185" i="13"/>
  <c r="AB1186" i="13"/>
  <c r="AB1187" i="13"/>
  <c r="AB1188" i="13"/>
  <c r="AB1189" i="13"/>
  <c r="AB1190" i="13"/>
  <c r="AB1191" i="13"/>
  <c r="AB1192" i="13"/>
  <c r="AB1193" i="13"/>
  <c r="AB1194" i="13"/>
  <c r="AB1195" i="13"/>
  <c r="AB1196" i="13"/>
  <c r="AB1197" i="13"/>
  <c r="AB1198" i="13"/>
  <c r="AB1199" i="13"/>
  <c r="AB1200" i="13"/>
  <c r="AB1201" i="13"/>
  <c r="AB1202" i="13"/>
  <c r="AB1203" i="13"/>
  <c r="AB1204" i="13"/>
  <c r="AB1205" i="13"/>
  <c r="AB1206" i="13"/>
  <c r="AB1207" i="13"/>
  <c r="AB1208" i="13"/>
  <c r="AB1209" i="13"/>
  <c r="AB1210" i="13"/>
  <c r="AB1211" i="13"/>
  <c r="AB1212" i="13"/>
  <c r="AB1213" i="13"/>
  <c r="AB1214" i="13"/>
  <c r="AB1215" i="13"/>
  <c r="AB1216" i="13"/>
  <c r="AB1217" i="13"/>
  <c r="AB1218" i="13"/>
  <c r="AB1219" i="13"/>
  <c r="AB1220" i="13"/>
  <c r="AB1221" i="13"/>
  <c r="AB1222" i="13"/>
  <c r="AB1223" i="13"/>
  <c r="AB1224" i="13"/>
  <c r="AB1225" i="13"/>
  <c r="AB1226" i="13"/>
  <c r="AB1227" i="13"/>
  <c r="AB1228" i="13"/>
  <c r="AB1229" i="13"/>
  <c r="AB1230" i="13"/>
  <c r="AB1231" i="13"/>
  <c r="AB1232" i="13"/>
  <c r="AB1233" i="13"/>
  <c r="AB1234" i="13"/>
  <c r="AB1235" i="13"/>
  <c r="AB1236" i="13"/>
  <c r="AB1237" i="13"/>
  <c r="AB1238" i="13"/>
  <c r="AB1239" i="13"/>
  <c r="AB1240" i="13"/>
  <c r="AB1241" i="13"/>
  <c r="AB1242" i="13"/>
  <c r="AB1243" i="13"/>
  <c r="AB1244" i="13"/>
  <c r="AB1245" i="13"/>
  <c r="AB1246" i="13"/>
  <c r="AB1247" i="13"/>
  <c r="AB1248" i="13"/>
  <c r="AB1249" i="13"/>
  <c r="AB1250" i="13"/>
  <c r="AB1251" i="13"/>
  <c r="AB1252" i="13"/>
  <c r="AB1253" i="13"/>
  <c r="AB1254" i="13"/>
  <c r="AB1255" i="13"/>
  <c r="AB1256" i="13"/>
  <c r="AB1257" i="13"/>
  <c r="AB1258" i="13"/>
  <c r="AB1259" i="13"/>
  <c r="AB1260" i="13"/>
  <c r="AB1261" i="13"/>
  <c r="AB1262" i="13"/>
  <c r="AB1263" i="13"/>
  <c r="AB1264" i="13"/>
  <c r="AB1265" i="13"/>
  <c r="AB1266" i="13"/>
  <c r="AB1267" i="13"/>
  <c r="AB1268" i="13"/>
  <c r="AB1269" i="13"/>
  <c r="AB1270" i="13"/>
  <c r="AB1271" i="13"/>
  <c r="AB1272" i="13"/>
  <c r="AB1273" i="13"/>
  <c r="AB1274" i="13"/>
  <c r="AB1275" i="13"/>
  <c r="AB1276" i="13"/>
  <c r="AB1277" i="13"/>
  <c r="AB1278" i="13"/>
  <c r="AB1279" i="13"/>
  <c r="AB1280" i="13"/>
  <c r="AB1281" i="13"/>
  <c r="AB1282" i="13"/>
  <c r="AB1283" i="13"/>
  <c r="AB1284" i="13"/>
  <c r="AB1285" i="13"/>
  <c r="AB1286" i="13"/>
  <c r="AB1287" i="13"/>
  <c r="AB1288" i="13"/>
  <c r="AB1289" i="13"/>
  <c r="AB1290" i="13"/>
  <c r="AB1291" i="13"/>
  <c r="AB1292" i="13"/>
  <c r="AB1293" i="13"/>
  <c r="AB1294" i="13"/>
  <c r="AB1295" i="13"/>
  <c r="AB1296" i="13"/>
  <c r="AB1297" i="13"/>
  <c r="AB1298" i="13"/>
  <c r="AB1299" i="13"/>
  <c r="AB1300" i="13"/>
  <c r="AB1301" i="13"/>
  <c r="AB1302" i="13"/>
  <c r="AB1303" i="13"/>
  <c r="AB1304" i="13"/>
  <c r="AB1305" i="13"/>
  <c r="AB1306" i="13"/>
  <c r="AB1307" i="13"/>
  <c r="AB1308" i="13"/>
  <c r="AB1309" i="13"/>
  <c r="AB1310" i="13"/>
  <c r="AB1311" i="13"/>
  <c r="AB1312" i="13"/>
  <c r="AB1313" i="13"/>
  <c r="AB1314" i="13"/>
  <c r="AB1315" i="13"/>
  <c r="AB1316" i="13"/>
  <c r="AB1317" i="13"/>
  <c r="AB1318" i="13"/>
  <c r="AB1319" i="13"/>
  <c r="AB1320" i="13"/>
  <c r="AB1321" i="13"/>
  <c r="AB1322" i="13"/>
  <c r="AB1323" i="13"/>
  <c r="AB1324" i="13"/>
  <c r="AB1325" i="13"/>
  <c r="AB1326" i="13"/>
  <c r="AB1327" i="13"/>
  <c r="AB1328" i="13"/>
  <c r="AB1329" i="13"/>
  <c r="AB1330" i="13"/>
  <c r="AB1331" i="13"/>
  <c r="AB1332" i="13"/>
  <c r="AB1333" i="13"/>
  <c r="AB1334" i="13"/>
  <c r="AB1335" i="13"/>
  <c r="AB1336" i="13"/>
  <c r="AB1337" i="13"/>
  <c r="AB1338" i="13"/>
  <c r="AB1339" i="13"/>
  <c r="AB1340" i="13"/>
  <c r="AB1341" i="13"/>
  <c r="AB1342" i="13"/>
  <c r="AB1343" i="13"/>
  <c r="AB1344" i="13"/>
  <c r="AB1345" i="13"/>
  <c r="AB1346" i="13"/>
  <c r="AB1347" i="13"/>
  <c r="AB1348" i="13"/>
  <c r="AB1349" i="13"/>
  <c r="AB1350" i="13"/>
  <c r="AB1351" i="13"/>
  <c r="AB1352" i="13"/>
  <c r="AB1353" i="13"/>
  <c r="AB1354" i="13"/>
  <c r="AB1355" i="13"/>
  <c r="AB1356" i="13"/>
  <c r="AB1357" i="13"/>
  <c r="AB1358" i="13"/>
  <c r="AB1359" i="13"/>
  <c r="AB1360" i="13"/>
  <c r="AB1361" i="13"/>
  <c r="AB1362" i="13"/>
  <c r="AB1363" i="13"/>
  <c r="AB1364" i="13"/>
  <c r="AB1365" i="13"/>
  <c r="AB1366" i="13"/>
  <c r="AB1367" i="13"/>
  <c r="AB1368" i="13"/>
  <c r="AB1369" i="13"/>
  <c r="AB1370" i="13"/>
  <c r="AB1371" i="13"/>
  <c r="AB1372" i="13"/>
  <c r="AB1373" i="13"/>
  <c r="AB1374" i="13"/>
  <c r="AB1375" i="13"/>
  <c r="AB1376" i="13"/>
  <c r="AB1377" i="13"/>
  <c r="AB1378" i="13"/>
  <c r="AB1379" i="13"/>
  <c r="AB1380" i="13"/>
  <c r="AB1381" i="13"/>
  <c r="AA8" i="13"/>
  <c r="AA9" i="13"/>
  <c r="AA10" i="13"/>
  <c r="AA11" i="13"/>
  <c r="AA12" i="13"/>
  <c r="AA13" i="13"/>
  <c r="AA14" i="13"/>
  <c r="AA15" i="13"/>
  <c r="AA16" i="13"/>
  <c r="AA17" i="13"/>
  <c r="AA18" i="13"/>
  <c r="AA19" i="13"/>
  <c r="AA20" i="13"/>
  <c r="AA21" i="13"/>
  <c r="AA22" i="13"/>
  <c r="AA23" i="13"/>
  <c r="AA24" i="13"/>
  <c r="AA25" i="13"/>
  <c r="AA26" i="13"/>
  <c r="AA27" i="13"/>
  <c r="AA28" i="13"/>
  <c r="AA29" i="13"/>
  <c r="AA30" i="13"/>
  <c r="AA31" i="13"/>
  <c r="AA32" i="13"/>
  <c r="AA33" i="13"/>
  <c r="AA34" i="13"/>
  <c r="AA35" i="13"/>
  <c r="AA36" i="13"/>
  <c r="AA37" i="13"/>
  <c r="AA38" i="13"/>
  <c r="AA39" i="13"/>
  <c r="AA40" i="13"/>
  <c r="AA41" i="13"/>
  <c r="AA42" i="13"/>
  <c r="AA43" i="13"/>
  <c r="AA44" i="13"/>
  <c r="AA45" i="13"/>
  <c r="AA46" i="13"/>
  <c r="AA47" i="13"/>
  <c r="AA48" i="13"/>
  <c r="AA49" i="13"/>
  <c r="AA50" i="13"/>
  <c r="AA51" i="13"/>
  <c r="AA52" i="13"/>
  <c r="AA53" i="13"/>
  <c r="AA54" i="13"/>
  <c r="AA55" i="13"/>
  <c r="AA56" i="13"/>
  <c r="AA57" i="13"/>
  <c r="AA58" i="13"/>
  <c r="AA59" i="13"/>
  <c r="AA60" i="13"/>
  <c r="AA61" i="13"/>
  <c r="AA62" i="13"/>
  <c r="AA63" i="13"/>
  <c r="AA64" i="13"/>
  <c r="AA65" i="13"/>
  <c r="AA66" i="13"/>
  <c r="AA67" i="13"/>
  <c r="AA68" i="13"/>
  <c r="AA69" i="13"/>
  <c r="AA70" i="13"/>
  <c r="AA71" i="13"/>
  <c r="AA72" i="13"/>
  <c r="AA73" i="13"/>
  <c r="AA74" i="13"/>
  <c r="AA75" i="13"/>
  <c r="AA76" i="13"/>
  <c r="AA77" i="13"/>
  <c r="AA78" i="13"/>
  <c r="AA79" i="13"/>
  <c r="AA80" i="13"/>
  <c r="AA81" i="13"/>
  <c r="AA82" i="13"/>
  <c r="AA83" i="13"/>
  <c r="AA84" i="13"/>
  <c r="AA85" i="13"/>
  <c r="AA86" i="13"/>
  <c r="AA87" i="13"/>
  <c r="AA88" i="13"/>
  <c r="AA89" i="13"/>
  <c r="AA90" i="13"/>
  <c r="AA91" i="13"/>
  <c r="AA92" i="13"/>
  <c r="AA93" i="13"/>
  <c r="AA94" i="13"/>
  <c r="AA95" i="13"/>
  <c r="AA96" i="13"/>
  <c r="AA97" i="13"/>
  <c r="AA98" i="13"/>
  <c r="AA99" i="13"/>
  <c r="AA100" i="13"/>
  <c r="AA101" i="13"/>
  <c r="AA102" i="13"/>
  <c r="AA103" i="13"/>
  <c r="AA104" i="13"/>
  <c r="AA105" i="13"/>
  <c r="AA106" i="13"/>
  <c r="AA107" i="13"/>
  <c r="AA108" i="13"/>
  <c r="AA109" i="13"/>
  <c r="AA110" i="13"/>
  <c r="AA111" i="13"/>
  <c r="AA112" i="13"/>
  <c r="AA113" i="13"/>
  <c r="AA114" i="13"/>
  <c r="AA115" i="13"/>
  <c r="AA116" i="13"/>
  <c r="AA117" i="13"/>
  <c r="AA118" i="13"/>
  <c r="AA119" i="13"/>
  <c r="AA120" i="13"/>
  <c r="AA121" i="13"/>
  <c r="AA122" i="13"/>
  <c r="AA123" i="13"/>
  <c r="AA124" i="13"/>
  <c r="AA125" i="13"/>
  <c r="AA126" i="13"/>
  <c r="AA127" i="13"/>
  <c r="AA128" i="13"/>
  <c r="AA129" i="13"/>
  <c r="AA130" i="13"/>
  <c r="AA131" i="13"/>
  <c r="AA132" i="13"/>
  <c r="AA133" i="13"/>
  <c r="AA134" i="13"/>
  <c r="AA135" i="13"/>
  <c r="AA136" i="13"/>
  <c r="AA137" i="13"/>
  <c r="AA138" i="13"/>
  <c r="AA139" i="13"/>
  <c r="AA140" i="13"/>
  <c r="AA141" i="13"/>
  <c r="AA142" i="13"/>
  <c r="AA143" i="13"/>
  <c r="AA144" i="13"/>
  <c r="AA145" i="13"/>
  <c r="AA146" i="13"/>
  <c r="AA147" i="13"/>
  <c r="AA148" i="13"/>
  <c r="AA149" i="13"/>
  <c r="AA150" i="13"/>
  <c r="AA151" i="13"/>
  <c r="AA152" i="13"/>
  <c r="AA153" i="13"/>
  <c r="AA154" i="13"/>
  <c r="AA155" i="13"/>
  <c r="AA156" i="13"/>
  <c r="AA157" i="13"/>
  <c r="AA158" i="13"/>
  <c r="AA159" i="13"/>
  <c r="AA160" i="13"/>
  <c r="AA161" i="13"/>
  <c r="AA162" i="13"/>
  <c r="AA163" i="13"/>
  <c r="AA164" i="13"/>
  <c r="AA165" i="13"/>
  <c r="AA166" i="13"/>
  <c r="AA167" i="13"/>
  <c r="AA168" i="13"/>
  <c r="AA169" i="13"/>
  <c r="AA170" i="13"/>
  <c r="AA171" i="13"/>
  <c r="AA172" i="13"/>
  <c r="AA173" i="13"/>
  <c r="AA174" i="13"/>
  <c r="AA175" i="13"/>
  <c r="AA176" i="13"/>
  <c r="AA177" i="13"/>
  <c r="AA178" i="13"/>
  <c r="AA179" i="13"/>
  <c r="AA180" i="13"/>
  <c r="AA181" i="13"/>
  <c r="AA182" i="13"/>
  <c r="AA183" i="13"/>
  <c r="AA184" i="13"/>
  <c r="AA185" i="13"/>
  <c r="AA186" i="13"/>
  <c r="AA187" i="13"/>
  <c r="AA188" i="13"/>
  <c r="AA189" i="13"/>
  <c r="AA190" i="13"/>
  <c r="AA191" i="13"/>
  <c r="AA192" i="13"/>
  <c r="AA193" i="13"/>
  <c r="AA194" i="13"/>
  <c r="AA195" i="13"/>
  <c r="AA196" i="13"/>
  <c r="AA197" i="13"/>
  <c r="AA198" i="13"/>
  <c r="AA199" i="13"/>
  <c r="AA200" i="13"/>
  <c r="AA201" i="13"/>
  <c r="AA202" i="13"/>
  <c r="AA203" i="13"/>
  <c r="AA204" i="13"/>
  <c r="AA205" i="13"/>
  <c r="AA206" i="13"/>
  <c r="AA207" i="13"/>
  <c r="AA208" i="13"/>
  <c r="AA209" i="13"/>
  <c r="AA210" i="13"/>
  <c r="AA211" i="13"/>
  <c r="AA212" i="13"/>
  <c r="AA213" i="13"/>
  <c r="AA214" i="13"/>
  <c r="AA215" i="13"/>
  <c r="AA216" i="13"/>
  <c r="AA217" i="13"/>
  <c r="AA218" i="13"/>
  <c r="AA219" i="13"/>
  <c r="AA220" i="13"/>
  <c r="AA221" i="13"/>
  <c r="AA222" i="13"/>
  <c r="AA223" i="13"/>
  <c r="AA224" i="13"/>
  <c r="AA225" i="13"/>
  <c r="AA226" i="13"/>
  <c r="AA227" i="13"/>
  <c r="AA228" i="13"/>
  <c r="AA229" i="13"/>
  <c r="AA230" i="13"/>
  <c r="AA231" i="13"/>
  <c r="AA232" i="13"/>
  <c r="AA233" i="13"/>
  <c r="AA234" i="13"/>
  <c r="AA235" i="13"/>
  <c r="AA236" i="13"/>
  <c r="AA237" i="13"/>
  <c r="AA238" i="13"/>
  <c r="AA239" i="13"/>
  <c r="AA240" i="13"/>
  <c r="AA241" i="13"/>
  <c r="AA242" i="13"/>
  <c r="AA243" i="13"/>
  <c r="AA244" i="13"/>
  <c r="AA245" i="13"/>
  <c r="AA246" i="13"/>
  <c r="AA247" i="13"/>
  <c r="AA248" i="13"/>
  <c r="AA249" i="13"/>
  <c r="AA250" i="13"/>
  <c r="AA251" i="13"/>
  <c r="AA252" i="13"/>
  <c r="AA253" i="13"/>
  <c r="AA254" i="13"/>
  <c r="AA255" i="13"/>
  <c r="AA256" i="13"/>
  <c r="AA257" i="13"/>
  <c r="AA258" i="13"/>
  <c r="AA259" i="13"/>
  <c r="AA260" i="13"/>
  <c r="AA261" i="13"/>
  <c r="AA262" i="13"/>
  <c r="AA263" i="13"/>
  <c r="AA264" i="13"/>
  <c r="AA265" i="13"/>
  <c r="AA266" i="13"/>
  <c r="AA267" i="13"/>
  <c r="AA268" i="13"/>
  <c r="AA269" i="13"/>
  <c r="AA270" i="13"/>
  <c r="AA271" i="13"/>
  <c r="AA272" i="13"/>
  <c r="AA273" i="13"/>
  <c r="AA274" i="13"/>
  <c r="AA275" i="13"/>
  <c r="AA276" i="13"/>
  <c r="AA277" i="13"/>
  <c r="AA278" i="13"/>
  <c r="AA279" i="13"/>
  <c r="AA280" i="13"/>
  <c r="AA281" i="13"/>
  <c r="AA282" i="13"/>
  <c r="AA283" i="13"/>
  <c r="AA284" i="13"/>
  <c r="AA285" i="13"/>
  <c r="AA286" i="13"/>
  <c r="AA287" i="13"/>
  <c r="AA288" i="13"/>
  <c r="AA289" i="13"/>
  <c r="AA290" i="13"/>
  <c r="AA291" i="13"/>
  <c r="AA292" i="13"/>
  <c r="AA293" i="13"/>
  <c r="AA294" i="13"/>
  <c r="AA295" i="13"/>
  <c r="AA296" i="13"/>
  <c r="AA297" i="13"/>
  <c r="AA298" i="13"/>
  <c r="AA299" i="13"/>
  <c r="AA300" i="13"/>
  <c r="AA301" i="13"/>
  <c r="AA302" i="13"/>
  <c r="AA303" i="13"/>
  <c r="AA304" i="13"/>
  <c r="AA305" i="13"/>
  <c r="AA306" i="13"/>
  <c r="AA307" i="13"/>
  <c r="AA308" i="13"/>
  <c r="AA309" i="13"/>
  <c r="AA310" i="13"/>
  <c r="AA311" i="13"/>
  <c r="AA312" i="13"/>
  <c r="AA313" i="13"/>
  <c r="AA314" i="13"/>
  <c r="AA315" i="13"/>
  <c r="AA316" i="13"/>
  <c r="AA317" i="13"/>
  <c r="AA318" i="13"/>
  <c r="AA319" i="13"/>
  <c r="AA320" i="13"/>
  <c r="AA321" i="13"/>
  <c r="AA322" i="13"/>
  <c r="AA323" i="13"/>
  <c r="AA324" i="13"/>
  <c r="AA325" i="13"/>
  <c r="AA326" i="13"/>
  <c r="AA327" i="13"/>
  <c r="AA328" i="13"/>
  <c r="AA329" i="13"/>
  <c r="AA330" i="13"/>
  <c r="AA331" i="13"/>
  <c r="AA332" i="13"/>
  <c r="AA333" i="13"/>
  <c r="AA334" i="13"/>
  <c r="AA335" i="13"/>
  <c r="AA336" i="13"/>
  <c r="AA337" i="13"/>
  <c r="AA338" i="13"/>
  <c r="AA339" i="13"/>
  <c r="AA340" i="13"/>
  <c r="AA341" i="13"/>
  <c r="AA342" i="13"/>
  <c r="AA343" i="13"/>
  <c r="AA344" i="13"/>
  <c r="AA345" i="13"/>
  <c r="AA346" i="13"/>
  <c r="AA347" i="13"/>
  <c r="AA348" i="13"/>
  <c r="AA349" i="13"/>
  <c r="AA350" i="13"/>
  <c r="AA351" i="13"/>
  <c r="AA352" i="13"/>
  <c r="AA353" i="13"/>
  <c r="AA354" i="13"/>
  <c r="AA355" i="13"/>
  <c r="AA356" i="13"/>
  <c r="AA357" i="13"/>
  <c r="AA358" i="13"/>
  <c r="AA359" i="13"/>
  <c r="AA360" i="13"/>
  <c r="AA361" i="13"/>
  <c r="AA362" i="13"/>
  <c r="AA363" i="13"/>
  <c r="AA364" i="13"/>
  <c r="AA365" i="13"/>
  <c r="AA366" i="13"/>
  <c r="AA367" i="13"/>
  <c r="AA368" i="13"/>
  <c r="AA369" i="13"/>
  <c r="AA370" i="13"/>
  <c r="AA371" i="13"/>
  <c r="AA372" i="13"/>
  <c r="AA373" i="13"/>
  <c r="AA374" i="13"/>
  <c r="AA375" i="13"/>
  <c r="AA376" i="13"/>
  <c r="AA377" i="13"/>
  <c r="AA378" i="13"/>
  <c r="AA379" i="13"/>
  <c r="AA380" i="13"/>
  <c r="AA381" i="13"/>
  <c r="AA382" i="13"/>
  <c r="AA383" i="13"/>
  <c r="AA384" i="13"/>
  <c r="AA385" i="13"/>
  <c r="AA386" i="13"/>
  <c r="AA387" i="13"/>
  <c r="AA388" i="13"/>
  <c r="AA389" i="13"/>
  <c r="AA390" i="13"/>
  <c r="AA391" i="13"/>
  <c r="AA392" i="13"/>
  <c r="AA393" i="13"/>
  <c r="AA394" i="13"/>
  <c r="AA395" i="13"/>
  <c r="AA396" i="13"/>
  <c r="AA397" i="13"/>
  <c r="AA398" i="13"/>
  <c r="AA399" i="13"/>
  <c r="AA400" i="13"/>
  <c r="AA401" i="13"/>
  <c r="AA402" i="13"/>
  <c r="AA403" i="13"/>
  <c r="AA404" i="13"/>
  <c r="AA405" i="13"/>
  <c r="AA406" i="13"/>
  <c r="AA407" i="13"/>
  <c r="AA408" i="13"/>
  <c r="AA409" i="13"/>
  <c r="AA410" i="13"/>
  <c r="AA411" i="13"/>
  <c r="AA412" i="13"/>
  <c r="AA413" i="13"/>
  <c r="AA414" i="13"/>
  <c r="AA415" i="13"/>
  <c r="AA416" i="13"/>
  <c r="AA417" i="13"/>
  <c r="AA418" i="13"/>
  <c r="AA419" i="13"/>
  <c r="AA420" i="13"/>
  <c r="AA421" i="13"/>
  <c r="AA422" i="13"/>
  <c r="AA423" i="13"/>
  <c r="AA424" i="13"/>
  <c r="AA425" i="13"/>
  <c r="AA426" i="13"/>
  <c r="AA427" i="13"/>
  <c r="AA428" i="13"/>
  <c r="AA429" i="13"/>
  <c r="AA430" i="13"/>
  <c r="AA431" i="13"/>
  <c r="AA432" i="13"/>
  <c r="AA433" i="13"/>
  <c r="AA434" i="13"/>
  <c r="AA435" i="13"/>
  <c r="AA436" i="13"/>
  <c r="AA437" i="13"/>
  <c r="AA438" i="13"/>
  <c r="AA439" i="13"/>
  <c r="AA440" i="13"/>
  <c r="AA441" i="13"/>
  <c r="AA442" i="13"/>
  <c r="AA443" i="13"/>
  <c r="AA444" i="13"/>
  <c r="AA445" i="13"/>
  <c r="AA446" i="13"/>
  <c r="AA447" i="13"/>
  <c r="AA448" i="13"/>
  <c r="AA449" i="13"/>
  <c r="AA450" i="13"/>
  <c r="AA451" i="13"/>
  <c r="AA452" i="13"/>
  <c r="AA453" i="13"/>
  <c r="AA454" i="13"/>
  <c r="AA455" i="13"/>
  <c r="AA456" i="13"/>
  <c r="AA457" i="13"/>
  <c r="AA458" i="13"/>
  <c r="AA459" i="13"/>
  <c r="AA460" i="13"/>
  <c r="AA461" i="13"/>
  <c r="AA462" i="13"/>
  <c r="AA463" i="13"/>
  <c r="AA464" i="13"/>
  <c r="AA465" i="13"/>
  <c r="AA466" i="13"/>
  <c r="AA467" i="13"/>
  <c r="AA468" i="13"/>
  <c r="AA469" i="13"/>
  <c r="AA470" i="13"/>
  <c r="AA471" i="13"/>
  <c r="AA472" i="13"/>
  <c r="AA473" i="13"/>
  <c r="AA474" i="13"/>
  <c r="AA475" i="13"/>
  <c r="AA476" i="13"/>
  <c r="AA477" i="13"/>
  <c r="AA478" i="13"/>
  <c r="AA479" i="13"/>
  <c r="AA480" i="13"/>
  <c r="AA481" i="13"/>
  <c r="AA482" i="13"/>
  <c r="AA483" i="13"/>
  <c r="AA484" i="13"/>
  <c r="AA485" i="13"/>
  <c r="AA486" i="13"/>
  <c r="AA487" i="13"/>
  <c r="AA488" i="13"/>
  <c r="AA489" i="13"/>
  <c r="AA490" i="13"/>
  <c r="AA491" i="13"/>
  <c r="AA492" i="13"/>
  <c r="AA493" i="13"/>
  <c r="AA494" i="13"/>
  <c r="AA495" i="13"/>
  <c r="AA496" i="13"/>
  <c r="AA497" i="13"/>
  <c r="AA498" i="13"/>
  <c r="AA499" i="13"/>
  <c r="AA500" i="13"/>
  <c r="AA501" i="13"/>
  <c r="AA502" i="13"/>
  <c r="AA503" i="13"/>
  <c r="AA504" i="13"/>
  <c r="AA505" i="13"/>
  <c r="AA506" i="13"/>
  <c r="AA507" i="13"/>
  <c r="AA508" i="13"/>
  <c r="AA509" i="13"/>
  <c r="AA510" i="13"/>
  <c r="AA511" i="13"/>
  <c r="AA512" i="13"/>
  <c r="AA513" i="13"/>
  <c r="AA514" i="13"/>
  <c r="AA515" i="13"/>
  <c r="AA516" i="13"/>
  <c r="AA517" i="13"/>
  <c r="AA518" i="13"/>
  <c r="AA519" i="13"/>
  <c r="AA520" i="13"/>
  <c r="AA521" i="13"/>
  <c r="AA522" i="13"/>
  <c r="AA523" i="13"/>
  <c r="AA524" i="13"/>
  <c r="AA525" i="13"/>
  <c r="AA526" i="13"/>
  <c r="AA527" i="13"/>
  <c r="AA528" i="13"/>
  <c r="AA529" i="13"/>
  <c r="AA530" i="13"/>
  <c r="AA531" i="13"/>
  <c r="AA532" i="13"/>
  <c r="AA533" i="13"/>
  <c r="AA534" i="13"/>
  <c r="AA535" i="13"/>
  <c r="AA536" i="13"/>
  <c r="AA537" i="13"/>
  <c r="AA538" i="13"/>
  <c r="AA539" i="13"/>
  <c r="AA540" i="13"/>
  <c r="AA541" i="13"/>
  <c r="AA542" i="13"/>
  <c r="AA543" i="13"/>
  <c r="AA544" i="13"/>
  <c r="AA545" i="13"/>
  <c r="AA546" i="13"/>
  <c r="AA547" i="13"/>
  <c r="AA548" i="13"/>
  <c r="AA549" i="13"/>
  <c r="AA550" i="13"/>
  <c r="AA551" i="13"/>
  <c r="AA552" i="13"/>
  <c r="AA553" i="13"/>
  <c r="AA554" i="13"/>
  <c r="AA555" i="13"/>
  <c r="AA556" i="13"/>
  <c r="AA557" i="13"/>
  <c r="AA558" i="13"/>
  <c r="AA559" i="13"/>
  <c r="AA560" i="13"/>
  <c r="AA561" i="13"/>
  <c r="AA562" i="13"/>
  <c r="AA563" i="13"/>
  <c r="AA564" i="13"/>
  <c r="AA565" i="13"/>
  <c r="AA566" i="13"/>
  <c r="AA567" i="13"/>
  <c r="AA568" i="13"/>
  <c r="AA569" i="13"/>
  <c r="AA570" i="13"/>
  <c r="AA571" i="13"/>
  <c r="AA572" i="13"/>
  <c r="AA573" i="13"/>
  <c r="AA574" i="13"/>
  <c r="AA575" i="13"/>
  <c r="AA576" i="13"/>
  <c r="AA577" i="13"/>
  <c r="AA578" i="13"/>
  <c r="AA579" i="13"/>
  <c r="AA580" i="13"/>
  <c r="AA581" i="13"/>
  <c r="AA582" i="13"/>
  <c r="AA583" i="13"/>
  <c r="AA584" i="13"/>
  <c r="AA585" i="13"/>
  <c r="AA586" i="13"/>
  <c r="AA587" i="13"/>
  <c r="AA588" i="13"/>
  <c r="AA589" i="13"/>
  <c r="AA590" i="13"/>
  <c r="AA591" i="13"/>
  <c r="AA592" i="13"/>
  <c r="AA593" i="13"/>
  <c r="AA594" i="13"/>
  <c r="AA595" i="13"/>
  <c r="AA596" i="13"/>
  <c r="AA597" i="13"/>
  <c r="AA598" i="13"/>
  <c r="AA599" i="13"/>
  <c r="AA600" i="13"/>
  <c r="AA601" i="13"/>
  <c r="AA602" i="13"/>
  <c r="AA603" i="13"/>
  <c r="AA604" i="13"/>
  <c r="AA605" i="13"/>
  <c r="AA606" i="13"/>
  <c r="AA607" i="13"/>
  <c r="AA608" i="13"/>
  <c r="AA609" i="13"/>
  <c r="AA610" i="13"/>
  <c r="AA611" i="13"/>
  <c r="AA612" i="13"/>
  <c r="AA613" i="13"/>
  <c r="AA614" i="13"/>
  <c r="AA615" i="13"/>
  <c r="AA616" i="13"/>
  <c r="AA617" i="13"/>
  <c r="AA618" i="13"/>
  <c r="AA619" i="13"/>
  <c r="AA620" i="13"/>
  <c r="AA621" i="13"/>
  <c r="AA622" i="13"/>
  <c r="AA623" i="13"/>
  <c r="AA624" i="13"/>
  <c r="AA625" i="13"/>
  <c r="AA626" i="13"/>
  <c r="AA627" i="13"/>
  <c r="AA628" i="13"/>
  <c r="AA629" i="13"/>
  <c r="AA630" i="13"/>
  <c r="AA631" i="13"/>
  <c r="AA632" i="13"/>
  <c r="AA633" i="13"/>
  <c r="AA634" i="13"/>
  <c r="AA635" i="13"/>
  <c r="AA636" i="13"/>
  <c r="AA637" i="13"/>
  <c r="AA638" i="13"/>
  <c r="AA639" i="13"/>
  <c r="AA640" i="13"/>
  <c r="AA641" i="13"/>
  <c r="AA642" i="13"/>
  <c r="AA643" i="13"/>
  <c r="AA644" i="13"/>
  <c r="AA645" i="13"/>
  <c r="AA646" i="13"/>
  <c r="AA647" i="13"/>
  <c r="AA648" i="13"/>
  <c r="AA649" i="13"/>
  <c r="AA650" i="13"/>
  <c r="AA651" i="13"/>
  <c r="AA652" i="13"/>
  <c r="AA653" i="13"/>
  <c r="AA654" i="13"/>
  <c r="AA655" i="13"/>
  <c r="AA656" i="13"/>
  <c r="AA657" i="13"/>
  <c r="AA658" i="13"/>
  <c r="AA659" i="13"/>
  <c r="AA660" i="13"/>
  <c r="AA661" i="13"/>
  <c r="AA662" i="13"/>
  <c r="AA663" i="13"/>
  <c r="AA664" i="13"/>
  <c r="AA665" i="13"/>
  <c r="AA666" i="13"/>
  <c r="AA667" i="13"/>
  <c r="AA668" i="13"/>
  <c r="AA669" i="13"/>
  <c r="AA670" i="13"/>
  <c r="AA671" i="13"/>
  <c r="AA672" i="13"/>
  <c r="AA673" i="13"/>
  <c r="AA674" i="13"/>
  <c r="AA675" i="13"/>
  <c r="AA676" i="13"/>
  <c r="AA677" i="13"/>
  <c r="AA678" i="13"/>
  <c r="AA679" i="13"/>
  <c r="AA680" i="13"/>
  <c r="AA681" i="13"/>
  <c r="AA682" i="13"/>
  <c r="AA683" i="13"/>
  <c r="AA684" i="13"/>
  <c r="AA685" i="13"/>
  <c r="AA686" i="13"/>
  <c r="AA687" i="13"/>
  <c r="AA688" i="13"/>
  <c r="AA689" i="13"/>
  <c r="AA690" i="13"/>
  <c r="AA691" i="13"/>
  <c r="AA692" i="13"/>
  <c r="AA693" i="13"/>
  <c r="AA694" i="13"/>
  <c r="AA695" i="13"/>
  <c r="AA696" i="13"/>
  <c r="AA697" i="13"/>
  <c r="AA698" i="13"/>
  <c r="AA699" i="13"/>
  <c r="AA700" i="13"/>
  <c r="AA701" i="13"/>
  <c r="AA702" i="13"/>
  <c r="AA703" i="13"/>
  <c r="AA704" i="13"/>
  <c r="AA705" i="13"/>
  <c r="AA706" i="13"/>
  <c r="AA707" i="13"/>
  <c r="AA708" i="13"/>
  <c r="AA709" i="13"/>
  <c r="AA710" i="13"/>
  <c r="AA711" i="13"/>
  <c r="AA712" i="13"/>
  <c r="AA713" i="13"/>
  <c r="AA714" i="13"/>
  <c r="AA715" i="13"/>
  <c r="AA716" i="13"/>
  <c r="AA717" i="13"/>
  <c r="AA718" i="13"/>
  <c r="AA719" i="13"/>
  <c r="AA720" i="13"/>
  <c r="AA721" i="13"/>
  <c r="AA722" i="13"/>
  <c r="AA723" i="13"/>
  <c r="AA724" i="13"/>
  <c r="AA725" i="13"/>
  <c r="AA726" i="13"/>
  <c r="AA727" i="13"/>
  <c r="AA728" i="13"/>
  <c r="AA729" i="13"/>
  <c r="AA730" i="13"/>
  <c r="AA731" i="13"/>
  <c r="AA732" i="13"/>
  <c r="AA733" i="13"/>
  <c r="AA734" i="13"/>
  <c r="AA735" i="13"/>
  <c r="AA736" i="13"/>
  <c r="AA737" i="13"/>
  <c r="AA738" i="13"/>
  <c r="AA739" i="13"/>
  <c r="AA740" i="13"/>
  <c r="AA741" i="13"/>
  <c r="AA742" i="13"/>
  <c r="AA743" i="13"/>
  <c r="AA744" i="13"/>
  <c r="AA745" i="13"/>
  <c r="AA746" i="13"/>
  <c r="AA747" i="13"/>
  <c r="AA748" i="13"/>
  <c r="AA749" i="13"/>
  <c r="AA750" i="13"/>
  <c r="AA751" i="13"/>
  <c r="AA752" i="13"/>
  <c r="AA753" i="13"/>
  <c r="AA754" i="13"/>
  <c r="AA755" i="13"/>
  <c r="AA756" i="13"/>
  <c r="AA757" i="13"/>
  <c r="AA758" i="13"/>
  <c r="AA759" i="13"/>
  <c r="AA760" i="13"/>
  <c r="AA761" i="13"/>
  <c r="AA762" i="13"/>
  <c r="AA763" i="13"/>
  <c r="AA764" i="13"/>
  <c r="AA765" i="13"/>
  <c r="AA766" i="13"/>
  <c r="AA767" i="13"/>
  <c r="AA768" i="13"/>
  <c r="AA769" i="13"/>
  <c r="AA770" i="13"/>
  <c r="AA771" i="13"/>
  <c r="AA772" i="13"/>
  <c r="AA773" i="13"/>
  <c r="AA774" i="13"/>
  <c r="AA775" i="13"/>
  <c r="AA776" i="13"/>
  <c r="AA777" i="13"/>
  <c r="AA778" i="13"/>
  <c r="AA779" i="13"/>
  <c r="AA780" i="13"/>
  <c r="AA781" i="13"/>
  <c r="AA782" i="13"/>
  <c r="AA783" i="13"/>
  <c r="AA784" i="13"/>
  <c r="AA785" i="13"/>
  <c r="AA786" i="13"/>
  <c r="AA787" i="13"/>
  <c r="AA788" i="13"/>
  <c r="AA789" i="13"/>
  <c r="AA790" i="13"/>
  <c r="AA791" i="13"/>
  <c r="AA792" i="13"/>
  <c r="AA793" i="13"/>
  <c r="AA794" i="13"/>
  <c r="AA795" i="13"/>
  <c r="AA796" i="13"/>
  <c r="AA797" i="13"/>
  <c r="AA798" i="13"/>
  <c r="AA799" i="13"/>
  <c r="AA800" i="13"/>
  <c r="AA801" i="13"/>
  <c r="AA802" i="13"/>
  <c r="AA803" i="13"/>
  <c r="AA804" i="13"/>
  <c r="AA805" i="13"/>
  <c r="AA806" i="13"/>
  <c r="AA807" i="13"/>
  <c r="AA808" i="13"/>
  <c r="AA809" i="13"/>
  <c r="AA810" i="13"/>
  <c r="AA811" i="13"/>
  <c r="AA812" i="13"/>
  <c r="AA813" i="13"/>
  <c r="AA814" i="13"/>
  <c r="AA815" i="13"/>
  <c r="AA816" i="13"/>
  <c r="AA817" i="13"/>
  <c r="AA818" i="13"/>
  <c r="AA819" i="13"/>
  <c r="AA820" i="13"/>
  <c r="AA821" i="13"/>
  <c r="AA822" i="13"/>
  <c r="AA823" i="13"/>
  <c r="AA824" i="13"/>
  <c r="AA825" i="13"/>
  <c r="AA826" i="13"/>
  <c r="AA827" i="13"/>
  <c r="AA828" i="13"/>
  <c r="AA829" i="13"/>
  <c r="AA830" i="13"/>
  <c r="AA831" i="13"/>
  <c r="AA832" i="13"/>
  <c r="AA833" i="13"/>
  <c r="AA834" i="13"/>
  <c r="AA835" i="13"/>
  <c r="AA836" i="13"/>
  <c r="AA837" i="13"/>
  <c r="AA838" i="13"/>
  <c r="AA839" i="13"/>
  <c r="AA840" i="13"/>
  <c r="AA841" i="13"/>
  <c r="AA842" i="13"/>
  <c r="AA843" i="13"/>
  <c r="AA844" i="13"/>
  <c r="AA845" i="13"/>
  <c r="AA846" i="13"/>
  <c r="AA847" i="13"/>
  <c r="AA848" i="13"/>
  <c r="AA849" i="13"/>
  <c r="AA850" i="13"/>
  <c r="AA851" i="13"/>
  <c r="AA852" i="13"/>
  <c r="AA853" i="13"/>
  <c r="AA854" i="13"/>
  <c r="AA855" i="13"/>
  <c r="AA856" i="13"/>
  <c r="AA857" i="13"/>
  <c r="AA858" i="13"/>
  <c r="AA859" i="13"/>
  <c r="AA860" i="13"/>
  <c r="AA861" i="13"/>
  <c r="AA862" i="13"/>
  <c r="AA863" i="13"/>
  <c r="AA864" i="13"/>
  <c r="AA865" i="13"/>
  <c r="AA866" i="13"/>
  <c r="AA867" i="13"/>
  <c r="AA868" i="13"/>
  <c r="AA869" i="13"/>
  <c r="AA870" i="13"/>
  <c r="AA871" i="13"/>
  <c r="AA872" i="13"/>
  <c r="AA873" i="13"/>
  <c r="AA874" i="13"/>
  <c r="AA875" i="13"/>
  <c r="AA876" i="13"/>
  <c r="AA877" i="13"/>
  <c r="AA878" i="13"/>
  <c r="AA879" i="13"/>
  <c r="AA880" i="13"/>
  <c r="AA881" i="13"/>
  <c r="AA882" i="13"/>
  <c r="AA883" i="13"/>
  <c r="AA884" i="13"/>
  <c r="AA885" i="13"/>
  <c r="AA886" i="13"/>
  <c r="AA887" i="13"/>
  <c r="AA888" i="13"/>
  <c r="AA889" i="13"/>
  <c r="AA890" i="13"/>
  <c r="AA891" i="13"/>
  <c r="AA892" i="13"/>
  <c r="AA893" i="13"/>
  <c r="AA894" i="13"/>
  <c r="AA895" i="13"/>
  <c r="AA896" i="13"/>
  <c r="AA897" i="13"/>
  <c r="AA898" i="13"/>
  <c r="AA899" i="13"/>
  <c r="AA900" i="13"/>
  <c r="AA901" i="13"/>
  <c r="AA902" i="13"/>
  <c r="AA903" i="13"/>
  <c r="AA904" i="13"/>
  <c r="AA905" i="13"/>
  <c r="AA906" i="13"/>
  <c r="AA907" i="13"/>
  <c r="AA908" i="13"/>
  <c r="AA909" i="13"/>
  <c r="AA910" i="13"/>
  <c r="AA911" i="13"/>
  <c r="AA912" i="13"/>
  <c r="AA913" i="13"/>
  <c r="AA914" i="13"/>
  <c r="AA915" i="13"/>
  <c r="AA916" i="13"/>
  <c r="AA917" i="13"/>
  <c r="AA918" i="13"/>
  <c r="AA919" i="13"/>
  <c r="AA920" i="13"/>
  <c r="AA921" i="13"/>
  <c r="AA922" i="13"/>
  <c r="AA923" i="13"/>
  <c r="AA924" i="13"/>
  <c r="AA925" i="13"/>
  <c r="AA926" i="13"/>
  <c r="AA927" i="13"/>
  <c r="AA928" i="13"/>
  <c r="AA929" i="13"/>
  <c r="AA930" i="13"/>
  <c r="AA931" i="13"/>
  <c r="AA932" i="13"/>
  <c r="AA933" i="13"/>
  <c r="AA934" i="13"/>
  <c r="AA935" i="13"/>
  <c r="AA936" i="13"/>
  <c r="AA937" i="13"/>
  <c r="AA938" i="13"/>
  <c r="AA939" i="13"/>
  <c r="AA940" i="13"/>
  <c r="AA941" i="13"/>
  <c r="AA942" i="13"/>
  <c r="AA943" i="13"/>
  <c r="AA944" i="13"/>
  <c r="AA945" i="13"/>
  <c r="AA946" i="13"/>
  <c r="AA947" i="13"/>
  <c r="AA948" i="13"/>
  <c r="AA949" i="13"/>
  <c r="AA950" i="13"/>
  <c r="AA951" i="13"/>
  <c r="AA952" i="13"/>
  <c r="AA953" i="13"/>
  <c r="AA954" i="13"/>
  <c r="AA955" i="13"/>
  <c r="AA956" i="13"/>
  <c r="AA957" i="13"/>
  <c r="AA958" i="13"/>
  <c r="AA959" i="13"/>
  <c r="AA960" i="13"/>
  <c r="AA961" i="13"/>
  <c r="AA962" i="13"/>
  <c r="AA963" i="13"/>
  <c r="AA964" i="13"/>
  <c r="AA965" i="13"/>
  <c r="AA966" i="13"/>
  <c r="AA967" i="13"/>
  <c r="AA968" i="13"/>
  <c r="AA969" i="13"/>
  <c r="AA970" i="13"/>
  <c r="AA971" i="13"/>
  <c r="AA972" i="13"/>
  <c r="AA973" i="13"/>
  <c r="AA974" i="13"/>
  <c r="AA975" i="13"/>
  <c r="AA976" i="13"/>
  <c r="AA977" i="13"/>
  <c r="AA978" i="13"/>
  <c r="AA979" i="13"/>
  <c r="AA980" i="13"/>
  <c r="AA981" i="13"/>
  <c r="AA982" i="13"/>
  <c r="AA983" i="13"/>
  <c r="AA984" i="13"/>
  <c r="AA985" i="13"/>
  <c r="AA986" i="13"/>
  <c r="AA987" i="13"/>
  <c r="AA988" i="13"/>
  <c r="AA989" i="13"/>
  <c r="AA990" i="13"/>
  <c r="AA991" i="13"/>
  <c r="AA992" i="13"/>
  <c r="AA993" i="13"/>
  <c r="AA994" i="13"/>
  <c r="AA995" i="13"/>
  <c r="AA996" i="13"/>
  <c r="AA997" i="13"/>
  <c r="AA998" i="13"/>
  <c r="AA999" i="13"/>
  <c r="AA1000" i="13"/>
  <c r="AA1001" i="13"/>
  <c r="AA1002" i="13"/>
  <c r="AA1003" i="13"/>
  <c r="AA1004" i="13"/>
  <c r="AA1005" i="13"/>
  <c r="AA1006" i="13"/>
  <c r="AA1007" i="13"/>
  <c r="AA1008" i="13"/>
  <c r="AA1009" i="13"/>
  <c r="AA1010" i="13"/>
  <c r="AA1011" i="13"/>
  <c r="AA1012" i="13"/>
  <c r="AA1013" i="13"/>
  <c r="AA1014" i="13"/>
  <c r="AA1015" i="13"/>
  <c r="AA1016" i="13"/>
  <c r="AA1017" i="13"/>
  <c r="AA1018" i="13"/>
  <c r="AA1019" i="13"/>
  <c r="AA1020" i="13"/>
  <c r="AA1021" i="13"/>
  <c r="AA1022" i="13"/>
  <c r="AA1023" i="13"/>
  <c r="AA1024" i="13"/>
  <c r="AA1025" i="13"/>
  <c r="AA1026" i="13"/>
  <c r="AA1027" i="13"/>
  <c r="AA1028" i="13"/>
  <c r="AA1029" i="13"/>
  <c r="AA1030" i="13"/>
  <c r="AA1031" i="13"/>
  <c r="AA1032" i="13"/>
  <c r="AA1033" i="13"/>
  <c r="AA1034" i="13"/>
  <c r="AA1035" i="13"/>
  <c r="AA1036" i="13"/>
  <c r="AA1037" i="13"/>
  <c r="AA1038" i="13"/>
  <c r="AA1039" i="13"/>
  <c r="AA1040" i="13"/>
  <c r="AA1041" i="13"/>
  <c r="AA1042" i="13"/>
  <c r="AA1043" i="13"/>
  <c r="AA1044" i="13"/>
  <c r="AA1045" i="13"/>
  <c r="AA1046" i="13"/>
  <c r="AA1047" i="13"/>
  <c r="AA1048" i="13"/>
  <c r="AA1049" i="13"/>
  <c r="AA1050" i="13"/>
  <c r="AA1051" i="13"/>
  <c r="AA1052" i="13"/>
  <c r="AA1053" i="13"/>
  <c r="AA1054" i="13"/>
  <c r="AA1055" i="13"/>
  <c r="AA1056" i="13"/>
  <c r="AA1057" i="13"/>
  <c r="AA1058" i="13"/>
  <c r="AA1059" i="13"/>
  <c r="AA1060" i="13"/>
  <c r="AA1061" i="13"/>
  <c r="AA1062" i="13"/>
  <c r="AA1063" i="13"/>
  <c r="AA1064" i="13"/>
  <c r="AA1065" i="13"/>
  <c r="AA1066" i="13"/>
  <c r="AA1067" i="13"/>
  <c r="AA1068" i="13"/>
  <c r="AA1069" i="13"/>
  <c r="AA1070" i="13"/>
  <c r="AA1071" i="13"/>
  <c r="AA1072" i="13"/>
  <c r="AA1073" i="13"/>
  <c r="AA1074" i="13"/>
  <c r="AA1075" i="13"/>
  <c r="AA1076" i="13"/>
  <c r="AA1077" i="13"/>
  <c r="AA1078" i="13"/>
  <c r="AA1079" i="13"/>
  <c r="AA1080" i="13"/>
  <c r="AA1081" i="13"/>
  <c r="AA1082" i="13"/>
  <c r="AA1083" i="13"/>
  <c r="AA1084" i="13"/>
  <c r="AA1085" i="13"/>
  <c r="AA1086" i="13"/>
  <c r="AA1087" i="13"/>
  <c r="AA1088" i="13"/>
  <c r="AA1089" i="13"/>
  <c r="AA1090" i="13"/>
  <c r="AA1091" i="13"/>
  <c r="AA1092" i="13"/>
  <c r="AA1093" i="13"/>
  <c r="AA1094" i="13"/>
  <c r="AA1095" i="13"/>
  <c r="AA1096" i="13"/>
  <c r="AA1097" i="13"/>
  <c r="AA1098" i="13"/>
  <c r="AA1099" i="13"/>
  <c r="AA1100" i="13"/>
  <c r="AA1101" i="13"/>
  <c r="AA1102" i="13"/>
  <c r="AA1103" i="13"/>
  <c r="AA1104" i="13"/>
  <c r="AA1105" i="13"/>
  <c r="AA1106" i="13"/>
  <c r="AA1107" i="13"/>
  <c r="AA1108" i="13"/>
  <c r="AA1109" i="13"/>
  <c r="AA1110" i="13"/>
  <c r="AA1111" i="13"/>
  <c r="AA1112" i="13"/>
  <c r="AA1113" i="13"/>
  <c r="AA1114" i="13"/>
  <c r="AA1115" i="13"/>
  <c r="AA1116" i="13"/>
  <c r="AA1117" i="13"/>
  <c r="AA1118" i="13"/>
  <c r="AA1119" i="13"/>
  <c r="AA1120" i="13"/>
  <c r="AA1121" i="13"/>
  <c r="AA1122" i="13"/>
  <c r="AA1123" i="13"/>
  <c r="AA1124" i="13"/>
  <c r="AA1125" i="13"/>
  <c r="AA1126" i="13"/>
  <c r="AA1127" i="13"/>
  <c r="AA1128" i="13"/>
  <c r="AA1129" i="13"/>
  <c r="AA1130" i="13"/>
  <c r="AA1131" i="13"/>
  <c r="AA1132" i="13"/>
  <c r="AA1133" i="13"/>
  <c r="AA1134" i="13"/>
  <c r="AA1135" i="13"/>
  <c r="AA1136" i="13"/>
  <c r="AA1137" i="13"/>
  <c r="AA1138" i="13"/>
  <c r="AA1139" i="13"/>
  <c r="AA1140" i="13"/>
  <c r="AA1141" i="13"/>
  <c r="AA1142" i="13"/>
  <c r="AA1143" i="13"/>
  <c r="AA1144" i="13"/>
  <c r="AA1145" i="13"/>
  <c r="AA1146" i="13"/>
  <c r="AA1147" i="13"/>
  <c r="AA1148" i="13"/>
  <c r="AA1149" i="13"/>
  <c r="AA1150" i="13"/>
  <c r="AA1151" i="13"/>
  <c r="AA1152" i="13"/>
  <c r="AA1153" i="13"/>
  <c r="AA1154" i="13"/>
  <c r="AA1155" i="13"/>
  <c r="AA1156" i="13"/>
  <c r="AA1157" i="13"/>
  <c r="AA1158" i="13"/>
  <c r="AA1159" i="13"/>
  <c r="AA1160" i="13"/>
  <c r="AA1161" i="13"/>
  <c r="AA1162" i="13"/>
  <c r="AA1163" i="13"/>
  <c r="AA1164" i="13"/>
  <c r="AA1165" i="13"/>
  <c r="AA1166" i="13"/>
  <c r="AA1167" i="13"/>
  <c r="AA1168" i="13"/>
  <c r="AA1169" i="13"/>
  <c r="AA1170" i="13"/>
  <c r="AA1171" i="13"/>
  <c r="AA1172" i="13"/>
  <c r="AA1173" i="13"/>
  <c r="AA1174" i="13"/>
  <c r="AA1175" i="13"/>
  <c r="AA1176" i="13"/>
  <c r="AA1177" i="13"/>
  <c r="AA1178" i="13"/>
  <c r="AA1179" i="13"/>
  <c r="AA1180" i="13"/>
  <c r="AA1181" i="13"/>
  <c r="AA1182" i="13"/>
  <c r="AA1183" i="13"/>
  <c r="AA1184" i="13"/>
  <c r="AA1185" i="13"/>
  <c r="AA1186" i="13"/>
  <c r="AA1187" i="13"/>
  <c r="AA1188" i="13"/>
  <c r="AA1189" i="13"/>
  <c r="AA1190" i="13"/>
  <c r="AA1191" i="13"/>
  <c r="AA1192" i="13"/>
  <c r="AA1193" i="13"/>
  <c r="AA1194" i="13"/>
  <c r="AA1195" i="13"/>
  <c r="AA1196" i="13"/>
  <c r="AA1197" i="13"/>
  <c r="AA1198" i="13"/>
  <c r="AA1199" i="13"/>
  <c r="AA1200" i="13"/>
  <c r="AA1201" i="13"/>
  <c r="AA1202" i="13"/>
  <c r="AA1203" i="13"/>
  <c r="AA1204" i="13"/>
  <c r="AA1205" i="13"/>
  <c r="AA1206" i="13"/>
  <c r="AA1207" i="13"/>
  <c r="AA1208" i="13"/>
  <c r="AA1209" i="13"/>
  <c r="AA1210" i="13"/>
  <c r="AA1211" i="13"/>
  <c r="AA1212" i="13"/>
  <c r="AA1213" i="13"/>
  <c r="AA1214" i="13"/>
  <c r="AA1215" i="13"/>
  <c r="AA1216" i="13"/>
  <c r="AA1217" i="13"/>
  <c r="AA1218" i="13"/>
  <c r="AA1219" i="13"/>
  <c r="AA1220" i="13"/>
  <c r="AA1221" i="13"/>
  <c r="AA1222" i="13"/>
  <c r="AA1223" i="13"/>
  <c r="AA1224" i="13"/>
  <c r="AA1225" i="13"/>
  <c r="AA1226" i="13"/>
  <c r="AA1227" i="13"/>
  <c r="AA1228" i="13"/>
  <c r="AA1229" i="13"/>
  <c r="AA1230" i="13"/>
  <c r="AA1231" i="13"/>
  <c r="AA1232" i="13"/>
  <c r="AA1233" i="13"/>
  <c r="AA1234" i="13"/>
  <c r="AA1235" i="13"/>
  <c r="AA1236" i="13"/>
  <c r="AA1237" i="13"/>
  <c r="AA1238" i="13"/>
  <c r="AA1239" i="13"/>
  <c r="AA1240" i="13"/>
  <c r="AA1241" i="13"/>
  <c r="AA1242" i="13"/>
  <c r="AA1243" i="13"/>
  <c r="AA1244" i="13"/>
  <c r="AA1245" i="13"/>
  <c r="AA1246" i="13"/>
  <c r="AA1247" i="13"/>
  <c r="AA1248" i="13"/>
  <c r="AA1249" i="13"/>
  <c r="AA1250" i="13"/>
  <c r="AA1251" i="13"/>
  <c r="AA1252" i="13"/>
  <c r="AA1253" i="13"/>
  <c r="AA1254" i="13"/>
  <c r="AA1255" i="13"/>
  <c r="AA1256" i="13"/>
  <c r="AA1257" i="13"/>
  <c r="AA1258" i="13"/>
  <c r="AA1259" i="13"/>
  <c r="AA1260" i="13"/>
  <c r="AA1261" i="13"/>
  <c r="AA1262" i="13"/>
  <c r="AA1263" i="13"/>
  <c r="AA1264" i="13"/>
  <c r="AA1265" i="13"/>
  <c r="AA1266" i="13"/>
  <c r="AA1267" i="13"/>
  <c r="AA1268" i="13"/>
  <c r="AA1269" i="13"/>
  <c r="AA1270" i="13"/>
  <c r="AA1271" i="13"/>
  <c r="AA1272" i="13"/>
  <c r="AA1273" i="13"/>
  <c r="AA1274" i="13"/>
  <c r="AA1275" i="13"/>
  <c r="AA1276" i="13"/>
  <c r="AA1277" i="13"/>
  <c r="AA1278" i="13"/>
  <c r="AA1279" i="13"/>
  <c r="AA1280" i="13"/>
  <c r="AA1281" i="13"/>
  <c r="AA1282" i="13"/>
  <c r="AA1283" i="13"/>
  <c r="AA1284" i="13"/>
  <c r="AA1285" i="13"/>
  <c r="AA1286" i="13"/>
  <c r="AA1287" i="13"/>
  <c r="AA1288" i="13"/>
  <c r="AA1289" i="13"/>
  <c r="AA1290" i="13"/>
  <c r="AA1291" i="13"/>
  <c r="AA1292" i="13"/>
  <c r="AA1293" i="13"/>
  <c r="AA1294" i="13"/>
  <c r="AA1295" i="13"/>
  <c r="AA1296" i="13"/>
  <c r="AA1297" i="13"/>
  <c r="AA1298" i="13"/>
  <c r="AA1299" i="13"/>
  <c r="AA1300" i="13"/>
  <c r="AA1301" i="13"/>
  <c r="AA1302" i="13"/>
  <c r="AA1303" i="13"/>
  <c r="AA1304" i="13"/>
  <c r="AA1305" i="13"/>
  <c r="AA1306" i="13"/>
  <c r="AA1307" i="13"/>
  <c r="AA1308" i="13"/>
  <c r="AA1309" i="13"/>
  <c r="AA1310" i="13"/>
  <c r="AA1311" i="13"/>
  <c r="AA1312" i="13"/>
  <c r="AA1313" i="13"/>
  <c r="AA1314" i="13"/>
  <c r="AA1315" i="13"/>
  <c r="AA1316" i="13"/>
  <c r="AA1317" i="13"/>
  <c r="AA1318" i="13"/>
  <c r="AA1319" i="13"/>
  <c r="AA1320" i="13"/>
  <c r="AA1321" i="13"/>
  <c r="AA1322" i="13"/>
  <c r="AA1323" i="13"/>
  <c r="AA1324" i="13"/>
  <c r="AA1325" i="13"/>
  <c r="AA1326" i="13"/>
  <c r="AA1327" i="13"/>
  <c r="AA1328" i="13"/>
  <c r="AA1329" i="13"/>
  <c r="AA1330" i="13"/>
  <c r="AA1331" i="13"/>
  <c r="AA1332" i="13"/>
  <c r="AA1333" i="13"/>
  <c r="AA1334" i="13"/>
  <c r="AA1335" i="13"/>
  <c r="AA1336" i="13"/>
  <c r="AA1337" i="13"/>
  <c r="AA1338" i="13"/>
  <c r="AA1339" i="13"/>
  <c r="AA1340" i="13"/>
  <c r="AA1341" i="13"/>
  <c r="AA1342" i="13"/>
  <c r="AA7" i="13"/>
  <c r="AD8" i="13"/>
  <c r="AE8" i="13"/>
  <c r="AF8" i="13"/>
  <c r="AD9" i="13"/>
  <c r="AE9" i="13"/>
  <c r="AF9" i="13"/>
  <c r="AD10" i="13"/>
  <c r="AE10" i="13"/>
  <c r="AF10" i="13"/>
  <c r="AD11" i="13"/>
  <c r="AE11" i="13"/>
  <c r="AF11" i="13"/>
  <c r="AD12" i="13"/>
  <c r="AE12" i="13"/>
  <c r="AF12" i="13"/>
  <c r="AD13" i="13"/>
  <c r="AE13" i="13"/>
  <c r="AF13" i="13"/>
  <c r="AD14" i="13"/>
  <c r="AE14" i="13"/>
  <c r="AF14" i="13"/>
  <c r="AD15" i="13"/>
  <c r="AE15" i="13"/>
  <c r="AF15" i="13"/>
  <c r="AD16" i="13"/>
  <c r="AE16" i="13"/>
  <c r="AF16" i="13"/>
  <c r="AD17" i="13"/>
  <c r="AE17" i="13"/>
  <c r="AF17" i="13"/>
  <c r="AD18" i="13"/>
  <c r="AE18" i="13"/>
  <c r="AF18" i="13"/>
  <c r="AD19" i="13"/>
  <c r="AE19" i="13"/>
  <c r="AF19" i="13"/>
  <c r="AD20" i="13"/>
  <c r="AE20" i="13"/>
  <c r="AF20" i="13"/>
  <c r="AD21" i="13"/>
  <c r="AE21" i="13"/>
  <c r="AF21" i="13"/>
  <c r="AD22" i="13"/>
  <c r="AE22" i="13"/>
  <c r="AF22" i="13"/>
  <c r="AD23" i="13"/>
  <c r="AE23" i="13"/>
  <c r="AF23" i="13"/>
  <c r="AD24" i="13"/>
  <c r="AE24" i="13"/>
  <c r="AF24" i="13"/>
  <c r="AD25" i="13"/>
  <c r="AE25" i="13"/>
  <c r="AF25" i="13"/>
  <c r="AD26" i="13"/>
  <c r="AE26" i="13"/>
  <c r="AF26" i="13"/>
  <c r="AD27" i="13"/>
  <c r="AE27" i="13"/>
  <c r="AF27" i="13"/>
  <c r="AD28" i="13"/>
  <c r="AE28" i="13"/>
  <c r="AF28" i="13"/>
  <c r="AD29" i="13"/>
  <c r="AE29" i="13"/>
  <c r="AF29" i="13"/>
  <c r="AD30" i="13"/>
  <c r="AE30" i="13"/>
  <c r="AF30" i="13"/>
  <c r="AD31" i="13"/>
  <c r="AE31" i="13"/>
  <c r="AF31" i="13"/>
  <c r="AD32" i="13"/>
  <c r="AE32" i="13"/>
  <c r="AF32" i="13"/>
  <c r="AD33" i="13"/>
  <c r="AE33" i="13"/>
  <c r="AF33" i="13"/>
  <c r="AD34" i="13"/>
  <c r="AE34" i="13"/>
  <c r="AF34" i="13"/>
  <c r="AD35" i="13"/>
  <c r="AE35" i="13"/>
  <c r="AF35" i="13"/>
  <c r="AD36" i="13"/>
  <c r="AE36" i="13"/>
  <c r="AF36" i="13"/>
  <c r="AD37" i="13"/>
  <c r="AE37" i="13"/>
  <c r="AF37" i="13"/>
  <c r="AD38" i="13"/>
  <c r="AE38" i="13"/>
  <c r="AF38" i="13"/>
  <c r="AD39" i="13"/>
  <c r="AE39" i="13"/>
  <c r="AF39" i="13"/>
  <c r="AD40" i="13"/>
  <c r="AE40" i="13"/>
  <c r="AF40" i="13"/>
  <c r="AD41" i="13"/>
  <c r="AE41" i="13"/>
  <c r="AF41" i="13"/>
  <c r="AD42" i="13"/>
  <c r="AE42" i="13"/>
  <c r="AF42" i="13"/>
  <c r="AD43" i="13"/>
  <c r="AE43" i="13"/>
  <c r="AF43" i="13"/>
  <c r="AD44" i="13"/>
  <c r="AE44" i="13"/>
  <c r="AF44" i="13"/>
  <c r="AD45" i="13"/>
  <c r="AE45" i="13"/>
  <c r="AF45" i="13"/>
  <c r="AD46" i="13"/>
  <c r="AE46" i="13"/>
  <c r="AF46" i="13"/>
  <c r="AD47" i="13"/>
  <c r="AE47" i="13"/>
  <c r="AF47" i="13"/>
  <c r="AD48" i="13"/>
  <c r="AE48" i="13"/>
  <c r="AF48" i="13"/>
  <c r="AD49" i="13"/>
  <c r="AE49" i="13"/>
  <c r="AF49" i="13"/>
  <c r="AD50" i="13"/>
  <c r="AE50" i="13"/>
  <c r="AF50" i="13"/>
  <c r="AD51" i="13"/>
  <c r="AE51" i="13"/>
  <c r="AF51" i="13"/>
  <c r="AD52" i="13"/>
  <c r="AE52" i="13"/>
  <c r="AF52" i="13"/>
  <c r="AD53" i="13"/>
  <c r="AE53" i="13"/>
  <c r="AF53" i="13"/>
  <c r="AD54" i="13"/>
  <c r="AE54" i="13"/>
  <c r="AF54" i="13"/>
  <c r="AD55" i="13"/>
  <c r="AE55" i="13"/>
  <c r="AF55" i="13"/>
  <c r="AD56" i="13"/>
  <c r="AE56" i="13"/>
  <c r="AF56" i="13"/>
  <c r="AD57" i="13"/>
  <c r="AE57" i="13"/>
  <c r="AF57" i="13"/>
  <c r="AD58" i="13"/>
  <c r="AE58" i="13"/>
  <c r="AF58" i="13"/>
  <c r="AD59" i="13"/>
  <c r="AE59" i="13"/>
  <c r="AF59" i="13"/>
  <c r="AD60" i="13"/>
  <c r="AE60" i="13"/>
  <c r="AF60" i="13"/>
  <c r="AD61" i="13"/>
  <c r="AE61" i="13"/>
  <c r="AF61" i="13"/>
  <c r="AD62" i="13"/>
  <c r="AE62" i="13"/>
  <c r="AF62" i="13"/>
  <c r="AD63" i="13"/>
  <c r="AE63" i="13"/>
  <c r="AF63" i="13"/>
  <c r="AD64" i="13"/>
  <c r="AE64" i="13"/>
  <c r="AF64" i="13"/>
  <c r="AD65" i="13"/>
  <c r="AE65" i="13"/>
  <c r="AF65" i="13"/>
  <c r="AD66" i="13"/>
  <c r="AE66" i="13"/>
  <c r="AF66" i="13"/>
  <c r="AD67" i="13"/>
  <c r="AE67" i="13"/>
  <c r="AF67" i="13"/>
  <c r="AD68" i="13"/>
  <c r="AE68" i="13"/>
  <c r="AF68" i="13"/>
  <c r="AD69" i="13"/>
  <c r="AE69" i="13"/>
  <c r="AF69" i="13"/>
  <c r="AD70" i="13"/>
  <c r="AE70" i="13"/>
  <c r="AF70" i="13"/>
  <c r="AD71" i="13"/>
  <c r="AE71" i="13"/>
  <c r="AF71" i="13"/>
  <c r="AD72" i="13"/>
  <c r="AE72" i="13"/>
  <c r="AF72" i="13"/>
  <c r="AD73" i="13"/>
  <c r="AE73" i="13"/>
  <c r="AF73" i="13"/>
  <c r="AD74" i="13"/>
  <c r="AE74" i="13"/>
  <c r="AF74" i="13"/>
  <c r="AD75" i="13"/>
  <c r="AE75" i="13"/>
  <c r="AF75" i="13"/>
  <c r="AD76" i="13"/>
  <c r="AE76" i="13"/>
  <c r="AF76" i="13"/>
  <c r="AD77" i="13"/>
  <c r="AE77" i="13"/>
  <c r="AF77" i="13"/>
  <c r="AD78" i="13"/>
  <c r="AE78" i="13"/>
  <c r="AF78" i="13"/>
  <c r="AD79" i="13"/>
  <c r="AE79" i="13"/>
  <c r="AF79" i="13"/>
  <c r="AD80" i="13"/>
  <c r="AE80" i="13"/>
  <c r="AF80" i="13"/>
  <c r="AD81" i="13"/>
  <c r="AE81" i="13"/>
  <c r="AF81" i="13"/>
  <c r="AD82" i="13"/>
  <c r="AE82" i="13"/>
  <c r="AF82" i="13"/>
  <c r="AD83" i="13"/>
  <c r="AE83" i="13"/>
  <c r="AF83" i="13"/>
  <c r="AD84" i="13"/>
  <c r="AE84" i="13"/>
  <c r="AF84" i="13"/>
  <c r="AD85" i="13"/>
  <c r="AE85" i="13"/>
  <c r="AF85" i="13"/>
  <c r="AD86" i="13"/>
  <c r="AE86" i="13"/>
  <c r="AF86" i="13"/>
  <c r="AD87" i="13"/>
  <c r="AE87" i="13"/>
  <c r="AF87" i="13"/>
  <c r="AD88" i="13"/>
  <c r="AE88" i="13"/>
  <c r="AF88" i="13"/>
  <c r="AD89" i="13"/>
  <c r="AE89" i="13"/>
  <c r="AF89" i="13"/>
  <c r="AD90" i="13"/>
  <c r="AE90" i="13"/>
  <c r="AF90" i="13"/>
  <c r="AD91" i="13"/>
  <c r="AE91" i="13"/>
  <c r="AF91" i="13"/>
  <c r="AD92" i="13"/>
  <c r="AE92" i="13"/>
  <c r="AF92" i="13"/>
  <c r="AD93" i="13"/>
  <c r="AE93" i="13"/>
  <c r="AF93" i="13"/>
  <c r="AD94" i="13"/>
  <c r="AE94" i="13"/>
  <c r="AF94" i="13"/>
  <c r="AD95" i="13"/>
  <c r="AE95" i="13"/>
  <c r="AF95" i="13"/>
  <c r="AD96" i="13"/>
  <c r="AE96" i="13"/>
  <c r="AF96" i="13"/>
  <c r="AD97" i="13"/>
  <c r="AE97" i="13"/>
  <c r="AF97" i="13"/>
  <c r="AD98" i="13"/>
  <c r="AE98" i="13"/>
  <c r="AF98" i="13"/>
  <c r="AD99" i="13"/>
  <c r="AE99" i="13"/>
  <c r="AF99" i="13"/>
  <c r="AD100" i="13"/>
  <c r="AE100" i="13"/>
  <c r="AF100" i="13"/>
  <c r="AD101" i="13"/>
  <c r="AE101" i="13"/>
  <c r="AF101" i="13"/>
  <c r="AD102" i="13"/>
  <c r="AE102" i="13"/>
  <c r="AF102" i="13"/>
  <c r="AD103" i="13"/>
  <c r="AE103" i="13"/>
  <c r="AF103" i="13"/>
  <c r="AD104" i="13"/>
  <c r="AE104" i="13"/>
  <c r="AF104" i="13"/>
  <c r="AD105" i="13"/>
  <c r="AE105" i="13"/>
  <c r="AF105" i="13"/>
  <c r="AD106" i="13"/>
  <c r="AE106" i="13"/>
  <c r="AF106" i="13"/>
  <c r="AD107" i="13"/>
  <c r="AE107" i="13"/>
  <c r="AF107" i="13"/>
  <c r="AD108" i="13"/>
  <c r="AE108" i="13"/>
  <c r="AF108" i="13"/>
  <c r="AD109" i="13"/>
  <c r="AE109" i="13"/>
  <c r="AF109" i="13"/>
  <c r="AD110" i="13"/>
  <c r="AE110" i="13"/>
  <c r="AF110" i="13"/>
  <c r="AD111" i="13"/>
  <c r="AE111" i="13"/>
  <c r="AF111" i="13"/>
  <c r="AD112" i="13"/>
  <c r="AE112" i="13"/>
  <c r="AF112" i="13"/>
  <c r="AD113" i="13"/>
  <c r="AE113" i="13"/>
  <c r="AF113" i="13"/>
  <c r="AD114" i="13"/>
  <c r="AE114" i="13"/>
  <c r="AF114" i="13"/>
  <c r="AD115" i="13"/>
  <c r="AE115" i="13"/>
  <c r="AF115" i="13"/>
  <c r="AD116" i="13"/>
  <c r="AE116" i="13"/>
  <c r="AF116" i="13"/>
  <c r="AD117" i="13"/>
  <c r="AE117" i="13"/>
  <c r="AF117" i="13"/>
  <c r="AD118" i="13"/>
  <c r="AE118" i="13"/>
  <c r="AF118" i="13"/>
  <c r="AD119" i="13"/>
  <c r="AE119" i="13"/>
  <c r="AF119" i="13"/>
  <c r="AD120" i="13"/>
  <c r="AE120" i="13"/>
  <c r="AF120" i="13"/>
  <c r="AD121" i="13"/>
  <c r="AE121" i="13"/>
  <c r="AF121" i="13"/>
  <c r="AD122" i="13"/>
  <c r="AE122" i="13"/>
  <c r="AF122" i="13"/>
  <c r="AD123" i="13"/>
  <c r="AE123" i="13"/>
  <c r="AF123" i="13"/>
  <c r="AD124" i="13"/>
  <c r="AE124" i="13"/>
  <c r="AF124" i="13"/>
  <c r="AD125" i="13"/>
  <c r="AE125" i="13"/>
  <c r="AF125" i="13"/>
  <c r="AD126" i="13"/>
  <c r="AE126" i="13"/>
  <c r="AF126" i="13"/>
  <c r="AD127" i="13"/>
  <c r="AE127" i="13"/>
  <c r="AF127" i="13"/>
  <c r="AD128" i="13"/>
  <c r="AE128" i="13"/>
  <c r="AF128" i="13"/>
  <c r="AD129" i="13"/>
  <c r="AE129" i="13"/>
  <c r="AF129" i="13"/>
  <c r="AD130" i="13"/>
  <c r="AE130" i="13"/>
  <c r="AF130" i="13"/>
  <c r="AD131" i="13"/>
  <c r="AE131" i="13"/>
  <c r="AF131" i="13"/>
  <c r="AD132" i="13"/>
  <c r="AE132" i="13"/>
  <c r="AF132" i="13"/>
  <c r="AD133" i="13"/>
  <c r="AE133" i="13"/>
  <c r="AF133" i="13"/>
  <c r="AD134" i="13"/>
  <c r="AE134" i="13"/>
  <c r="AF134" i="13"/>
  <c r="AD135" i="13"/>
  <c r="AE135" i="13"/>
  <c r="AF135" i="13"/>
  <c r="AD136" i="13"/>
  <c r="AE136" i="13"/>
  <c r="AF136" i="13"/>
  <c r="AD137" i="13"/>
  <c r="AE137" i="13"/>
  <c r="AF137" i="13"/>
  <c r="AD138" i="13"/>
  <c r="AE138" i="13"/>
  <c r="AF138" i="13"/>
  <c r="AD139" i="13"/>
  <c r="AE139" i="13"/>
  <c r="AF139" i="13"/>
  <c r="AD140" i="13"/>
  <c r="AE140" i="13"/>
  <c r="AF140" i="13"/>
  <c r="AD141" i="13"/>
  <c r="AE141" i="13"/>
  <c r="AF141" i="13"/>
  <c r="AD142" i="13"/>
  <c r="AE142" i="13"/>
  <c r="AF142" i="13"/>
  <c r="AD143" i="13"/>
  <c r="AE143" i="13"/>
  <c r="AF143" i="13"/>
  <c r="AD144" i="13"/>
  <c r="AE144" i="13"/>
  <c r="AF144" i="13"/>
  <c r="AD145" i="13"/>
  <c r="AE145" i="13"/>
  <c r="AF145" i="13"/>
  <c r="AD146" i="13"/>
  <c r="AE146" i="13"/>
  <c r="AF146" i="13"/>
  <c r="AD147" i="13"/>
  <c r="AE147" i="13"/>
  <c r="AF147" i="13"/>
  <c r="AD148" i="13"/>
  <c r="AE148" i="13"/>
  <c r="AF148" i="13"/>
  <c r="AD149" i="13"/>
  <c r="AE149" i="13"/>
  <c r="AF149" i="13"/>
  <c r="AD150" i="13"/>
  <c r="AE150" i="13"/>
  <c r="AF150" i="13"/>
  <c r="AD151" i="13"/>
  <c r="AE151" i="13"/>
  <c r="AF151" i="13"/>
  <c r="AD152" i="13"/>
  <c r="AE152" i="13"/>
  <c r="AF152" i="13"/>
  <c r="AD153" i="13"/>
  <c r="AE153" i="13"/>
  <c r="AF153" i="13"/>
  <c r="AD154" i="13"/>
  <c r="AE154" i="13"/>
  <c r="AF154" i="13"/>
  <c r="AD155" i="13"/>
  <c r="AE155" i="13"/>
  <c r="AF155" i="13"/>
  <c r="AD156" i="13"/>
  <c r="AE156" i="13"/>
  <c r="AF156" i="13"/>
  <c r="AD157" i="13"/>
  <c r="AE157" i="13"/>
  <c r="AF157" i="13"/>
  <c r="AD158" i="13"/>
  <c r="AE158" i="13"/>
  <c r="AF158" i="13"/>
  <c r="AD159" i="13"/>
  <c r="AE159" i="13"/>
  <c r="AF159" i="13"/>
  <c r="AD160" i="13"/>
  <c r="AE160" i="13"/>
  <c r="AF160" i="13"/>
  <c r="AD161" i="13"/>
  <c r="AE161" i="13"/>
  <c r="AF161" i="13"/>
  <c r="AD162" i="13"/>
  <c r="AE162" i="13"/>
  <c r="AF162" i="13"/>
  <c r="AD163" i="13"/>
  <c r="AE163" i="13"/>
  <c r="AF163" i="13"/>
  <c r="AD164" i="13"/>
  <c r="AE164" i="13"/>
  <c r="AF164" i="13"/>
  <c r="AD165" i="13"/>
  <c r="AE165" i="13"/>
  <c r="AF165" i="13"/>
  <c r="AD166" i="13"/>
  <c r="AE166" i="13"/>
  <c r="AF166" i="13"/>
  <c r="AD167" i="13"/>
  <c r="AE167" i="13"/>
  <c r="AF167" i="13"/>
  <c r="AD168" i="13"/>
  <c r="AE168" i="13"/>
  <c r="AF168" i="13"/>
  <c r="AD169" i="13"/>
  <c r="AE169" i="13"/>
  <c r="AF169" i="13"/>
  <c r="AD170" i="13"/>
  <c r="AE170" i="13"/>
  <c r="AF170" i="13"/>
  <c r="AD171" i="13"/>
  <c r="AE171" i="13"/>
  <c r="AF171" i="13"/>
  <c r="AD172" i="13"/>
  <c r="AE172" i="13"/>
  <c r="AF172" i="13"/>
  <c r="AD173" i="13"/>
  <c r="AE173" i="13"/>
  <c r="AF173" i="13"/>
  <c r="AD174" i="13"/>
  <c r="AE174" i="13"/>
  <c r="AF174" i="13"/>
  <c r="AD175" i="13"/>
  <c r="AE175" i="13"/>
  <c r="AF175" i="13"/>
  <c r="AD176" i="13"/>
  <c r="AE176" i="13"/>
  <c r="AF176" i="13"/>
  <c r="AD177" i="13"/>
  <c r="AE177" i="13"/>
  <c r="AF177" i="13"/>
  <c r="AD178" i="13"/>
  <c r="AE178" i="13"/>
  <c r="AF178" i="13"/>
  <c r="AD179" i="13"/>
  <c r="AE179" i="13"/>
  <c r="AF179" i="13"/>
  <c r="AD180" i="13"/>
  <c r="AE180" i="13"/>
  <c r="AF180" i="13"/>
  <c r="AD181" i="13"/>
  <c r="AE181" i="13"/>
  <c r="AF181" i="13"/>
  <c r="AD182" i="13"/>
  <c r="AE182" i="13"/>
  <c r="AF182" i="13"/>
  <c r="AD183" i="13"/>
  <c r="AE183" i="13"/>
  <c r="AF183" i="13"/>
  <c r="AD184" i="13"/>
  <c r="AE184" i="13"/>
  <c r="AF184" i="13"/>
  <c r="AD185" i="13"/>
  <c r="AE185" i="13"/>
  <c r="AF185" i="13"/>
  <c r="AD186" i="13"/>
  <c r="AE186" i="13"/>
  <c r="AF186" i="13"/>
  <c r="AD187" i="13"/>
  <c r="AE187" i="13"/>
  <c r="AF187" i="13"/>
  <c r="AD188" i="13"/>
  <c r="AE188" i="13"/>
  <c r="AF188" i="13"/>
  <c r="AD189" i="13"/>
  <c r="AE189" i="13"/>
  <c r="AF189" i="13"/>
  <c r="AD190" i="13"/>
  <c r="AE190" i="13"/>
  <c r="AF190" i="13"/>
  <c r="AD191" i="13"/>
  <c r="AE191" i="13"/>
  <c r="AF191" i="13"/>
  <c r="AD192" i="13"/>
  <c r="AE192" i="13"/>
  <c r="AF192" i="13"/>
  <c r="AD193" i="13"/>
  <c r="AE193" i="13"/>
  <c r="AF193" i="13"/>
  <c r="AD194" i="13"/>
  <c r="AE194" i="13"/>
  <c r="AF194" i="13"/>
  <c r="AD195" i="13"/>
  <c r="AE195" i="13"/>
  <c r="AF195" i="13"/>
  <c r="AD196" i="13"/>
  <c r="AE196" i="13"/>
  <c r="AF196" i="13"/>
  <c r="AD197" i="13"/>
  <c r="AE197" i="13"/>
  <c r="AF197" i="13"/>
  <c r="AD198" i="13"/>
  <c r="AE198" i="13"/>
  <c r="AF198" i="13"/>
  <c r="AD199" i="13"/>
  <c r="AE199" i="13"/>
  <c r="AF199" i="13"/>
  <c r="AD200" i="13"/>
  <c r="AE200" i="13"/>
  <c r="AF200" i="13"/>
  <c r="AD201" i="13"/>
  <c r="AE201" i="13"/>
  <c r="AF201" i="13"/>
  <c r="AD202" i="13"/>
  <c r="AE202" i="13"/>
  <c r="AF202" i="13"/>
  <c r="AD203" i="13"/>
  <c r="AE203" i="13"/>
  <c r="AF203" i="13"/>
  <c r="AD204" i="13"/>
  <c r="AE204" i="13"/>
  <c r="AF204" i="13"/>
  <c r="AD205" i="13"/>
  <c r="AE205" i="13"/>
  <c r="AF205" i="13"/>
  <c r="AD206" i="13"/>
  <c r="AE206" i="13"/>
  <c r="AF206" i="13"/>
  <c r="AD207" i="13"/>
  <c r="AE207" i="13"/>
  <c r="AF207" i="13"/>
  <c r="AD208" i="13"/>
  <c r="AE208" i="13"/>
  <c r="AF208" i="13"/>
  <c r="AD209" i="13"/>
  <c r="AE209" i="13"/>
  <c r="AF209" i="13"/>
  <c r="AD210" i="13"/>
  <c r="AE210" i="13"/>
  <c r="AF210" i="13"/>
  <c r="AD211" i="13"/>
  <c r="AE211" i="13"/>
  <c r="AF211" i="13"/>
  <c r="AD212" i="13"/>
  <c r="AE212" i="13"/>
  <c r="AF212" i="13"/>
  <c r="AD213" i="13"/>
  <c r="AE213" i="13"/>
  <c r="AF213" i="13"/>
  <c r="AD214" i="13"/>
  <c r="AE214" i="13"/>
  <c r="AF214" i="13"/>
  <c r="AD215" i="13"/>
  <c r="AE215" i="13"/>
  <c r="AF215" i="13"/>
  <c r="AD216" i="13"/>
  <c r="AE216" i="13"/>
  <c r="AF216" i="13"/>
  <c r="AD217" i="13"/>
  <c r="AE217" i="13"/>
  <c r="AF217" i="13"/>
  <c r="AD218" i="13"/>
  <c r="AE218" i="13"/>
  <c r="AF218" i="13"/>
  <c r="AD219" i="13"/>
  <c r="AE219" i="13"/>
  <c r="AF219" i="13"/>
  <c r="AD220" i="13"/>
  <c r="AE220" i="13"/>
  <c r="AF220" i="13"/>
  <c r="AD221" i="13"/>
  <c r="AE221" i="13"/>
  <c r="AF221" i="13"/>
  <c r="AD222" i="13"/>
  <c r="AE222" i="13"/>
  <c r="AF222" i="13"/>
  <c r="AD223" i="13"/>
  <c r="AE223" i="13"/>
  <c r="AF223" i="13"/>
  <c r="AD224" i="13"/>
  <c r="AE224" i="13"/>
  <c r="AF224" i="13"/>
  <c r="AD225" i="13"/>
  <c r="AE225" i="13"/>
  <c r="AF225" i="13"/>
  <c r="AD226" i="13"/>
  <c r="AE226" i="13"/>
  <c r="AF226" i="13"/>
  <c r="AD227" i="13"/>
  <c r="AE227" i="13"/>
  <c r="AF227" i="13"/>
  <c r="AD228" i="13"/>
  <c r="AE228" i="13"/>
  <c r="AF228" i="13"/>
  <c r="AD229" i="13"/>
  <c r="AE229" i="13"/>
  <c r="AF229" i="13"/>
  <c r="AD230" i="13"/>
  <c r="AE230" i="13"/>
  <c r="AF230" i="13"/>
  <c r="AD231" i="13"/>
  <c r="AE231" i="13"/>
  <c r="AF231" i="13"/>
  <c r="AD232" i="13"/>
  <c r="AE232" i="13"/>
  <c r="AF232" i="13"/>
  <c r="AD233" i="13"/>
  <c r="AE233" i="13"/>
  <c r="AF233" i="13"/>
  <c r="AD234" i="13"/>
  <c r="AE234" i="13"/>
  <c r="AF234" i="13"/>
  <c r="AD235" i="13"/>
  <c r="AE235" i="13"/>
  <c r="AF235" i="13"/>
  <c r="AD236" i="13"/>
  <c r="AE236" i="13"/>
  <c r="AF236" i="13"/>
  <c r="AD237" i="13"/>
  <c r="AE237" i="13"/>
  <c r="AF237" i="13"/>
  <c r="AD238" i="13"/>
  <c r="AE238" i="13"/>
  <c r="AF238" i="13"/>
  <c r="AD239" i="13"/>
  <c r="AE239" i="13"/>
  <c r="AF239" i="13"/>
  <c r="AD240" i="13"/>
  <c r="AE240" i="13"/>
  <c r="AF240" i="13"/>
  <c r="AD241" i="13"/>
  <c r="AE241" i="13"/>
  <c r="AF241" i="13"/>
  <c r="AD242" i="13"/>
  <c r="AE242" i="13"/>
  <c r="AF242" i="13"/>
  <c r="AD243" i="13"/>
  <c r="AE243" i="13"/>
  <c r="AF243" i="13"/>
  <c r="AD244" i="13"/>
  <c r="AE244" i="13"/>
  <c r="AF244" i="13"/>
  <c r="AD245" i="13"/>
  <c r="AE245" i="13"/>
  <c r="AF245" i="13"/>
  <c r="AD246" i="13"/>
  <c r="AE246" i="13"/>
  <c r="AF246" i="13"/>
  <c r="AD247" i="13"/>
  <c r="AE247" i="13"/>
  <c r="AF247" i="13"/>
  <c r="AD248" i="13"/>
  <c r="AE248" i="13"/>
  <c r="AF248" i="13"/>
  <c r="AD249" i="13"/>
  <c r="AE249" i="13"/>
  <c r="AF249" i="13"/>
  <c r="AD250" i="13"/>
  <c r="AE250" i="13"/>
  <c r="AF250" i="13"/>
  <c r="AD251" i="13"/>
  <c r="AE251" i="13"/>
  <c r="AF251" i="13"/>
  <c r="AD252" i="13"/>
  <c r="AE252" i="13"/>
  <c r="AF252" i="13"/>
  <c r="AD253" i="13"/>
  <c r="AE253" i="13"/>
  <c r="AF253" i="13"/>
  <c r="AD254" i="13"/>
  <c r="AE254" i="13"/>
  <c r="AF254" i="13"/>
  <c r="AD255" i="13"/>
  <c r="AE255" i="13"/>
  <c r="AF255" i="13"/>
  <c r="AD256" i="13"/>
  <c r="AE256" i="13"/>
  <c r="AF256" i="13"/>
  <c r="AD257" i="13"/>
  <c r="AE257" i="13"/>
  <c r="AF257" i="13"/>
  <c r="AD258" i="13"/>
  <c r="AE258" i="13"/>
  <c r="AF258" i="13"/>
  <c r="AD259" i="13"/>
  <c r="AE259" i="13"/>
  <c r="AF259" i="13"/>
  <c r="AD260" i="13"/>
  <c r="AE260" i="13"/>
  <c r="AF260" i="13"/>
  <c r="AD261" i="13"/>
  <c r="AE261" i="13"/>
  <c r="AF261" i="13"/>
  <c r="AD262" i="13"/>
  <c r="AE262" i="13"/>
  <c r="AF262" i="13"/>
  <c r="AD263" i="13"/>
  <c r="AE263" i="13"/>
  <c r="AF263" i="13"/>
  <c r="AD264" i="13"/>
  <c r="AE264" i="13"/>
  <c r="AF264" i="13"/>
  <c r="AD265" i="13"/>
  <c r="AE265" i="13"/>
  <c r="AF265" i="13"/>
  <c r="AD266" i="13"/>
  <c r="AE266" i="13"/>
  <c r="AF266" i="13"/>
  <c r="AD267" i="13"/>
  <c r="AE267" i="13"/>
  <c r="AF267" i="13"/>
  <c r="AD268" i="13"/>
  <c r="AE268" i="13"/>
  <c r="AF268" i="13"/>
  <c r="AD269" i="13"/>
  <c r="AE269" i="13"/>
  <c r="AF269" i="13"/>
  <c r="AD270" i="13"/>
  <c r="AE270" i="13"/>
  <c r="AF270" i="13"/>
  <c r="AD271" i="13"/>
  <c r="AE271" i="13"/>
  <c r="AF271" i="13"/>
  <c r="AD272" i="13"/>
  <c r="AE272" i="13"/>
  <c r="AF272" i="13"/>
  <c r="AD273" i="13"/>
  <c r="AE273" i="13"/>
  <c r="AF273" i="13"/>
  <c r="AD274" i="13"/>
  <c r="AE274" i="13"/>
  <c r="AF274" i="13"/>
  <c r="AD275" i="13"/>
  <c r="AE275" i="13"/>
  <c r="AF275" i="13"/>
  <c r="AD276" i="13"/>
  <c r="AE276" i="13"/>
  <c r="AF276" i="13"/>
  <c r="AD277" i="13"/>
  <c r="AE277" i="13"/>
  <c r="AF277" i="13"/>
  <c r="AD278" i="13"/>
  <c r="AE278" i="13"/>
  <c r="AF278" i="13"/>
  <c r="AD279" i="13"/>
  <c r="AE279" i="13"/>
  <c r="AF279" i="13"/>
  <c r="AD280" i="13"/>
  <c r="AE280" i="13"/>
  <c r="AF280" i="13"/>
  <c r="AD281" i="13"/>
  <c r="AE281" i="13"/>
  <c r="AF281" i="13"/>
  <c r="AD282" i="13"/>
  <c r="AE282" i="13"/>
  <c r="AF282" i="13"/>
  <c r="AD283" i="13"/>
  <c r="AE283" i="13"/>
  <c r="AF283" i="13"/>
  <c r="AD284" i="13"/>
  <c r="AE284" i="13"/>
  <c r="AF284" i="13"/>
  <c r="AD285" i="13"/>
  <c r="AE285" i="13"/>
  <c r="AF285" i="13"/>
  <c r="AD286" i="13"/>
  <c r="AE286" i="13"/>
  <c r="AF286" i="13"/>
  <c r="AD287" i="13"/>
  <c r="AE287" i="13"/>
  <c r="AF287" i="13"/>
  <c r="AD288" i="13"/>
  <c r="AE288" i="13"/>
  <c r="AF288" i="13"/>
  <c r="AD289" i="13"/>
  <c r="AE289" i="13"/>
  <c r="AF289" i="13"/>
  <c r="AD290" i="13"/>
  <c r="AE290" i="13"/>
  <c r="AF290" i="13"/>
  <c r="AD291" i="13"/>
  <c r="AE291" i="13"/>
  <c r="AF291" i="13"/>
  <c r="AD292" i="13"/>
  <c r="AE292" i="13"/>
  <c r="AF292" i="13"/>
  <c r="AD293" i="13"/>
  <c r="AE293" i="13"/>
  <c r="AF293" i="13"/>
  <c r="AD294" i="13"/>
  <c r="AE294" i="13"/>
  <c r="AF294" i="13"/>
  <c r="AD295" i="13"/>
  <c r="AE295" i="13"/>
  <c r="AF295" i="13"/>
  <c r="AD296" i="13"/>
  <c r="AE296" i="13"/>
  <c r="AF296" i="13"/>
  <c r="AD297" i="13"/>
  <c r="AE297" i="13"/>
  <c r="AF297" i="13"/>
  <c r="AD298" i="13"/>
  <c r="AE298" i="13"/>
  <c r="AF298" i="13"/>
  <c r="AD299" i="13"/>
  <c r="AE299" i="13"/>
  <c r="AF299" i="13"/>
  <c r="AD300" i="13"/>
  <c r="AE300" i="13"/>
  <c r="AF300" i="13"/>
  <c r="AD301" i="13"/>
  <c r="AE301" i="13"/>
  <c r="AF301" i="13"/>
  <c r="AD302" i="13"/>
  <c r="AE302" i="13"/>
  <c r="AF302" i="13"/>
  <c r="AD303" i="13"/>
  <c r="AE303" i="13"/>
  <c r="AF303" i="13"/>
  <c r="AD304" i="13"/>
  <c r="AE304" i="13"/>
  <c r="AF304" i="13"/>
  <c r="AD305" i="13"/>
  <c r="AE305" i="13"/>
  <c r="AF305" i="13"/>
  <c r="AD306" i="13"/>
  <c r="AE306" i="13"/>
  <c r="AF306" i="13"/>
  <c r="AD307" i="13"/>
  <c r="AE307" i="13"/>
  <c r="AF307" i="13"/>
  <c r="AD308" i="13"/>
  <c r="AE308" i="13"/>
  <c r="AF308" i="13"/>
  <c r="AD309" i="13"/>
  <c r="AE309" i="13"/>
  <c r="AF309" i="13"/>
  <c r="AD310" i="13"/>
  <c r="AE310" i="13"/>
  <c r="AF310" i="13"/>
  <c r="AD311" i="13"/>
  <c r="AE311" i="13"/>
  <c r="AF311" i="13"/>
  <c r="AD312" i="13"/>
  <c r="AE312" i="13"/>
  <c r="AF312" i="13"/>
  <c r="AD313" i="13"/>
  <c r="AE313" i="13"/>
  <c r="AF313" i="13"/>
  <c r="AD314" i="13"/>
  <c r="AE314" i="13"/>
  <c r="AF314" i="13"/>
  <c r="AD315" i="13"/>
  <c r="AE315" i="13"/>
  <c r="AF315" i="13"/>
  <c r="AD316" i="13"/>
  <c r="AE316" i="13"/>
  <c r="AF316" i="13"/>
  <c r="AD317" i="13"/>
  <c r="AE317" i="13"/>
  <c r="AF317" i="13"/>
  <c r="AD318" i="13"/>
  <c r="AE318" i="13"/>
  <c r="AF318" i="13"/>
  <c r="AD319" i="13"/>
  <c r="AE319" i="13"/>
  <c r="AF319" i="13"/>
  <c r="AD320" i="13"/>
  <c r="AE320" i="13"/>
  <c r="AF320" i="13"/>
  <c r="AD321" i="13"/>
  <c r="AE321" i="13"/>
  <c r="AF321" i="13"/>
  <c r="AD322" i="13"/>
  <c r="AE322" i="13"/>
  <c r="AF322" i="13"/>
  <c r="AD323" i="13"/>
  <c r="AE323" i="13"/>
  <c r="AF323" i="13"/>
  <c r="AD324" i="13"/>
  <c r="AE324" i="13"/>
  <c r="AF324" i="13"/>
  <c r="AD325" i="13"/>
  <c r="AE325" i="13"/>
  <c r="AF325" i="13"/>
  <c r="AD326" i="13"/>
  <c r="AE326" i="13"/>
  <c r="AF326" i="13"/>
  <c r="AD327" i="13"/>
  <c r="AE327" i="13"/>
  <c r="AF327" i="13"/>
  <c r="AD328" i="13"/>
  <c r="AE328" i="13"/>
  <c r="AF328" i="13"/>
  <c r="AD329" i="13"/>
  <c r="AE329" i="13"/>
  <c r="AF329" i="13"/>
  <c r="AD330" i="13"/>
  <c r="AE330" i="13"/>
  <c r="AF330" i="13"/>
  <c r="AD331" i="13"/>
  <c r="AE331" i="13"/>
  <c r="AF331" i="13"/>
  <c r="AD332" i="13"/>
  <c r="AE332" i="13"/>
  <c r="AF332" i="13"/>
  <c r="AD333" i="13"/>
  <c r="AE333" i="13"/>
  <c r="AF333" i="13"/>
  <c r="AD334" i="13"/>
  <c r="AE334" i="13"/>
  <c r="AF334" i="13"/>
  <c r="AD335" i="13"/>
  <c r="AE335" i="13"/>
  <c r="AF335" i="13"/>
  <c r="AD336" i="13"/>
  <c r="AE336" i="13"/>
  <c r="AF336" i="13"/>
  <c r="AD337" i="13"/>
  <c r="AE337" i="13"/>
  <c r="AF337" i="13"/>
  <c r="AD338" i="13"/>
  <c r="AE338" i="13"/>
  <c r="AF338" i="13"/>
  <c r="AD339" i="13"/>
  <c r="AE339" i="13"/>
  <c r="AF339" i="13"/>
  <c r="AD340" i="13"/>
  <c r="AE340" i="13"/>
  <c r="AF340" i="13"/>
  <c r="AD341" i="13"/>
  <c r="AE341" i="13"/>
  <c r="AF341" i="13"/>
  <c r="AD342" i="13"/>
  <c r="AE342" i="13"/>
  <c r="AF342" i="13"/>
  <c r="AD343" i="13"/>
  <c r="AE343" i="13"/>
  <c r="AF343" i="13"/>
  <c r="AD344" i="13"/>
  <c r="AE344" i="13"/>
  <c r="AF344" i="13"/>
  <c r="AD345" i="13"/>
  <c r="AE345" i="13"/>
  <c r="AF345" i="13"/>
  <c r="AD346" i="13"/>
  <c r="AE346" i="13"/>
  <c r="AF346" i="13"/>
  <c r="AD347" i="13"/>
  <c r="AE347" i="13"/>
  <c r="AF347" i="13"/>
  <c r="AD348" i="13"/>
  <c r="AE348" i="13"/>
  <c r="AF348" i="13"/>
  <c r="AD349" i="13"/>
  <c r="AE349" i="13"/>
  <c r="AF349" i="13"/>
  <c r="AD350" i="13"/>
  <c r="AE350" i="13"/>
  <c r="AF350" i="13"/>
  <c r="AD351" i="13"/>
  <c r="AE351" i="13"/>
  <c r="AF351" i="13"/>
  <c r="AD352" i="13"/>
  <c r="AE352" i="13"/>
  <c r="AF352" i="13"/>
  <c r="AD353" i="13"/>
  <c r="AE353" i="13"/>
  <c r="AF353" i="13"/>
  <c r="AD354" i="13"/>
  <c r="AE354" i="13"/>
  <c r="AF354" i="13"/>
  <c r="AD355" i="13"/>
  <c r="AE355" i="13"/>
  <c r="AF355" i="13"/>
  <c r="AD356" i="13"/>
  <c r="AE356" i="13"/>
  <c r="AF356" i="13"/>
  <c r="AD357" i="13"/>
  <c r="AE357" i="13"/>
  <c r="AF357" i="13"/>
  <c r="AD358" i="13"/>
  <c r="AE358" i="13"/>
  <c r="AF358" i="13"/>
  <c r="AD359" i="13"/>
  <c r="AE359" i="13"/>
  <c r="AF359" i="13"/>
  <c r="AD360" i="13"/>
  <c r="AE360" i="13"/>
  <c r="AF360" i="13"/>
  <c r="AD361" i="13"/>
  <c r="AE361" i="13"/>
  <c r="AF361" i="13"/>
  <c r="AD362" i="13"/>
  <c r="AE362" i="13"/>
  <c r="AF362" i="13"/>
  <c r="AD363" i="13"/>
  <c r="AE363" i="13"/>
  <c r="AF363" i="13"/>
  <c r="AD364" i="13"/>
  <c r="AE364" i="13"/>
  <c r="AF364" i="13"/>
  <c r="AD365" i="13"/>
  <c r="AE365" i="13"/>
  <c r="AF365" i="13"/>
  <c r="AD366" i="13"/>
  <c r="AE366" i="13"/>
  <c r="AF366" i="13"/>
  <c r="AD367" i="13"/>
  <c r="AE367" i="13"/>
  <c r="AF367" i="13"/>
  <c r="AD368" i="13"/>
  <c r="AE368" i="13"/>
  <c r="AF368" i="13"/>
  <c r="AD369" i="13"/>
  <c r="AE369" i="13"/>
  <c r="AF369" i="13"/>
  <c r="AD370" i="13"/>
  <c r="AE370" i="13"/>
  <c r="AF370" i="13"/>
  <c r="AD371" i="13"/>
  <c r="AE371" i="13"/>
  <c r="AF371" i="13"/>
  <c r="AD372" i="13"/>
  <c r="AE372" i="13"/>
  <c r="AF372" i="13"/>
  <c r="AD373" i="13"/>
  <c r="AE373" i="13"/>
  <c r="AF373" i="13"/>
  <c r="AD374" i="13"/>
  <c r="AE374" i="13"/>
  <c r="AF374" i="13"/>
  <c r="AD375" i="13"/>
  <c r="AE375" i="13"/>
  <c r="AF375" i="13"/>
  <c r="AD376" i="13"/>
  <c r="AE376" i="13"/>
  <c r="AF376" i="13"/>
  <c r="AD377" i="13"/>
  <c r="AE377" i="13"/>
  <c r="AF377" i="13"/>
  <c r="AD378" i="13"/>
  <c r="AE378" i="13"/>
  <c r="AF378" i="13"/>
  <c r="AD379" i="13"/>
  <c r="AE379" i="13"/>
  <c r="AF379" i="13"/>
  <c r="AD380" i="13"/>
  <c r="AE380" i="13"/>
  <c r="AF380" i="13"/>
  <c r="AD381" i="13"/>
  <c r="AE381" i="13"/>
  <c r="AF381" i="13"/>
  <c r="AD382" i="13"/>
  <c r="AE382" i="13"/>
  <c r="AF382" i="13"/>
  <c r="AD383" i="13"/>
  <c r="AE383" i="13"/>
  <c r="AF383" i="13"/>
  <c r="AD384" i="13"/>
  <c r="AE384" i="13"/>
  <c r="AF384" i="13"/>
  <c r="AD385" i="13"/>
  <c r="AE385" i="13"/>
  <c r="AF385" i="13"/>
  <c r="AD386" i="13"/>
  <c r="AE386" i="13"/>
  <c r="AF386" i="13"/>
  <c r="AD387" i="13"/>
  <c r="AE387" i="13"/>
  <c r="AF387" i="13"/>
  <c r="AD388" i="13"/>
  <c r="AE388" i="13"/>
  <c r="AF388" i="13"/>
  <c r="AD389" i="13"/>
  <c r="AE389" i="13"/>
  <c r="AF389" i="13"/>
  <c r="AD390" i="13"/>
  <c r="AE390" i="13"/>
  <c r="AF390" i="13"/>
  <c r="AD391" i="13"/>
  <c r="AE391" i="13"/>
  <c r="AF391" i="13"/>
  <c r="AD392" i="13"/>
  <c r="AE392" i="13"/>
  <c r="AF392" i="13"/>
  <c r="AD393" i="13"/>
  <c r="AE393" i="13"/>
  <c r="AF393" i="13"/>
  <c r="AD394" i="13"/>
  <c r="AE394" i="13"/>
  <c r="AF394" i="13"/>
  <c r="AD395" i="13"/>
  <c r="AE395" i="13"/>
  <c r="AF395" i="13"/>
  <c r="AD396" i="13"/>
  <c r="AE396" i="13"/>
  <c r="AF396" i="13"/>
  <c r="AD397" i="13"/>
  <c r="AE397" i="13"/>
  <c r="AF397" i="13"/>
  <c r="AD398" i="13"/>
  <c r="AE398" i="13"/>
  <c r="AF398" i="13"/>
  <c r="AD399" i="13"/>
  <c r="AE399" i="13"/>
  <c r="AF399" i="13"/>
  <c r="AD400" i="13"/>
  <c r="AE400" i="13"/>
  <c r="AF400" i="13"/>
  <c r="AD401" i="13"/>
  <c r="AE401" i="13"/>
  <c r="AF401" i="13"/>
  <c r="AD402" i="13"/>
  <c r="AE402" i="13"/>
  <c r="AF402" i="13"/>
  <c r="AD403" i="13"/>
  <c r="AE403" i="13"/>
  <c r="AF403" i="13"/>
  <c r="AD404" i="13"/>
  <c r="AE404" i="13"/>
  <c r="AF404" i="13"/>
  <c r="AD405" i="13"/>
  <c r="AE405" i="13"/>
  <c r="AF405" i="13"/>
  <c r="AD406" i="13"/>
  <c r="AE406" i="13"/>
  <c r="AF406" i="13"/>
  <c r="AD407" i="13"/>
  <c r="AE407" i="13"/>
  <c r="AF407" i="13"/>
  <c r="AD408" i="13"/>
  <c r="AE408" i="13"/>
  <c r="AF408" i="13"/>
  <c r="AD409" i="13"/>
  <c r="AE409" i="13"/>
  <c r="AF409" i="13"/>
  <c r="AD410" i="13"/>
  <c r="AE410" i="13"/>
  <c r="AF410" i="13"/>
  <c r="AD411" i="13"/>
  <c r="AE411" i="13"/>
  <c r="AF411" i="13"/>
  <c r="AD412" i="13"/>
  <c r="AE412" i="13"/>
  <c r="AF412" i="13"/>
  <c r="AD413" i="13"/>
  <c r="AE413" i="13"/>
  <c r="AF413" i="13"/>
  <c r="AD414" i="13"/>
  <c r="AE414" i="13"/>
  <c r="AF414" i="13"/>
  <c r="AD415" i="13"/>
  <c r="AE415" i="13"/>
  <c r="AF415" i="13"/>
  <c r="AD416" i="13"/>
  <c r="AE416" i="13"/>
  <c r="AF416" i="13"/>
  <c r="AD417" i="13"/>
  <c r="AE417" i="13"/>
  <c r="AF417" i="13"/>
  <c r="AD418" i="13"/>
  <c r="AE418" i="13"/>
  <c r="AF418" i="13"/>
  <c r="AD419" i="13"/>
  <c r="AE419" i="13"/>
  <c r="AF419" i="13"/>
  <c r="AD420" i="13"/>
  <c r="AE420" i="13"/>
  <c r="AF420" i="13"/>
  <c r="AD421" i="13"/>
  <c r="AE421" i="13"/>
  <c r="AF421" i="13"/>
  <c r="AD422" i="13"/>
  <c r="AE422" i="13"/>
  <c r="AF422" i="13"/>
  <c r="AD423" i="13"/>
  <c r="AE423" i="13"/>
  <c r="AF423" i="13"/>
  <c r="AD424" i="13"/>
  <c r="AE424" i="13"/>
  <c r="AF424" i="13"/>
  <c r="AD425" i="13"/>
  <c r="AE425" i="13"/>
  <c r="AF425" i="13"/>
  <c r="AD426" i="13"/>
  <c r="AE426" i="13"/>
  <c r="AF426" i="13"/>
  <c r="AD427" i="13"/>
  <c r="AE427" i="13"/>
  <c r="AF427" i="13"/>
  <c r="AD428" i="13"/>
  <c r="AE428" i="13"/>
  <c r="AF428" i="13"/>
  <c r="AD429" i="13"/>
  <c r="AE429" i="13"/>
  <c r="AF429" i="13"/>
  <c r="AD430" i="13"/>
  <c r="AE430" i="13"/>
  <c r="AF430" i="13"/>
  <c r="AD431" i="13"/>
  <c r="AE431" i="13"/>
  <c r="AF431" i="13"/>
  <c r="AD432" i="13"/>
  <c r="AE432" i="13"/>
  <c r="AF432" i="13"/>
  <c r="AD433" i="13"/>
  <c r="AE433" i="13"/>
  <c r="AF433" i="13"/>
  <c r="AD434" i="13"/>
  <c r="AE434" i="13"/>
  <c r="AF434" i="13"/>
  <c r="AD435" i="13"/>
  <c r="AE435" i="13"/>
  <c r="AF435" i="13"/>
  <c r="AD436" i="13"/>
  <c r="AE436" i="13"/>
  <c r="AF436" i="13"/>
  <c r="AD437" i="13"/>
  <c r="AE437" i="13"/>
  <c r="AF437" i="13"/>
  <c r="AD438" i="13"/>
  <c r="AE438" i="13"/>
  <c r="AF438" i="13"/>
  <c r="AD439" i="13"/>
  <c r="AE439" i="13"/>
  <c r="AF439" i="13"/>
  <c r="AD440" i="13"/>
  <c r="AE440" i="13"/>
  <c r="AF440" i="13"/>
  <c r="AD441" i="13"/>
  <c r="AE441" i="13"/>
  <c r="AF441" i="13"/>
  <c r="AD442" i="13"/>
  <c r="AE442" i="13"/>
  <c r="AF442" i="13"/>
  <c r="AD443" i="13"/>
  <c r="AE443" i="13"/>
  <c r="AF443" i="13"/>
  <c r="AD444" i="13"/>
  <c r="AE444" i="13"/>
  <c r="AF444" i="13"/>
  <c r="AD445" i="13"/>
  <c r="AE445" i="13"/>
  <c r="AF445" i="13"/>
  <c r="AD446" i="13"/>
  <c r="AE446" i="13"/>
  <c r="AF446" i="13"/>
  <c r="AD447" i="13"/>
  <c r="AE447" i="13"/>
  <c r="AF447" i="13"/>
  <c r="AD448" i="13"/>
  <c r="AE448" i="13"/>
  <c r="AF448" i="13"/>
  <c r="AD449" i="13"/>
  <c r="AE449" i="13"/>
  <c r="AF449" i="13"/>
  <c r="AD450" i="13"/>
  <c r="AE450" i="13"/>
  <c r="AF450" i="13"/>
  <c r="AD451" i="13"/>
  <c r="AE451" i="13"/>
  <c r="AF451" i="13"/>
  <c r="AD452" i="13"/>
  <c r="AE452" i="13"/>
  <c r="AF452" i="13"/>
  <c r="AD453" i="13"/>
  <c r="AE453" i="13"/>
  <c r="AF453" i="13"/>
  <c r="AD454" i="13"/>
  <c r="AE454" i="13"/>
  <c r="AF454" i="13"/>
  <c r="AD455" i="13"/>
  <c r="AE455" i="13"/>
  <c r="AF455" i="13"/>
  <c r="AD456" i="13"/>
  <c r="AE456" i="13"/>
  <c r="AF456" i="13"/>
  <c r="AD457" i="13"/>
  <c r="AE457" i="13"/>
  <c r="AF457" i="13"/>
  <c r="AD458" i="13"/>
  <c r="AE458" i="13"/>
  <c r="AF458" i="13"/>
  <c r="AD459" i="13"/>
  <c r="AE459" i="13"/>
  <c r="AF459" i="13"/>
  <c r="AD460" i="13"/>
  <c r="AE460" i="13"/>
  <c r="AF460" i="13"/>
  <c r="AD461" i="13"/>
  <c r="AE461" i="13"/>
  <c r="AF461" i="13"/>
  <c r="AD462" i="13"/>
  <c r="AE462" i="13"/>
  <c r="AF462" i="13"/>
  <c r="AD463" i="13"/>
  <c r="AE463" i="13"/>
  <c r="AF463" i="13"/>
  <c r="AD464" i="13"/>
  <c r="AE464" i="13"/>
  <c r="AF464" i="13"/>
  <c r="AD465" i="13"/>
  <c r="AE465" i="13"/>
  <c r="AF465" i="13"/>
  <c r="AD466" i="13"/>
  <c r="AE466" i="13"/>
  <c r="AF466" i="13"/>
  <c r="AD467" i="13"/>
  <c r="AE467" i="13"/>
  <c r="AF467" i="13"/>
  <c r="AD468" i="13"/>
  <c r="AE468" i="13"/>
  <c r="AF468" i="13"/>
  <c r="AD469" i="13"/>
  <c r="AE469" i="13"/>
  <c r="AF469" i="13"/>
  <c r="AD470" i="13"/>
  <c r="AE470" i="13"/>
  <c r="AF470" i="13"/>
  <c r="AD471" i="13"/>
  <c r="AE471" i="13"/>
  <c r="AF471" i="13"/>
  <c r="AD472" i="13"/>
  <c r="AE472" i="13"/>
  <c r="AF472" i="13"/>
  <c r="AD473" i="13"/>
  <c r="AE473" i="13"/>
  <c r="AF473" i="13"/>
  <c r="AD474" i="13"/>
  <c r="AE474" i="13"/>
  <c r="AF474" i="13"/>
  <c r="AD475" i="13"/>
  <c r="AE475" i="13"/>
  <c r="AF475" i="13"/>
  <c r="AD476" i="13"/>
  <c r="AE476" i="13"/>
  <c r="AF476" i="13"/>
  <c r="AD477" i="13"/>
  <c r="AE477" i="13"/>
  <c r="AF477" i="13"/>
  <c r="AD478" i="13"/>
  <c r="AE478" i="13"/>
  <c r="AF478" i="13"/>
  <c r="AD479" i="13"/>
  <c r="AE479" i="13"/>
  <c r="AF479" i="13"/>
  <c r="AD480" i="13"/>
  <c r="AE480" i="13"/>
  <c r="AF480" i="13"/>
  <c r="AD481" i="13"/>
  <c r="AE481" i="13"/>
  <c r="AF481" i="13"/>
  <c r="AD482" i="13"/>
  <c r="AE482" i="13"/>
  <c r="AF482" i="13"/>
  <c r="AD483" i="13"/>
  <c r="AE483" i="13"/>
  <c r="AF483" i="13"/>
  <c r="AD484" i="13"/>
  <c r="AE484" i="13"/>
  <c r="AF484" i="13"/>
  <c r="AD485" i="13"/>
  <c r="AE485" i="13"/>
  <c r="AF485" i="13"/>
  <c r="AD486" i="13"/>
  <c r="AE486" i="13"/>
  <c r="AF486" i="13"/>
  <c r="AD487" i="13"/>
  <c r="AE487" i="13"/>
  <c r="AF487" i="13"/>
  <c r="AD488" i="13"/>
  <c r="AE488" i="13"/>
  <c r="AF488" i="13"/>
  <c r="AD489" i="13"/>
  <c r="AE489" i="13"/>
  <c r="AF489" i="13"/>
  <c r="AD490" i="13"/>
  <c r="AE490" i="13"/>
  <c r="AF490" i="13"/>
  <c r="AD491" i="13"/>
  <c r="AE491" i="13"/>
  <c r="AF491" i="13"/>
  <c r="AD492" i="13"/>
  <c r="AE492" i="13"/>
  <c r="AF492" i="13"/>
  <c r="AD493" i="13"/>
  <c r="AE493" i="13"/>
  <c r="AF493" i="13"/>
  <c r="AD494" i="13"/>
  <c r="AE494" i="13"/>
  <c r="AF494" i="13"/>
  <c r="AD495" i="13"/>
  <c r="AE495" i="13"/>
  <c r="AF495" i="13"/>
  <c r="AD496" i="13"/>
  <c r="AE496" i="13"/>
  <c r="AF496" i="13"/>
  <c r="AD497" i="13"/>
  <c r="AE497" i="13"/>
  <c r="AF497" i="13"/>
  <c r="AD498" i="13"/>
  <c r="AE498" i="13"/>
  <c r="AF498" i="13"/>
  <c r="AD499" i="13"/>
  <c r="AE499" i="13"/>
  <c r="AF499" i="13"/>
  <c r="AD500" i="13"/>
  <c r="AE500" i="13"/>
  <c r="AF500" i="13"/>
  <c r="AD501" i="13"/>
  <c r="AE501" i="13"/>
  <c r="AF501" i="13"/>
  <c r="AD502" i="13"/>
  <c r="AE502" i="13"/>
  <c r="AF502" i="13"/>
  <c r="AD503" i="13"/>
  <c r="AE503" i="13"/>
  <c r="AF503" i="13"/>
  <c r="AD504" i="13"/>
  <c r="AE504" i="13"/>
  <c r="AF504" i="13"/>
  <c r="AD505" i="13"/>
  <c r="AE505" i="13"/>
  <c r="AF505" i="13"/>
  <c r="AD506" i="13"/>
  <c r="AE506" i="13"/>
  <c r="AF506" i="13"/>
  <c r="AD507" i="13"/>
  <c r="AE507" i="13"/>
  <c r="AF507" i="13"/>
  <c r="AD508" i="13"/>
  <c r="AE508" i="13"/>
  <c r="AF508" i="13"/>
  <c r="AD509" i="13"/>
  <c r="AE509" i="13"/>
  <c r="AF509" i="13"/>
  <c r="AD510" i="13"/>
  <c r="AE510" i="13"/>
  <c r="AF510" i="13"/>
  <c r="AD511" i="13"/>
  <c r="AE511" i="13"/>
  <c r="AF511" i="13"/>
  <c r="AD512" i="13"/>
  <c r="AE512" i="13"/>
  <c r="AF512" i="13"/>
  <c r="AD513" i="13"/>
  <c r="AE513" i="13"/>
  <c r="AF513" i="13"/>
  <c r="AD514" i="13"/>
  <c r="AE514" i="13"/>
  <c r="AF514" i="13"/>
  <c r="AD515" i="13"/>
  <c r="AE515" i="13"/>
  <c r="AF515" i="13"/>
  <c r="AD516" i="13"/>
  <c r="AE516" i="13"/>
  <c r="AF516" i="13"/>
  <c r="AD517" i="13"/>
  <c r="AE517" i="13"/>
  <c r="AF517" i="13"/>
  <c r="AD518" i="13"/>
  <c r="AE518" i="13"/>
  <c r="AF518" i="13"/>
  <c r="AD519" i="13"/>
  <c r="AE519" i="13"/>
  <c r="AF519" i="13"/>
  <c r="AD520" i="13"/>
  <c r="AE520" i="13"/>
  <c r="AF520" i="13"/>
  <c r="AD521" i="13"/>
  <c r="AE521" i="13"/>
  <c r="AF521" i="13"/>
  <c r="AD522" i="13"/>
  <c r="AE522" i="13"/>
  <c r="AF522" i="13"/>
  <c r="AD523" i="13"/>
  <c r="AE523" i="13"/>
  <c r="AF523" i="13"/>
  <c r="AD524" i="13"/>
  <c r="AE524" i="13"/>
  <c r="AF524" i="13"/>
  <c r="AD525" i="13"/>
  <c r="AE525" i="13"/>
  <c r="AF525" i="13"/>
  <c r="AD526" i="13"/>
  <c r="AE526" i="13"/>
  <c r="AF526" i="13"/>
  <c r="AD527" i="13"/>
  <c r="AE527" i="13"/>
  <c r="AF527" i="13"/>
  <c r="AD528" i="13"/>
  <c r="AE528" i="13"/>
  <c r="AF528" i="13"/>
  <c r="AD529" i="13"/>
  <c r="AE529" i="13"/>
  <c r="AF529" i="13"/>
  <c r="AD530" i="13"/>
  <c r="AE530" i="13"/>
  <c r="AF530" i="13"/>
  <c r="AD531" i="13"/>
  <c r="AE531" i="13"/>
  <c r="AF531" i="13"/>
  <c r="AD532" i="13"/>
  <c r="AE532" i="13"/>
  <c r="AF532" i="13"/>
  <c r="AD533" i="13"/>
  <c r="AE533" i="13"/>
  <c r="AF533" i="13"/>
  <c r="AD534" i="13"/>
  <c r="AE534" i="13"/>
  <c r="AF534" i="13"/>
  <c r="AD535" i="13"/>
  <c r="AE535" i="13"/>
  <c r="AF535" i="13"/>
  <c r="AD536" i="13"/>
  <c r="AE536" i="13"/>
  <c r="AF536" i="13"/>
  <c r="AD537" i="13"/>
  <c r="AE537" i="13"/>
  <c r="AF537" i="13"/>
  <c r="AD538" i="13"/>
  <c r="AE538" i="13"/>
  <c r="AF538" i="13"/>
  <c r="AD539" i="13"/>
  <c r="AE539" i="13"/>
  <c r="AF539" i="13"/>
  <c r="AD540" i="13"/>
  <c r="AE540" i="13"/>
  <c r="AF540" i="13"/>
  <c r="AD541" i="13"/>
  <c r="AE541" i="13"/>
  <c r="AF541" i="13"/>
  <c r="AD542" i="13"/>
  <c r="AE542" i="13"/>
  <c r="AF542" i="13"/>
  <c r="AD543" i="13"/>
  <c r="AE543" i="13"/>
  <c r="AF543" i="13"/>
  <c r="AD544" i="13"/>
  <c r="AE544" i="13"/>
  <c r="AF544" i="13"/>
  <c r="AD545" i="13"/>
  <c r="AE545" i="13"/>
  <c r="AF545" i="13"/>
  <c r="AD546" i="13"/>
  <c r="AE546" i="13"/>
  <c r="AF546" i="13"/>
  <c r="AD547" i="13"/>
  <c r="AE547" i="13"/>
  <c r="AF547" i="13"/>
  <c r="AD548" i="13"/>
  <c r="AE548" i="13"/>
  <c r="AF548" i="13"/>
  <c r="AD549" i="13"/>
  <c r="AE549" i="13"/>
  <c r="AF549" i="13"/>
  <c r="AD550" i="13"/>
  <c r="AE550" i="13"/>
  <c r="AF550" i="13"/>
  <c r="AD551" i="13"/>
  <c r="AE551" i="13"/>
  <c r="AF551" i="13"/>
  <c r="AD552" i="13"/>
  <c r="AE552" i="13"/>
  <c r="AF552" i="13"/>
  <c r="AD553" i="13"/>
  <c r="AE553" i="13"/>
  <c r="AF553" i="13"/>
  <c r="AD554" i="13"/>
  <c r="AE554" i="13"/>
  <c r="AF554" i="13"/>
  <c r="AD555" i="13"/>
  <c r="AE555" i="13"/>
  <c r="AF555" i="13"/>
  <c r="AD556" i="13"/>
  <c r="AE556" i="13"/>
  <c r="AF556" i="13"/>
  <c r="AD557" i="13"/>
  <c r="AE557" i="13"/>
  <c r="AF557" i="13"/>
  <c r="AD558" i="13"/>
  <c r="AE558" i="13"/>
  <c r="AF558" i="13"/>
  <c r="AD559" i="13"/>
  <c r="AE559" i="13"/>
  <c r="AF559" i="13"/>
  <c r="AD560" i="13"/>
  <c r="AE560" i="13"/>
  <c r="AF560" i="13"/>
  <c r="AD561" i="13"/>
  <c r="AE561" i="13"/>
  <c r="AF561" i="13"/>
  <c r="AD562" i="13"/>
  <c r="AE562" i="13"/>
  <c r="AF562" i="13"/>
  <c r="AD563" i="13"/>
  <c r="AE563" i="13"/>
  <c r="AF563" i="13"/>
  <c r="AD564" i="13"/>
  <c r="AE564" i="13"/>
  <c r="AF564" i="13"/>
  <c r="AD565" i="13"/>
  <c r="AE565" i="13"/>
  <c r="AF565" i="13"/>
  <c r="AD566" i="13"/>
  <c r="AE566" i="13"/>
  <c r="AF566" i="13"/>
  <c r="AD567" i="13"/>
  <c r="AE567" i="13"/>
  <c r="AF567" i="13"/>
  <c r="AD568" i="13"/>
  <c r="AE568" i="13"/>
  <c r="AF568" i="13"/>
  <c r="AD569" i="13"/>
  <c r="AE569" i="13"/>
  <c r="AF569" i="13"/>
  <c r="AD570" i="13"/>
  <c r="AE570" i="13"/>
  <c r="AF570" i="13"/>
  <c r="AD571" i="13"/>
  <c r="AE571" i="13"/>
  <c r="AF571" i="13"/>
  <c r="AD572" i="13"/>
  <c r="AE572" i="13"/>
  <c r="AF572" i="13"/>
  <c r="AD573" i="13"/>
  <c r="AE573" i="13"/>
  <c r="AF573" i="13"/>
  <c r="AD574" i="13"/>
  <c r="AE574" i="13"/>
  <c r="AF574" i="13"/>
  <c r="AD575" i="13"/>
  <c r="AE575" i="13"/>
  <c r="AF575" i="13"/>
  <c r="AD576" i="13"/>
  <c r="AE576" i="13"/>
  <c r="AF576" i="13"/>
  <c r="AD577" i="13"/>
  <c r="AE577" i="13"/>
  <c r="AF577" i="13"/>
  <c r="AD578" i="13"/>
  <c r="AE578" i="13"/>
  <c r="AF578" i="13"/>
  <c r="AD579" i="13"/>
  <c r="AE579" i="13"/>
  <c r="AF579" i="13"/>
  <c r="AD580" i="13"/>
  <c r="AE580" i="13"/>
  <c r="AF580" i="13"/>
  <c r="AD581" i="13"/>
  <c r="AE581" i="13"/>
  <c r="AF581" i="13"/>
  <c r="AD582" i="13"/>
  <c r="AE582" i="13"/>
  <c r="AF582" i="13"/>
  <c r="AD583" i="13"/>
  <c r="AE583" i="13"/>
  <c r="AF583" i="13"/>
  <c r="AD584" i="13"/>
  <c r="AE584" i="13"/>
  <c r="AF584" i="13"/>
  <c r="AD585" i="13"/>
  <c r="AE585" i="13"/>
  <c r="AF585" i="13"/>
  <c r="AD586" i="13"/>
  <c r="AE586" i="13"/>
  <c r="AF586" i="13"/>
  <c r="AD587" i="13"/>
  <c r="AE587" i="13"/>
  <c r="AF587" i="13"/>
  <c r="AD588" i="13"/>
  <c r="AE588" i="13"/>
  <c r="AF588" i="13"/>
  <c r="AD589" i="13"/>
  <c r="AE589" i="13"/>
  <c r="AF589" i="13"/>
  <c r="AD590" i="13"/>
  <c r="AE590" i="13"/>
  <c r="AF590" i="13"/>
  <c r="AD591" i="13"/>
  <c r="AE591" i="13"/>
  <c r="AF591" i="13"/>
  <c r="AD592" i="13"/>
  <c r="AE592" i="13"/>
  <c r="AF592" i="13"/>
  <c r="AD593" i="13"/>
  <c r="AE593" i="13"/>
  <c r="AF593" i="13"/>
  <c r="AD594" i="13"/>
  <c r="AE594" i="13"/>
  <c r="AF594" i="13"/>
  <c r="AD595" i="13"/>
  <c r="AE595" i="13"/>
  <c r="AF595" i="13"/>
  <c r="AD596" i="13"/>
  <c r="AE596" i="13"/>
  <c r="AF596" i="13"/>
  <c r="AD597" i="13"/>
  <c r="AE597" i="13"/>
  <c r="AF597" i="13"/>
  <c r="AD598" i="13"/>
  <c r="AE598" i="13"/>
  <c r="AF598" i="13"/>
  <c r="AD599" i="13"/>
  <c r="AE599" i="13"/>
  <c r="AF599" i="13"/>
  <c r="AD600" i="13"/>
  <c r="AE600" i="13"/>
  <c r="AF600" i="13"/>
  <c r="AD601" i="13"/>
  <c r="AE601" i="13"/>
  <c r="AF601" i="13"/>
  <c r="AD602" i="13"/>
  <c r="AE602" i="13"/>
  <c r="AF602" i="13"/>
  <c r="AD603" i="13"/>
  <c r="AE603" i="13"/>
  <c r="AF603" i="13"/>
  <c r="AD604" i="13"/>
  <c r="AE604" i="13"/>
  <c r="AF604" i="13"/>
  <c r="AD605" i="13"/>
  <c r="AE605" i="13"/>
  <c r="AF605" i="13"/>
  <c r="AD606" i="13"/>
  <c r="AE606" i="13"/>
  <c r="AF606" i="13"/>
  <c r="AD607" i="13"/>
  <c r="AE607" i="13"/>
  <c r="AF607" i="13"/>
  <c r="AD608" i="13"/>
  <c r="AE608" i="13"/>
  <c r="AF608" i="13"/>
  <c r="AD609" i="13"/>
  <c r="AE609" i="13"/>
  <c r="AF609" i="13"/>
  <c r="AD610" i="13"/>
  <c r="AE610" i="13"/>
  <c r="AF610" i="13"/>
  <c r="AD611" i="13"/>
  <c r="AE611" i="13"/>
  <c r="AF611" i="13"/>
  <c r="AD612" i="13"/>
  <c r="AE612" i="13"/>
  <c r="AF612" i="13"/>
  <c r="AD613" i="13"/>
  <c r="AE613" i="13"/>
  <c r="AF613" i="13"/>
  <c r="AD614" i="13"/>
  <c r="AE614" i="13"/>
  <c r="AF614" i="13"/>
  <c r="AD615" i="13"/>
  <c r="AE615" i="13"/>
  <c r="AF615" i="13"/>
  <c r="AD616" i="13"/>
  <c r="AE616" i="13"/>
  <c r="AF616" i="13"/>
  <c r="AD617" i="13"/>
  <c r="AE617" i="13"/>
  <c r="AF617" i="13"/>
  <c r="AD618" i="13"/>
  <c r="AE618" i="13"/>
  <c r="AF618" i="13"/>
  <c r="AD619" i="13"/>
  <c r="AE619" i="13"/>
  <c r="AF619" i="13"/>
  <c r="AD620" i="13"/>
  <c r="AE620" i="13"/>
  <c r="AF620" i="13"/>
  <c r="AD621" i="13"/>
  <c r="AE621" i="13"/>
  <c r="AF621" i="13"/>
  <c r="AD622" i="13"/>
  <c r="AE622" i="13"/>
  <c r="AF622" i="13"/>
  <c r="AD623" i="13"/>
  <c r="AE623" i="13"/>
  <c r="AF623" i="13"/>
  <c r="AD624" i="13"/>
  <c r="AE624" i="13"/>
  <c r="AF624" i="13"/>
  <c r="AD625" i="13"/>
  <c r="AE625" i="13"/>
  <c r="AF625" i="13"/>
  <c r="AD626" i="13"/>
  <c r="AE626" i="13"/>
  <c r="AF626" i="13"/>
  <c r="AD627" i="13"/>
  <c r="AE627" i="13"/>
  <c r="AF627" i="13"/>
  <c r="AD628" i="13"/>
  <c r="AE628" i="13"/>
  <c r="AF628" i="13"/>
  <c r="AD629" i="13"/>
  <c r="AE629" i="13"/>
  <c r="AF629" i="13"/>
  <c r="AD630" i="13"/>
  <c r="AE630" i="13"/>
  <c r="AF630" i="13"/>
  <c r="AD631" i="13"/>
  <c r="AE631" i="13"/>
  <c r="AF631" i="13"/>
  <c r="AD632" i="13"/>
  <c r="AE632" i="13"/>
  <c r="AF632" i="13"/>
  <c r="AD633" i="13"/>
  <c r="AE633" i="13"/>
  <c r="AF633" i="13"/>
  <c r="AD634" i="13"/>
  <c r="AE634" i="13"/>
  <c r="AF634" i="13"/>
  <c r="AD635" i="13"/>
  <c r="AE635" i="13"/>
  <c r="AF635" i="13"/>
  <c r="AD636" i="13"/>
  <c r="AE636" i="13"/>
  <c r="AF636" i="13"/>
  <c r="AD637" i="13"/>
  <c r="AE637" i="13"/>
  <c r="AF637" i="13"/>
  <c r="AD638" i="13"/>
  <c r="AE638" i="13"/>
  <c r="AF638" i="13"/>
  <c r="AD639" i="13"/>
  <c r="AE639" i="13"/>
  <c r="AF639" i="13"/>
  <c r="AD640" i="13"/>
  <c r="AE640" i="13"/>
  <c r="AF640" i="13"/>
  <c r="AD641" i="13"/>
  <c r="AE641" i="13"/>
  <c r="AF641" i="13"/>
  <c r="AD642" i="13"/>
  <c r="AE642" i="13"/>
  <c r="AF642" i="13"/>
  <c r="AD643" i="13"/>
  <c r="AE643" i="13"/>
  <c r="AF643" i="13"/>
  <c r="AD644" i="13"/>
  <c r="AE644" i="13"/>
  <c r="AF644" i="13"/>
  <c r="AD645" i="13"/>
  <c r="AE645" i="13"/>
  <c r="AF645" i="13"/>
  <c r="AD646" i="13"/>
  <c r="AE646" i="13"/>
  <c r="AF646" i="13"/>
  <c r="AD647" i="13"/>
  <c r="AE647" i="13"/>
  <c r="AF647" i="13"/>
  <c r="AD648" i="13"/>
  <c r="AE648" i="13"/>
  <c r="AF648" i="13"/>
  <c r="AD649" i="13"/>
  <c r="AE649" i="13"/>
  <c r="AF649" i="13"/>
  <c r="AD650" i="13"/>
  <c r="AE650" i="13"/>
  <c r="AF650" i="13"/>
  <c r="AD651" i="13"/>
  <c r="AE651" i="13"/>
  <c r="AF651" i="13"/>
  <c r="AD652" i="13"/>
  <c r="AE652" i="13"/>
  <c r="AF652" i="13"/>
  <c r="AD653" i="13"/>
  <c r="AE653" i="13"/>
  <c r="AF653" i="13"/>
  <c r="AD654" i="13"/>
  <c r="AE654" i="13"/>
  <c r="AF654" i="13"/>
  <c r="AD655" i="13"/>
  <c r="AE655" i="13"/>
  <c r="AF655" i="13"/>
  <c r="AD656" i="13"/>
  <c r="AE656" i="13"/>
  <c r="AF656" i="13"/>
  <c r="AD657" i="13"/>
  <c r="AE657" i="13"/>
  <c r="AF657" i="13"/>
  <c r="AD658" i="13"/>
  <c r="AE658" i="13"/>
  <c r="AF658" i="13"/>
  <c r="AD659" i="13"/>
  <c r="AE659" i="13"/>
  <c r="AF659" i="13"/>
  <c r="AD660" i="13"/>
  <c r="AE660" i="13"/>
  <c r="AF660" i="13"/>
  <c r="AD661" i="13"/>
  <c r="AE661" i="13"/>
  <c r="AF661" i="13"/>
  <c r="AD662" i="13"/>
  <c r="AE662" i="13"/>
  <c r="AF662" i="13"/>
  <c r="AD663" i="13"/>
  <c r="AE663" i="13"/>
  <c r="AF663" i="13"/>
  <c r="AD664" i="13"/>
  <c r="AE664" i="13"/>
  <c r="AF664" i="13"/>
  <c r="AD665" i="13"/>
  <c r="AE665" i="13"/>
  <c r="AF665" i="13"/>
  <c r="AD666" i="13"/>
  <c r="AE666" i="13"/>
  <c r="AF666" i="13"/>
  <c r="AD667" i="13"/>
  <c r="AE667" i="13"/>
  <c r="AF667" i="13"/>
  <c r="AD668" i="13"/>
  <c r="AE668" i="13"/>
  <c r="AF668" i="13"/>
  <c r="AD669" i="13"/>
  <c r="AE669" i="13"/>
  <c r="AF669" i="13"/>
  <c r="AD670" i="13"/>
  <c r="AE670" i="13"/>
  <c r="AF670" i="13"/>
  <c r="AD671" i="13"/>
  <c r="AE671" i="13"/>
  <c r="AF671" i="13"/>
  <c r="AD672" i="13"/>
  <c r="AE672" i="13"/>
  <c r="AF672" i="13"/>
  <c r="AD673" i="13"/>
  <c r="AE673" i="13"/>
  <c r="AF673" i="13"/>
  <c r="AD674" i="13"/>
  <c r="AE674" i="13"/>
  <c r="AF674" i="13"/>
  <c r="AD675" i="13"/>
  <c r="AE675" i="13"/>
  <c r="AF675" i="13"/>
  <c r="AD676" i="13"/>
  <c r="AE676" i="13"/>
  <c r="AF676" i="13"/>
  <c r="AD677" i="13"/>
  <c r="AE677" i="13"/>
  <c r="AF677" i="13"/>
  <c r="AD678" i="13"/>
  <c r="AE678" i="13"/>
  <c r="AF678" i="13"/>
  <c r="AD679" i="13"/>
  <c r="AE679" i="13"/>
  <c r="AF679" i="13"/>
  <c r="AD680" i="13"/>
  <c r="AE680" i="13"/>
  <c r="AF680" i="13"/>
  <c r="AD681" i="13"/>
  <c r="AE681" i="13"/>
  <c r="AF681" i="13"/>
  <c r="AD682" i="13"/>
  <c r="AE682" i="13"/>
  <c r="AF682" i="13"/>
  <c r="AD683" i="13"/>
  <c r="AE683" i="13"/>
  <c r="AF683" i="13"/>
  <c r="AD684" i="13"/>
  <c r="AE684" i="13"/>
  <c r="AF684" i="13"/>
  <c r="AD685" i="13"/>
  <c r="AE685" i="13"/>
  <c r="AF685" i="13"/>
  <c r="AD686" i="13"/>
  <c r="AE686" i="13"/>
  <c r="AF686" i="13"/>
  <c r="AD687" i="13"/>
  <c r="AE687" i="13"/>
  <c r="AF687" i="13"/>
  <c r="AD688" i="13"/>
  <c r="AE688" i="13"/>
  <c r="AF688" i="13"/>
  <c r="AD689" i="13"/>
  <c r="AE689" i="13"/>
  <c r="AF689" i="13"/>
  <c r="AD690" i="13"/>
  <c r="AE690" i="13"/>
  <c r="AF690" i="13"/>
  <c r="AD691" i="13"/>
  <c r="AE691" i="13"/>
  <c r="AF691" i="13"/>
  <c r="AD692" i="13"/>
  <c r="AE692" i="13"/>
  <c r="AF692" i="13"/>
  <c r="AD693" i="13"/>
  <c r="AE693" i="13"/>
  <c r="AF693" i="13"/>
  <c r="AD694" i="13"/>
  <c r="AE694" i="13"/>
  <c r="AF694" i="13"/>
  <c r="AD695" i="13"/>
  <c r="AE695" i="13"/>
  <c r="AF695" i="13"/>
  <c r="AD696" i="13"/>
  <c r="AE696" i="13"/>
  <c r="AF696" i="13"/>
  <c r="AD697" i="13"/>
  <c r="AE697" i="13"/>
  <c r="AF697" i="13"/>
  <c r="AD698" i="13"/>
  <c r="AE698" i="13"/>
  <c r="AF698" i="13"/>
  <c r="AD699" i="13"/>
  <c r="AE699" i="13"/>
  <c r="AF699" i="13"/>
  <c r="AD700" i="13"/>
  <c r="AE700" i="13"/>
  <c r="AF700" i="13"/>
  <c r="AD701" i="13"/>
  <c r="AE701" i="13"/>
  <c r="AF701" i="13"/>
  <c r="AD702" i="13"/>
  <c r="AE702" i="13"/>
  <c r="AF702" i="13"/>
  <c r="AD703" i="13"/>
  <c r="AE703" i="13"/>
  <c r="AF703" i="13"/>
  <c r="AD704" i="13"/>
  <c r="AE704" i="13"/>
  <c r="AF704" i="13"/>
  <c r="AD705" i="13"/>
  <c r="AE705" i="13"/>
  <c r="AF705" i="13"/>
  <c r="AD706" i="13"/>
  <c r="AE706" i="13"/>
  <c r="AF706" i="13"/>
  <c r="AD707" i="13"/>
  <c r="AE707" i="13"/>
  <c r="AF707" i="13"/>
  <c r="AD708" i="13"/>
  <c r="AE708" i="13"/>
  <c r="AF708" i="13"/>
  <c r="AD709" i="13"/>
  <c r="AE709" i="13"/>
  <c r="AF709" i="13"/>
  <c r="AD710" i="13"/>
  <c r="AE710" i="13"/>
  <c r="AF710" i="13"/>
  <c r="AD711" i="13"/>
  <c r="AE711" i="13"/>
  <c r="AF711" i="13"/>
  <c r="AD712" i="13"/>
  <c r="AE712" i="13"/>
  <c r="AF712" i="13"/>
  <c r="AD713" i="13"/>
  <c r="AE713" i="13"/>
  <c r="AF713" i="13"/>
  <c r="AD714" i="13"/>
  <c r="AE714" i="13"/>
  <c r="AF714" i="13"/>
  <c r="AD715" i="13"/>
  <c r="AE715" i="13"/>
  <c r="AF715" i="13"/>
  <c r="AD716" i="13"/>
  <c r="AE716" i="13"/>
  <c r="AF716" i="13"/>
  <c r="AD717" i="13"/>
  <c r="AE717" i="13"/>
  <c r="AF717" i="13"/>
  <c r="AD718" i="13"/>
  <c r="AE718" i="13"/>
  <c r="AF718" i="13"/>
  <c r="AD719" i="13"/>
  <c r="AE719" i="13"/>
  <c r="AF719" i="13"/>
  <c r="AD720" i="13"/>
  <c r="AE720" i="13"/>
  <c r="AF720" i="13"/>
  <c r="AD721" i="13"/>
  <c r="AE721" i="13"/>
  <c r="AF721" i="13"/>
  <c r="AD722" i="13"/>
  <c r="AE722" i="13"/>
  <c r="AF722" i="13"/>
  <c r="AD723" i="13"/>
  <c r="AE723" i="13"/>
  <c r="AF723" i="13"/>
  <c r="AD724" i="13"/>
  <c r="AE724" i="13"/>
  <c r="AF724" i="13"/>
  <c r="AD725" i="13"/>
  <c r="AE725" i="13"/>
  <c r="AF725" i="13"/>
  <c r="AD726" i="13"/>
  <c r="AE726" i="13"/>
  <c r="AF726" i="13"/>
  <c r="AD727" i="13"/>
  <c r="AE727" i="13"/>
  <c r="AF727" i="13"/>
  <c r="AD728" i="13"/>
  <c r="AE728" i="13"/>
  <c r="AF728" i="13"/>
  <c r="AD729" i="13"/>
  <c r="AE729" i="13"/>
  <c r="AF729" i="13"/>
  <c r="AD730" i="13"/>
  <c r="AE730" i="13"/>
  <c r="AF730" i="13"/>
  <c r="AD731" i="13"/>
  <c r="AE731" i="13"/>
  <c r="AF731" i="13"/>
  <c r="AD732" i="13"/>
  <c r="AE732" i="13"/>
  <c r="AF732" i="13"/>
  <c r="AD733" i="13"/>
  <c r="AE733" i="13"/>
  <c r="AF733" i="13"/>
  <c r="AD734" i="13"/>
  <c r="AE734" i="13"/>
  <c r="AF734" i="13"/>
  <c r="AD735" i="13"/>
  <c r="AE735" i="13"/>
  <c r="AF735" i="13"/>
  <c r="AD736" i="13"/>
  <c r="AE736" i="13"/>
  <c r="AF736" i="13"/>
  <c r="AD737" i="13"/>
  <c r="AE737" i="13"/>
  <c r="AF737" i="13"/>
  <c r="AD738" i="13"/>
  <c r="AE738" i="13"/>
  <c r="AF738" i="13"/>
  <c r="AD739" i="13"/>
  <c r="AE739" i="13"/>
  <c r="AF739" i="13"/>
  <c r="AD740" i="13"/>
  <c r="AE740" i="13"/>
  <c r="AF740" i="13"/>
  <c r="AD741" i="13"/>
  <c r="AE741" i="13"/>
  <c r="AF741" i="13"/>
  <c r="AD742" i="13"/>
  <c r="AE742" i="13"/>
  <c r="AF742" i="13"/>
  <c r="AD743" i="13"/>
  <c r="AE743" i="13"/>
  <c r="AF743" i="13"/>
  <c r="AD744" i="13"/>
  <c r="AE744" i="13"/>
  <c r="AF744" i="13"/>
  <c r="AD745" i="13"/>
  <c r="AE745" i="13"/>
  <c r="AF745" i="13"/>
  <c r="AD746" i="13"/>
  <c r="AE746" i="13"/>
  <c r="AF746" i="13"/>
  <c r="AD747" i="13"/>
  <c r="AE747" i="13"/>
  <c r="AF747" i="13"/>
  <c r="AD748" i="13"/>
  <c r="AE748" i="13"/>
  <c r="AF748" i="13"/>
  <c r="AD749" i="13"/>
  <c r="AE749" i="13"/>
  <c r="AF749" i="13"/>
  <c r="AD750" i="13"/>
  <c r="AE750" i="13"/>
  <c r="AF750" i="13"/>
  <c r="AD751" i="13"/>
  <c r="AE751" i="13"/>
  <c r="AF751" i="13"/>
  <c r="AD752" i="13"/>
  <c r="AE752" i="13"/>
  <c r="AF752" i="13"/>
  <c r="AD753" i="13"/>
  <c r="AE753" i="13"/>
  <c r="AF753" i="13"/>
  <c r="AD754" i="13"/>
  <c r="AE754" i="13"/>
  <c r="AF754" i="13"/>
  <c r="AD755" i="13"/>
  <c r="AE755" i="13"/>
  <c r="AF755" i="13"/>
  <c r="AD756" i="13"/>
  <c r="AE756" i="13"/>
  <c r="AF756" i="13"/>
  <c r="AD757" i="13"/>
  <c r="AE757" i="13"/>
  <c r="AF757" i="13"/>
  <c r="AD758" i="13"/>
  <c r="AE758" i="13"/>
  <c r="AF758" i="13"/>
  <c r="AD759" i="13"/>
  <c r="AE759" i="13"/>
  <c r="AF759" i="13"/>
  <c r="AD760" i="13"/>
  <c r="AE760" i="13"/>
  <c r="AF760" i="13"/>
  <c r="AD761" i="13"/>
  <c r="AE761" i="13"/>
  <c r="AF761" i="13"/>
  <c r="AD762" i="13"/>
  <c r="AE762" i="13"/>
  <c r="AF762" i="13"/>
  <c r="AD763" i="13"/>
  <c r="AE763" i="13"/>
  <c r="AF763" i="13"/>
  <c r="AD764" i="13"/>
  <c r="AE764" i="13"/>
  <c r="AF764" i="13"/>
  <c r="AD765" i="13"/>
  <c r="AE765" i="13"/>
  <c r="AF765" i="13"/>
  <c r="AD766" i="13"/>
  <c r="AE766" i="13"/>
  <c r="AF766" i="13"/>
  <c r="AD767" i="13"/>
  <c r="AE767" i="13"/>
  <c r="AF767" i="13"/>
  <c r="AD768" i="13"/>
  <c r="AE768" i="13"/>
  <c r="AF768" i="13"/>
  <c r="AD769" i="13"/>
  <c r="AE769" i="13"/>
  <c r="AF769" i="13"/>
  <c r="AD770" i="13"/>
  <c r="AE770" i="13"/>
  <c r="AF770" i="13"/>
  <c r="AD771" i="13"/>
  <c r="AE771" i="13"/>
  <c r="AF771" i="13"/>
  <c r="AD772" i="13"/>
  <c r="AE772" i="13"/>
  <c r="AF772" i="13"/>
  <c r="AD773" i="13"/>
  <c r="AE773" i="13"/>
  <c r="AF773" i="13"/>
  <c r="AD774" i="13"/>
  <c r="AE774" i="13"/>
  <c r="AF774" i="13"/>
  <c r="AD775" i="13"/>
  <c r="AE775" i="13"/>
  <c r="AF775" i="13"/>
  <c r="AD776" i="13"/>
  <c r="AE776" i="13"/>
  <c r="AF776" i="13"/>
  <c r="AD777" i="13"/>
  <c r="AE777" i="13"/>
  <c r="AF777" i="13"/>
  <c r="AD778" i="13"/>
  <c r="AE778" i="13"/>
  <c r="AF778" i="13"/>
  <c r="AD779" i="13"/>
  <c r="AE779" i="13"/>
  <c r="AF779" i="13"/>
  <c r="AD780" i="13"/>
  <c r="AE780" i="13"/>
  <c r="AF780" i="13"/>
  <c r="AD781" i="13"/>
  <c r="AE781" i="13"/>
  <c r="AF781" i="13"/>
  <c r="AD782" i="13"/>
  <c r="AE782" i="13"/>
  <c r="AF782" i="13"/>
  <c r="AD783" i="13"/>
  <c r="AE783" i="13"/>
  <c r="AF783" i="13"/>
  <c r="AD784" i="13"/>
  <c r="AE784" i="13"/>
  <c r="AF784" i="13"/>
  <c r="AD785" i="13"/>
  <c r="AE785" i="13"/>
  <c r="AF785" i="13"/>
  <c r="AD786" i="13"/>
  <c r="AE786" i="13"/>
  <c r="AF786" i="13"/>
  <c r="AD787" i="13"/>
  <c r="AE787" i="13"/>
  <c r="AF787" i="13"/>
  <c r="AD788" i="13"/>
  <c r="AE788" i="13"/>
  <c r="AF788" i="13"/>
  <c r="AD789" i="13"/>
  <c r="AE789" i="13"/>
  <c r="AF789" i="13"/>
  <c r="AD790" i="13"/>
  <c r="AE790" i="13"/>
  <c r="AF790" i="13"/>
  <c r="AD791" i="13"/>
  <c r="AE791" i="13"/>
  <c r="AF791" i="13"/>
  <c r="AD792" i="13"/>
  <c r="AE792" i="13"/>
  <c r="AF792" i="13"/>
  <c r="AD793" i="13"/>
  <c r="AE793" i="13"/>
  <c r="AF793" i="13"/>
  <c r="AD794" i="13"/>
  <c r="AE794" i="13"/>
  <c r="AF794" i="13"/>
  <c r="AD795" i="13"/>
  <c r="AE795" i="13"/>
  <c r="AF795" i="13"/>
  <c r="AD796" i="13"/>
  <c r="AE796" i="13"/>
  <c r="AF796" i="13"/>
  <c r="AD797" i="13"/>
  <c r="AE797" i="13"/>
  <c r="AF797" i="13"/>
  <c r="AD798" i="13"/>
  <c r="AE798" i="13"/>
  <c r="AF798" i="13"/>
  <c r="AD799" i="13"/>
  <c r="AE799" i="13"/>
  <c r="AF799" i="13"/>
  <c r="AD800" i="13"/>
  <c r="AE800" i="13"/>
  <c r="AF800" i="13"/>
  <c r="AD801" i="13"/>
  <c r="AE801" i="13"/>
  <c r="AF801" i="13"/>
  <c r="AD802" i="13"/>
  <c r="AE802" i="13"/>
  <c r="AF802" i="13"/>
  <c r="AD803" i="13"/>
  <c r="AE803" i="13"/>
  <c r="AF803" i="13"/>
  <c r="AD804" i="13"/>
  <c r="AE804" i="13"/>
  <c r="AF804" i="13"/>
  <c r="AD805" i="13"/>
  <c r="AE805" i="13"/>
  <c r="AF805" i="13"/>
  <c r="AD806" i="13"/>
  <c r="AE806" i="13"/>
  <c r="AF806" i="13"/>
  <c r="AD807" i="13"/>
  <c r="AE807" i="13"/>
  <c r="AF807" i="13"/>
  <c r="AD808" i="13"/>
  <c r="AE808" i="13"/>
  <c r="AF808" i="13"/>
  <c r="AD809" i="13"/>
  <c r="AE809" i="13"/>
  <c r="AF809" i="13"/>
  <c r="AD810" i="13"/>
  <c r="AE810" i="13"/>
  <c r="AF810" i="13"/>
  <c r="AD811" i="13"/>
  <c r="AE811" i="13"/>
  <c r="AF811" i="13"/>
  <c r="AD812" i="13"/>
  <c r="AE812" i="13"/>
  <c r="AF812" i="13"/>
  <c r="AD813" i="13"/>
  <c r="AE813" i="13"/>
  <c r="AF813" i="13"/>
  <c r="AD814" i="13"/>
  <c r="AE814" i="13"/>
  <c r="AF814" i="13"/>
  <c r="AD815" i="13"/>
  <c r="AE815" i="13"/>
  <c r="AF815" i="13"/>
  <c r="AD816" i="13"/>
  <c r="AE816" i="13"/>
  <c r="AF816" i="13"/>
  <c r="AD817" i="13"/>
  <c r="AE817" i="13"/>
  <c r="AF817" i="13"/>
  <c r="AD818" i="13"/>
  <c r="AE818" i="13"/>
  <c r="AF818" i="13"/>
  <c r="AD819" i="13"/>
  <c r="AE819" i="13"/>
  <c r="AF819" i="13"/>
  <c r="AD820" i="13"/>
  <c r="AE820" i="13"/>
  <c r="AF820" i="13"/>
  <c r="AD821" i="13"/>
  <c r="AE821" i="13"/>
  <c r="AF821" i="13"/>
  <c r="AD822" i="13"/>
  <c r="AE822" i="13"/>
  <c r="AF822" i="13"/>
  <c r="AD823" i="13"/>
  <c r="AE823" i="13"/>
  <c r="AF823" i="13"/>
  <c r="AD824" i="13"/>
  <c r="AE824" i="13"/>
  <c r="AF824" i="13"/>
  <c r="AD825" i="13"/>
  <c r="AE825" i="13"/>
  <c r="AF825" i="13"/>
  <c r="AD826" i="13"/>
  <c r="AE826" i="13"/>
  <c r="AF826" i="13"/>
  <c r="AD827" i="13"/>
  <c r="AE827" i="13"/>
  <c r="AF827" i="13"/>
  <c r="AD828" i="13"/>
  <c r="AE828" i="13"/>
  <c r="AF828" i="13"/>
  <c r="AD829" i="13"/>
  <c r="AE829" i="13"/>
  <c r="AF829" i="13"/>
  <c r="AD830" i="13"/>
  <c r="AE830" i="13"/>
  <c r="AF830" i="13"/>
  <c r="AD831" i="13"/>
  <c r="AE831" i="13"/>
  <c r="AF831" i="13"/>
  <c r="AD832" i="13"/>
  <c r="AE832" i="13"/>
  <c r="AF832" i="13"/>
  <c r="AD833" i="13"/>
  <c r="AE833" i="13"/>
  <c r="AF833" i="13"/>
  <c r="AD834" i="13"/>
  <c r="AE834" i="13"/>
  <c r="AF834" i="13"/>
  <c r="AD835" i="13"/>
  <c r="AE835" i="13"/>
  <c r="AF835" i="13"/>
  <c r="AD836" i="13"/>
  <c r="AE836" i="13"/>
  <c r="AF836" i="13"/>
  <c r="AD837" i="13"/>
  <c r="AE837" i="13"/>
  <c r="AF837" i="13"/>
  <c r="AD838" i="13"/>
  <c r="AE838" i="13"/>
  <c r="AF838" i="13"/>
  <c r="AD839" i="13"/>
  <c r="AE839" i="13"/>
  <c r="AF839" i="13"/>
  <c r="AD840" i="13"/>
  <c r="AE840" i="13"/>
  <c r="AF840" i="13"/>
  <c r="AD841" i="13"/>
  <c r="AE841" i="13"/>
  <c r="AF841" i="13"/>
  <c r="AD842" i="13"/>
  <c r="AE842" i="13"/>
  <c r="AF842" i="13"/>
  <c r="AD843" i="13"/>
  <c r="AE843" i="13"/>
  <c r="AF843" i="13"/>
  <c r="AD844" i="13"/>
  <c r="AE844" i="13"/>
  <c r="AF844" i="13"/>
  <c r="AD845" i="13"/>
  <c r="AE845" i="13"/>
  <c r="AF845" i="13"/>
  <c r="AD846" i="13"/>
  <c r="AE846" i="13"/>
  <c r="AF846" i="13"/>
  <c r="AD847" i="13"/>
  <c r="AE847" i="13"/>
  <c r="AF847" i="13"/>
  <c r="AD848" i="13"/>
  <c r="AE848" i="13"/>
  <c r="AF848" i="13"/>
  <c r="AD849" i="13"/>
  <c r="AE849" i="13"/>
  <c r="AF849" i="13"/>
  <c r="AD850" i="13"/>
  <c r="AE850" i="13"/>
  <c r="AF850" i="13"/>
  <c r="AD851" i="13"/>
  <c r="AE851" i="13"/>
  <c r="AF851" i="13"/>
  <c r="AD852" i="13"/>
  <c r="AE852" i="13"/>
  <c r="AF852" i="13"/>
  <c r="AD853" i="13"/>
  <c r="AE853" i="13"/>
  <c r="AF853" i="13"/>
  <c r="AD854" i="13"/>
  <c r="AE854" i="13"/>
  <c r="AF854" i="13"/>
  <c r="AD855" i="13"/>
  <c r="AE855" i="13"/>
  <c r="AF855" i="13"/>
  <c r="AD856" i="13"/>
  <c r="AE856" i="13"/>
  <c r="AF856" i="13"/>
  <c r="AD857" i="13"/>
  <c r="AE857" i="13"/>
  <c r="AF857" i="13"/>
  <c r="AD858" i="13"/>
  <c r="AE858" i="13"/>
  <c r="AF858" i="13"/>
  <c r="AD859" i="13"/>
  <c r="AE859" i="13"/>
  <c r="AF859" i="13"/>
  <c r="AD860" i="13"/>
  <c r="AE860" i="13"/>
  <c r="AF860" i="13"/>
  <c r="AD861" i="13"/>
  <c r="AE861" i="13"/>
  <c r="AF861" i="13"/>
  <c r="AD862" i="13"/>
  <c r="AE862" i="13"/>
  <c r="AF862" i="13"/>
  <c r="AD863" i="13"/>
  <c r="AE863" i="13"/>
  <c r="AF863" i="13"/>
  <c r="AD864" i="13"/>
  <c r="AE864" i="13"/>
  <c r="AF864" i="13"/>
  <c r="AD865" i="13"/>
  <c r="AE865" i="13"/>
  <c r="AF865" i="13"/>
  <c r="AD866" i="13"/>
  <c r="AE866" i="13"/>
  <c r="AF866" i="13"/>
  <c r="AD867" i="13"/>
  <c r="AE867" i="13"/>
  <c r="AF867" i="13"/>
  <c r="AD868" i="13"/>
  <c r="AE868" i="13"/>
  <c r="AF868" i="13"/>
  <c r="AD869" i="13"/>
  <c r="AE869" i="13"/>
  <c r="AF869" i="13"/>
  <c r="AD870" i="13"/>
  <c r="AE870" i="13"/>
  <c r="AF870" i="13"/>
  <c r="AD871" i="13"/>
  <c r="AE871" i="13"/>
  <c r="AF871" i="13"/>
  <c r="AD872" i="13"/>
  <c r="AE872" i="13"/>
  <c r="AF872" i="13"/>
  <c r="AD873" i="13"/>
  <c r="AE873" i="13"/>
  <c r="AF873" i="13"/>
  <c r="AD874" i="13"/>
  <c r="AE874" i="13"/>
  <c r="AF874" i="13"/>
  <c r="AD875" i="13"/>
  <c r="AE875" i="13"/>
  <c r="AF875" i="13"/>
  <c r="AD876" i="13"/>
  <c r="AE876" i="13"/>
  <c r="AF876" i="13"/>
  <c r="AD877" i="13"/>
  <c r="AE877" i="13"/>
  <c r="AF877" i="13"/>
  <c r="AD878" i="13"/>
  <c r="AE878" i="13"/>
  <c r="AF878" i="13"/>
  <c r="AD879" i="13"/>
  <c r="AE879" i="13"/>
  <c r="AF879" i="13"/>
  <c r="AD880" i="13"/>
  <c r="AE880" i="13"/>
  <c r="AF880" i="13"/>
  <c r="AD881" i="13"/>
  <c r="AE881" i="13"/>
  <c r="AF881" i="13"/>
  <c r="AD882" i="13"/>
  <c r="AE882" i="13"/>
  <c r="AF882" i="13"/>
  <c r="AD883" i="13"/>
  <c r="AE883" i="13"/>
  <c r="AF883" i="13"/>
  <c r="AD884" i="13"/>
  <c r="AE884" i="13"/>
  <c r="AF884" i="13"/>
  <c r="AD885" i="13"/>
  <c r="AE885" i="13"/>
  <c r="AF885" i="13"/>
  <c r="AD886" i="13"/>
  <c r="AE886" i="13"/>
  <c r="AF886" i="13"/>
  <c r="AD887" i="13"/>
  <c r="AE887" i="13"/>
  <c r="AF887" i="13"/>
  <c r="AD888" i="13"/>
  <c r="AE888" i="13"/>
  <c r="AF888" i="13"/>
  <c r="AD889" i="13"/>
  <c r="AE889" i="13"/>
  <c r="AF889" i="13"/>
  <c r="AD890" i="13"/>
  <c r="AE890" i="13"/>
  <c r="AF890" i="13"/>
  <c r="AD891" i="13"/>
  <c r="AE891" i="13"/>
  <c r="AF891" i="13"/>
  <c r="AD892" i="13"/>
  <c r="AE892" i="13"/>
  <c r="AF892" i="13"/>
  <c r="AD893" i="13"/>
  <c r="AE893" i="13"/>
  <c r="AF893" i="13"/>
  <c r="AD894" i="13"/>
  <c r="AE894" i="13"/>
  <c r="AF894" i="13"/>
  <c r="AD895" i="13"/>
  <c r="AE895" i="13"/>
  <c r="AF895" i="13"/>
  <c r="AD896" i="13"/>
  <c r="AE896" i="13"/>
  <c r="AF896" i="13"/>
  <c r="AD897" i="13"/>
  <c r="AE897" i="13"/>
  <c r="AF897" i="13"/>
  <c r="AD898" i="13"/>
  <c r="AE898" i="13"/>
  <c r="AF898" i="13"/>
  <c r="AD899" i="13"/>
  <c r="AE899" i="13"/>
  <c r="AF899" i="13"/>
  <c r="AD900" i="13"/>
  <c r="AE900" i="13"/>
  <c r="AF900" i="13"/>
  <c r="AD901" i="13"/>
  <c r="AE901" i="13"/>
  <c r="AF901" i="13"/>
  <c r="AD902" i="13"/>
  <c r="AE902" i="13"/>
  <c r="AF902" i="13"/>
  <c r="AD903" i="13"/>
  <c r="AE903" i="13"/>
  <c r="AF903" i="13"/>
  <c r="AD904" i="13"/>
  <c r="AE904" i="13"/>
  <c r="AF904" i="13"/>
  <c r="AD905" i="13"/>
  <c r="AE905" i="13"/>
  <c r="AF905" i="13"/>
  <c r="AD906" i="13"/>
  <c r="AE906" i="13"/>
  <c r="AF906" i="13"/>
  <c r="AD907" i="13"/>
  <c r="AE907" i="13"/>
  <c r="AF907" i="13"/>
  <c r="AD908" i="13"/>
  <c r="AE908" i="13"/>
  <c r="AF908" i="13"/>
  <c r="AD909" i="13"/>
  <c r="AE909" i="13"/>
  <c r="AF909" i="13"/>
  <c r="AD910" i="13"/>
  <c r="AE910" i="13"/>
  <c r="AF910" i="13"/>
  <c r="AD911" i="13"/>
  <c r="AE911" i="13"/>
  <c r="AF911" i="13"/>
  <c r="AD912" i="13"/>
  <c r="AE912" i="13"/>
  <c r="AF912" i="13"/>
  <c r="AD913" i="13"/>
  <c r="AE913" i="13"/>
  <c r="AF913" i="13"/>
  <c r="AD914" i="13"/>
  <c r="AE914" i="13"/>
  <c r="AF914" i="13"/>
  <c r="AD915" i="13"/>
  <c r="AE915" i="13"/>
  <c r="AF915" i="13"/>
  <c r="AD916" i="13"/>
  <c r="AE916" i="13"/>
  <c r="AF916" i="13"/>
  <c r="AD917" i="13"/>
  <c r="AE917" i="13"/>
  <c r="AF917" i="13"/>
  <c r="AD918" i="13"/>
  <c r="AE918" i="13"/>
  <c r="AF918" i="13"/>
  <c r="AD919" i="13"/>
  <c r="AE919" i="13"/>
  <c r="AF919" i="13"/>
  <c r="AD920" i="13"/>
  <c r="AE920" i="13"/>
  <c r="AF920" i="13"/>
  <c r="AD921" i="13"/>
  <c r="AE921" i="13"/>
  <c r="AF921" i="13"/>
  <c r="AD922" i="13"/>
  <c r="AE922" i="13"/>
  <c r="AF922" i="13"/>
  <c r="AD923" i="13"/>
  <c r="AE923" i="13"/>
  <c r="AF923" i="13"/>
  <c r="AD924" i="13"/>
  <c r="AE924" i="13"/>
  <c r="AF924" i="13"/>
  <c r="AD925" i="13"/>
  <c r="AE925" i="13"/>
  <c r="AF925" i="13"/>
  <c r="AD926" i="13"/>
  <c r="AE926" i="13"/>
  <c r="AF926" i="13"/>
  <c r="AD927" i="13"/>
  <c r="AE927" i="13"/>
  <c r="AF927" i="13"/>
  <c r="AD928" i="13"/>
  <c r="AE928" i="13"/>
  <c r="AF928" i="13"/>
  <c r="AD929" i="13"/>
  <c r="AE929" i="13"/>
  <c r="AF929" i="13"/>
  <c r="AD930" i="13"/>
  <c r="AE930" i="13"/>
  <c r="AF930" i="13"/>
  <c r="AD931" i="13"/>
  <c r="AE931" i="13"/>
  <c r="AF931" i="13"/>
  <c r="AD932" i="13"/>
  <c r="AE932" i="13"/>
  <c r="AF932" i="13"/>
  <c r="AD933" i="13"/>
  <c r="AE933" i="13"/>
  <c r="AF933" i="13"/>
  <c r="AD934" i="13"/>
  <c r="AE934" i="13"/>
  <c r="AF934" i="13"/>
  <c r="AD935" i="13"/>
  <c r="AE935" i="13"/>
  <c r="AF935" i="13"/>
  <c r="AD936" i="13"/>
  <c r="AE936" i="13"/>
  <c r="AF936" i="13"/>
  <c r="AD937" i="13"/>
  <c r="AE937" i="13"/>
  <c r="AF937" i="13"/>
  <c r="AD938" i="13"/>
  <c r="AE938" i="13"/>
  <c r="AF938" i="13"/>
  <c r="AD939" i="13"/>
  <c r="AE939" i="13"/>
  <c r="AF939" i="13"/>
  <c r="AD940" i="13"/>
  <c r="AE940" i="13"/>
  <c r="AF940" i="13"/>
  <c r="AD941" i="13"/>
  <c r="AE941" i="13"/>
  <c r="AF941" i="13"/>
  <c r="AD942" i="13"/>
  <c r="AE942" i="13"/>
  <c r="AF942" i="13"/>
  <c r="AD943" i="13"/>
  <c r="AE943" i="13"/>
  <c r="AF943" i="13"/>
  <c r="AD944" i="13"/>
  <c r="AE944" i="13"/>
  <c r="AF944" i="13"/>
  <c r="AD945" i="13"/>
  <c r="AE945" i="13"/>
  <c r="AF945" i="13"/>
  <c r="AD946" i="13"/>
  <c r="AE946" i="13"/>
  <c r="AF946" i="13"/>
  <c r="AD947" i="13"/>
  <c r="AE947" i="13"/>
  <c r="AF947" i="13"/>
  <c r="AD948" i="13"/>
  <c r="AE948" i="13"/>
  <c r="AF948" i="13"/>
  <c r="AD949" i="13"/>
  <c r="AE949" i="13"/>
  <c r="AF949" i="13"/>
  <c r="AD950" i="13"/>
  <c r="AE950" i="13"/>
  <c r="AF950" i="13"/>
  <c r="AD951" i="13"/>
  <c r="AE951" i="13"/>
  <c r="AF951" i="13"/>
  <c r="AD952" i="13"/>
  <c r="AE952" i="13"/>
  <c r="AF952" i="13"/>
  <c r="AD953" i="13"/>
  <c r="AE953" i="13"/>
  <c r="AF953" i="13"/>
  <c r="AD954" i="13"/>
  <c r="AE954" i="13"/>
  <c r="AF954" i="13"/>
  <c r="AD955" i="13"/>
  <c r="AE955" i="13"/>
  <c r="AF955" i="13"/>
  <c r="AD956" i="13"/>
  <c r="AE956" i="13"/>
  <c r="AF956" i="13"/>
  <c r="AD957" i="13"/>
  <c r="AE957" i="13"/>
  <c r="AF957" i="13"/>
  <c r="AD958" i="13"/>
  <c r="AE958" i="13"/>
  <c r="AF958" i="13"/>
  <c r="AD959" i="13"/>
  <c r="AE959" i="13"/>
  <c r="AF959" i="13"/>
  <c r="AD960" i="13"/>
  <c r="AE960" i="13"/>
  <c r="AF960" i="13"/>
  <c r="AD961" i="13"/>
  <c r="AE961" i="13"/>
  <c r="AF961" i="13"/>
  <c r="AD962" i="13"/>
  <c r="AE962" i="13"/>
  <c r="AF962" i="13"/>
  <c r="AD963" i="13"/>
  <c r="AE963" i="13"/>
  <c r="AF963" i="13"/>
  <c r="AD964" i="13"/>
  <c r="AE964" i="13"/>
  <c r="AF964" i="13"/>
  <c r="AD965" i="13"/>
  <c r="AE965" i="13"/>
  <c r="AF965" i="13"/>
  <c r="AD966" i="13"/>
  <c r="AE966" i="13"/>
  <c r="AF966" i="13"/>
  <c r="AD967" i="13"/>
  <c r="AE967" i="13"/>
  <c r="AF967" i="13"/>
  <c r="AD968" i="13"/>
  <c r="AE968" i="13"/>
  <c r="AF968" i="13"/>
  <c r="AD969" i="13"/>
  <c r="AE969" i="13"/>
  <c r="AF969" i="13"/>
  <c r="AD970" i="13"/>
  <c r="AE970" i="13"/>
  <c r="AF970" i="13"/>
  <c r="AD971" i="13"/>
  <c r="AE971" i="13"/>
  <c r="AF971" i="13"/>
  <c r="AD972" i="13"/>
  <c r="AE972" i="13"/>
  <c r="AF972" i="13"/>
  <c r="AD973" i="13"/>
  <c r="AE973" i="13"/>
  <c r="AF973" i="13"/>
  <c r="AD974" i="13"/>
  <c r="AE974" i="13"/>
  <c r="AF974" i="13"/>
  <c r="AD975" i="13"/>
  <c r="AE975" i="13"/>
  <c r="AF975" i="13"/>
  <c r="AD976" i="13"/>
  <c r="AE976" i="13"/>
  <c r="AF976" i="13"/>
  <c r="AD977" i="13"/>
  <c r="AE977" i="13"/>
  <c r="AF977" i="13"/>
  <c r="AD978" i="13"/>
  <c r="AE978" i="13"/>
  <c r="AF978" i="13"/>
  <c r="AD979" i="13"/>
  <c r="AE979" i="13"/>
  <c r="AF979" i="13"/>
  <c r="AD980" i="13"/>
  <c r="AE980" i="13"/>
  <c r="AF980" i="13"/>
  <c r="AD981" i="13"/>
  <c r="AE981" i="13"/>
  <c r="AF981" i="13"/>
  <c r="AD982" i="13"/>
  <c r="AE982" i="13"/>
  <c r="AF982" i="13"/>
  <c r="AD983" i="13"/>
  <c r="AE983" i="13"/>
  <c r="AF983" i="13"/>
  <c r="AD984" i="13"/>
  <c r="AE984" i="13"/>
  <c r="AF984" i="13"/>
  <c r="AD985" i="13"/>
  <c r="AE985" i="13"/>
  <c r="AF985" i="13"/>
  <c r="AD986" i="13"/>
  <c r="AE986" i="13"/>
  <c r="AF986" i="13"/>
  <c r="AD987" i="13"/>
  <c r="AE987" i="13"/>
  <c r="AF987" i="13"/>
  <c r="AD988" i="13"/>
  <c r="AE988" i="13"/>
  <c r="AF988" i="13"/>
  <c r="AD989" i="13"/>
  <c r="AE989" i="13"/>
  <c r="AF989" i="13"/>
  <c r="AD990" i="13"/>
  <c r="AE990" i="13"/>
  <c r="AF990" i="13"/>
  <c r="AD991" i="13"/>
  <c r="AE991" i="13"/>
  <c r="AF991" i="13"/>
  <c r="AD992" i="13"/>
  <c r="AE992" i="13"/>
  <c r="AF992" i="13"/>
  <c r="AD993" i="13"/>
  <c r="AE993" i="13"/>
  <c r="AF993" i="13"/>
  <c r="AD994" i="13"/>
  <c r="AE994" i="13"/>
  <c r="AF994" i="13"/>
  <c r="AD995" i="13"/>
  <c r="AE995" i="13"/>
  <c r="AF995" i="13"/>
  <c r="AD996" i="13"/>
  <c r="AE996" i="13"/>
  <c r="AF996" i="13"/>
  <c r="AD997" i="13"/>
  <c r="AE997" i="13"/>
  <c r="AF997" i="13"/>
  <c r="AD998" i="13"/>
  <c r="AE998" i="13"/>
  <c r="AF998" i="13"/>
  <c r="AD999" i="13"/>
  <c r="AE999" i="13"/>
  <c r="AF999" i="13"/>
  <c r="AD1000" i="13"/>
  <c r="AE1000" i="13"/>
  <c r="AF1000" i="13"/>
  <c r="AD1001" i="13"/>
  <c r="AE1001" i="13"/>
  <c r="AF1001" i="13"/>
  <c r="AD1002" i="13"/>
  <c r="AE1002" i="13"/>
  <c r="AF1002" i="13"/>
  <c r="AD1003" i="13"/>
  <c r="AE1003" i="13"/>
  <c r="AF1003" i="13"/>
  <c r="AD1004" i="13"/>
  <c r="AE1004" i="13"/>
  <c r="AF1004" i="13"/>
  <c r="AD1005" i="13"/>
  <c r="AE1005" i="13"/>
  <c r="AF1005" i="13"/>
  <c r="AD1006" i="13"/>
  <c r="AE1006" i="13"/>
  <c r="AF1006" i="13"/>
  <c r="AD1007" i="13"/>
  <c r="AE1007" i="13"/>
  <c r="AF1007" i="13"/>
  <c r="AD1008" i="13"/>
  <c r="AE1008" i="13"/>
  <c r="AF1008" i="13"/>
  <c r="AD1009" i="13"/>
  <c r="AE1009" i="13"/>
  <c r="AF1009" i="13"/>
  <c r="AD1010" i="13"/>
  <c r="AE1010" i="13"/>
  <c r="AF1010" i="13"/>
  <c r="AD1011" i="13"/>
  <c r="AE1011" i="13"/>
  <c r="AF1011" i="13"/>
  <c r="AD1012" i="13"/>
  <c r="AE1012" i="13"/>
  <c r="AF1012" i="13"/>
  <c r="AD1013" i="13"/>
  <c r="AE1013" i="13"/>
  <c r="AF1013" i="13"/>
  <c r="AD1014" i="13"/>
  <c r="AE1014" i="13"/>
  <c r="AF1014" i="13"/>
  <c r="AD1015" i="13"/>
  <c r="AE1015" i="13"/>
  <c r="AF1015" i="13"/>
  <c r="AD1016" i="13"/>
  <c r="AE1016" i="13"/>
  <c r="AF1016" i="13"/>
  <c r="AD1017" i="13"/>
  <c r="AE1017" i="13"/>
  <c r="AF1017" i="13"/>
  <c r="AD1018" i="13"/>
  <c r="AE1018" i="13"/>
  <c r="AF1018" i="13"/>
  <c r="AD1019" i="13"/>
  <c r="AE1019" i="13"/>
  <c r="AF1019" i="13"/>
  <c r="AD1020" i="13"/>
  <c r="AE1020" i="13"/>
  <c r="AF1020" i="13"/>
  <c r="AD1021" i="13"/>
  <c r="AE1021" i="13"/>
  <c r="AF1021" i="13"/>
  <c r="AD1022" i="13"/>
  <c r="AE1022" i="13"/>
  <c r="AF1022" i="13"/>
  <c r="AD1023" i="13"/>
  <c r="AE1023" i="13"/>
  <c r="AF1023" i="13"/>
  <c r="AD1024" i="13"/>
  <c r="AE1024" i="13"/>
  <c r="AF1024" i="13"/>
  <c r="AD1025" i="13"/>
  <c r="AE1025" i="13"/>
  <c r="AF1025" i="13"/>
  <c r="AD1026" i="13"/>
  <c r="AE1026" i="13"/>
  <c r="AF1026" i="13"/>
  <c r="AD1027" i="13"/>
  <c r="AE1027" i="13"/>
  <c r="AF1027" i="13"/>
  <c r="AD1028" i="13"/>
  <c r="AE1028" i="13"/>
  <c r="AF1028" i="13"/>
  <c r="AD1029" i="13"/>
  <c r="AE1029" i="13"/>
  <c r="AF1029" i="13"/>
  <c r="AD1030" i="13"/>
  <c r="AE1030" i="13"/>
  <c r="AF1030" i="13"/>
  <c r="AD1031" i="13"/>
  <c r="AE1031" i="13"/>
  <c r="AF1031" i="13"/>
  <c r="AD1032" i="13"/>
  <c r="AE1032" i="13"/>
  <c r="AF1032" i="13"/>
  <c r="AD1033" i="13"/>
  <c r="AE1033" i="13"/>
  <c r="AF1033" i="13"/>
  <c r="AD1034" i="13"/>
  <c r="AE1034" i="13"/>
  <c r="AF1034" i="13"/>
  <c r="AD1035" i="13"/>
  <c r="AE1035" i="13"/>
  <c r="AF1035" i="13"/>
  <c r="AD1036" i="13"/>
  <c r="AE1036" i="13"/>
  <c r="AF1036" i="13"/>
  <c r="AD1037" i="13"/>
  <c r="AE1037" i="13"/>
  <c r="AF1037" i="13"/>
  <c r="AD1038" i="13"/>
  <c r="AE1038" i="13"/>
  <c r="AF1038" i="13"/>
  <c r="AD1039" i="13"/>
  <c r="AE1039" i="13"/>
  <c r="AF1039" i="13"/>
  <c r="AD1040" i="13"/>
  <c r="AE1040" i="13"/>
  <c r="AF1040" i="13"/>
  <c r="AD1041" i="13"/>
  <c r="AE1041" i="13"/>
  <c r="AF1041" i="13"/>
  <c r="AD1042" i="13"/>
  <c r="AE1042" i="13"/>
  <c r="AF1042" i="13"/>
  <c r="AD1043" i="13"/>
  <c r="AE1043" i="13"/>
  <c r="AF1043" i="13"/>
  <c r="AD1044" i="13"/>
  <c r="AE1044" i="13"/>
  <c r="AF1044" i="13"/>
  <c r="AD1045" i="13"/>
  <c r="AE1045" i="13"/>
  <c r="AF1045" i="13"/>
  <c r="AD1046" i="13"/>
  <c r="AE1046" i="13"/>
  <c r="AF1046" i="13"/>
  <c r="AD1047" i="13"/>
  <c r="AE1047" i="13"/>
  <c r="AF1047" i="13"/>
  <c r="AD1048" i="13"/>
  <c r="AE1048" i="13"/>
  <c r="AF1048" i="13"/>
  <c r="AD1049" i="13"/>
  <c r="AE1049" i="13"/>
  <c r="AF1049" i="13"/>
  <c r="AD1050" i="13"/>
  <c r="AE1050" i="13"/>
  <c r="AF1050" i="13"/>
  <c r="AD1051" i="13"/>
  <c r="AE1051" i="13"/>
  <c r="AF1051" i="13"/>
  <c r="AD1052" i="13"/>
  <c r="AE1052" i="13"/>
  <c r="AF1052" i="13"/>
  <c r="AD1053" i="13"/>
  <c r="AE1053" i="13"/>
  <c r="AF1053" i="13"/>
  <c r="AD1054" i="13"/>
  <c r="AE1054" i="13"/>
  <c r="AF1054" i="13"/>
  <c r="AD1055" i="13"/>
  <c r="AE1055" i="13"/>
  <c r="AF1055" i="13"/>
  <c r="AD1056" i="13"/>
  <c r="AE1056" i="13"/>
  <c r="AF1056" i="13"/>
  <c r="AD1057" i="13"/>
  <c r="AE1057" i="13"/>
  <c r="AF1057" i="13"/>
  <c r="AD1058" i="13"/>
  <c r="AE1058" i="13"/>
  <c r="AF1058" i="13"/>
  <c r="AD1059" i="13"/>
  <c r="AE1059" i="13"/>
  <c r="AF1059" i="13"/>
  <c r="AD1060" i="13"/>
  <c r="AE1060" i="13"/>
  <c r="AF1060" i="13"/>
  <c r="AD1061" i="13"/>
  <c r="AE1061" i="13"/>
  <c r="AF1061" i="13"/>
  <c r="AD1062" i="13"/>
  <c r="AE1062" i="13"/>
  <c r="AF1062" i="13"/>
  <c r="AD1063" i="13"/>
  <c r="AE1063" i="13"/>
  <c r="AF1063" i="13"/>
  <c r="AD1064" i="13"/>
  <c r="AE1064" i="13"/>
  <c r="AF1064" i="13"/>
  <c r="AD1065" i="13"/>
  <c r="AE1065" i="13"/>
  <c r="AF1065" i="13"/>
  <c r="AD1066" i="13"/>
  <c r="AE1066" i="13"/>
  <c r="AF1066" i="13"/>
  <c r="AD1067" i="13"/>
  <c r="AE1067" i="13"/>
  <c r="AF1067" i="13"/>
  <c r="AD1068" i="13"/>
  <c r="AE1068" i="13"/>
  <c r="AF1068" i="13"/>
  <c r="AD1069" i="13"/>
  <c r="AE1069" i="13"/>
  <c r="AF1069" i="13"/>
  <c r="AD1070" i="13"/>
  <c r="AE1070" i="13"/>
  <c r="AF1070" i="13"/>
  <c r="AD1071" i="13"/>
  <c r="AE1071" i="13"/>
  <c r="AF1071" i="13"/>
  <c r="AD1072" i="13"/>
  <c r="AE1072" i="13"/>
  <c r="AF1072" i="13"/>
  <c r="AD1073" i="13"/>
  <c r="AE1073" i="13"/>
  <c r="AF1073" i="13"/>
  <c r="AD1074" i="13"/>
  <c r="AE1074" i="13"/>
  <c r="AF1074" i="13"/>
  <c r="AD1075" i="13"/>
  <c r="AE1075" i="13"/>
  <c r="AF1075" i="13"/>
  <c r="AD1076" i="13"/>
  <c r="AE1076" i="13"/>
  <c r="AF1076" i="13"/>
  <c r="AD1077" i="13"/>
  <c r="AE1077" i="13"/>
  <c r="AF1077" i="13"/>
  <c r="AD1078" i="13"/>
  <c r="AE1078" i="13"/>
  <c r="AF1078" i="13"/>
  <c r="AD1079" i="13"/>
  <c r="AE1079" i="13"/>
  <c r="AF1079" i="13"/>
  <c r="AD1080" i="13"/>
  <c r="AE1080" i="13"/>
  <c r="AF1080" i="13"/>
  <c r="AD1081" i="13"/>
  <c r="AE1081" i="13"/>
  <c r="AF1081" i="13"/>
  <c r="AD1082" i="13"/>
  <c r="AE1082" i="13"/>
  <c r="AF1082" i="13"/>
  <c r="AD1083" i="13"/>
  <c r="AE1083" i="13"/>
  <c r="AF1083" i="13"/>
  <c r="AD1084" i="13"/>
  <c r="AE1084" i="13"/>
  <c r="AF1084" i="13"/>
  <c r="AD1085" i="13"/>
  <c r="AE1085" i="13"/>
  <c r="AF1085" i="13"/>
  <c r="AD1086" i="13"/>
  <c r="AE1086" i="13"/>
  <c r="AF1086" i="13"/>
  <c r="AD1087" i="13"/>
  <c r="AE1087" i="13"/>
  <c r="AF1087" i="13"/>
  <c r="AD1088" i="13"/>
  <c r="AE1088" i="13"/>
  <c r="AF1088" i="13"/>
  <c r="AD1089" i="13"/>
  <c r="AE1089" i="13"/>
  <c r="AF1089" i="13"/>
  <c r="AD1090" i="13"/>
  <c r="AE1090" i="13"/>
  <c r="AF1090" i="13"/>
  <c r="AD1091" i="13"/>
  <c r="AE1091" i="13"/>
  <c r="AF1091" i="13"/>
  <c r="AD1092" i="13"/>
  <c r="AE1092" i="13"/>
  <c r="AF1092" i="13"/>
  <c r="AD1093" i="13"/>
  <c r="AE1093" i="13"/>
  <c r="AF1093" i="13"/>
  <c r="AD1094" i="13"/>
  <c r="AE1094" i="13"/>
  <c r="AF1094" i="13"/>
  <c r="AD1095" i="13"/>
  <c r="AE1095" i="13"/>
  <c r="AF1095" i="13"/>
  <c r="AD1096" i="13"/>
  <c r="AE1096" i="13"/>
  <c r="AF1096" i="13"/>
  <c r="AD1097" i="13"/>
  <c r="AE1097" i="13"/>
  <c r="AF1097" i="13"/>
  <c r="AD1098" i="13"/>
  <c r="AE1098" i="13"/>
  <c r="AF1098" i="13"/>
  <c r="AD1099" i="13"/>
  <c r="AE1099" i="13"/>
  <c r="AF1099" i="13"/>
  <c r="AD1100" i="13"/>
  <c r="AE1100" i="13"/>
  <c r="AF1100" i="13"/>
  <c r="AD1101" i="13"/>
  <c r="AE1101" i="13"/>
  <c r="AF1101" i="13"/>
  <c r="AD1102" i="13"/>
  <c r="AE1102" i="13"/>
  <c r="AF1102" i="13"/>
  <c r="AD1103" i="13"/>
  <c r="AE1103" i="13"/>
  <c r="AF1103" i="13"/>
  <c r="AD1104" i="13"/>
  <c r="AE1104" i="13"/>
  <c r="AF1104" i="13"/>
  <c r="AD1105" i="13"/>
  <c r="AE1105" i="13"/>
  <c r="AF1105" i="13"/>
  <c r="AD1106" i="13"/>
  <c r="AE1106" i="13"/>
  <c r="AF1106" i="13"/>
  <c r="AD1107" i="13"/>
  <c r="AE1107" i="13"/>
  <c r="AF1107" i="13"/>
  <c r="AD1108" i="13"/>
  <c r="AE1108" i="13"/>
  <c r="AF1108" i="13"/>
  <c r="AD1109" i="13"/>
  <c r="AE1109" i="13"/>
  <c r="AF1109" i="13"/>
  <c r="AD1110" i="13"/>
  <c r="AE1110" i="13"/>
  <c r="AF1110" i="13"/>
  <c r="AD1111" i="13"/>
  <c r="AE1111" i="13"/>
  <c r="AF1111" i="13"/>
  <c r="AD1112" i="13"/>
  <c r="AE1112" i="13"/>
  <c r="AF1112" i="13"/>
  <c r="AD1113" i="13"/>
  <c r="AE1113" i="13"/>
  <c r="AF1113" i="13"/>
  <c r="AD1114" i="13"/>
  <c r="AE1114" i="13"/>
  <c r="AF1114" i="13"/>
  <c r="AD1115" i="13"/>
  <c r="AE1115" i="13"/>
  <c r="AF1115" i="13"/>
  <c r="AD1116" i="13"/>
  <c r="AE1116" i="13"/>
  <c r="AF1116" i="13"/>
  <c r="AD1117" i="13"/>
  <c r="AE1117" i="13"/>
  <c r="AF1117" i="13"/>
  <c r="AD1118" i="13"/>
  <c r="AE1118" i="13"/>
  <c r="AF1118" i="13"/>
  <c r="AD1119" i="13"/>
  <c r="AE1119" i="13"/>
  <c r="AF1119" i="13"/>
  <c r="AD1120" i="13"/>
  <c r="AE1120" i="13"/>
  <c r="AF1120" i="13"/>
  <c r="AD1121" i="13"/>
  <c r="AE1121" i="13"/>
  <c r="AF1121" i="13"/>
  <c r="AD1122" i="13"/>
  <c r="AE1122" i="13"/>
  <c r="AF1122" i="13"/>
  <c r="AD1123" i="13"/>
  <c r="AE1123" i="13"/>
  <c r="AF1123" i="13"/>
  <c r="AD1124" i="13"/>
  <c r="AE1124" i="13"/>
  <c r="AF1124" i="13"/>
  <c r="AD1125" i="13"/>
  <c r="AE1125" i="13"/>
  <c r="AF1125" i="13"/>
  <c r="AD1126" i="13"/>
  <c r="AE1126" i="13"/>
  <c r="AF1126" i="13"/>
  <c r="AD1127" i="13"/>
  <c r="AE1127" i="13"/>
  <c r="AF1127" i="13"/>
  <c r="AD1128" i="13"/>
  <c r="AE1128" i="13"/>
  <c r="AF1128" i="13"/>
  <c r="AD1129" i="13"/>
  <c r="AE1129" i="13"/>
  <c r="AF1129" i="13"/>
  <c r="AD1130" i="13"/>
  <c r="AE1130" i="13"/>
  <c r="AF1130" i="13"/>
  <c r="AD1131" i="13"/>
  <c r="AE1131" i="13"/>
  <c r="AF1131" i="13"/>
  <c r="AD1132" i="13"/>
  <c r="AE1132" i="13"/>
  <c r="AF1132" i="13"/>
  <c r="AD1133" i="13"/>
  <c r="AE1133" i="13"/>
  <c r="AF1133" i="13"/>
  <c r="AD1134" i="13"/>
  <c r="AE1134" i="13"/>
  <c r="AF1134" i="13"/>
  <c r="AD1135" i="13"/>
  <c r="AE1135" i="13"/>
  <c r="AF1135" i="13"/>
  <c r="AD1136" i="13"/>
  <c r="AE1136" i="13"/>
  <c r="AF1136" i="13"/>
  <c r="AD1137" i="13"/>
  <c r="AE1137" i="13"/>
  <c r="AF1137" i="13"/>
  <c r="AD1138" i="13"/>
  <c r="AE1138" i="13"/>
  <c r="AF1138" i="13"/>
  <c r="AD1139" i="13"/>
  <c r="AE1139" i="13"/>
  <c r="AF1139" i="13"/>
  <c r="AD1140" i="13"/>
  <c r="AE1140" i="13"/>
  <c r="AF1140" i="13"/>
  <c r="AD1141" i="13"/>
  <c r="AE1141" i="13"/>
  <c r="AF1141" i="13"/>
  <c r="AD1142" i="13"/>
  <c r="AE1142" i="13"/>
  <c r="AF1142" i="13"/>
  <c r="AD1143" i="13"/>
  <c r="AE1143" i="13"/>
  <c r="AF1143" i="13"/>
  <c r="AD1144" i="13"/>
  <c r="AE1144" i="13"/>
  <c r="AF1144" i="13"/>
  <c r="AD1145" i="13"/>
  <c r="AE1145" i="13"/>
  <c r="AF1145" i="13"/>
  <c r="AD1146" i="13"/>
  <c r="AE1146" i="13"/>
  <c r="AF1146" i="13"/>
  <c r="AD1147" i="13"/>
  <c r="AE1147" i="13"/>
  <c r="AF1147" i="13"/>
  <c r="AD1148" i="13"/>
  <c r="AE1148" i="13"/>
  <c r="AF1148" i="13"/>
  <c r="AD1149" i="13"/>
  <c r="AE1149" i="13"/>
  <c r="AF1149" i="13"/>
  <c r="AD1150" i="13"/>
  <c r="AE1150" i="13"/>
  <c r="AF1150" i="13"/>
  <c r="AD1151" i="13"/>
  <c r="AE1151" i="13"/>
  <c r="AF1151" i="13"/>
  <c r="AD1152" i="13"/>
  <c r="AE1152" i="13"/>
  <c r="AF1152" i="13"/>
  <c r="AD1153" i="13"/>
  <c r="AE1153" i="13"/>
  <c r="AF1153" i="13"/>
  <c r="AD1154" i="13"/>
  <c r="AE1154" i="13"/>
  <c r="AF1154" i="13"/>
  <c r="AD1155" i="13"/>
  <c r="AE1155" i="13"/>
  <c r="AF1155" i="13"/>
  <c r="AD1156" i="13"/>
  <c r="AE1156" i="13"/>
  <c r="AF1156" i="13"/>
  <c r="AD1157" i="13"/>
  <c r="AE1157" i="13"/>
  <c r="AF1157" i="13"/>
  <c r="AD1158" i="13"/>
  <c r="AE1158" i="13"/>
  <c r="AF1158" i="13"/>
  <c r="AD1159" i="13"/>
  <c r="AE1159" i="13"/>
  <c r="AF1159" i="13"/>
  <c r="AD1160" i="13"/>
  <c r="AE1160" i="13"/>
  <c r="AF1160" i="13"/>
  <c r="AD1161" i="13"/>
  <c r="AE1161" i="13"/>
  <c r="AF1161" i="13"/>
  <c r="AD1162" i="13"/>
  <c r="AE1162" i="13"/>
  <c r="AF1162" i="13"/>
  <c r="AD1163" i="13"/>
  <c r="AE1163" i="13"/>
  <c r="AF1163" i="13"/>
  <c r="AD1164" i="13"/>
  <c r="AE1164" i="13"/>
  <c r="AF1164" i="13"/>
  <c r="AD1165" i="13"/>
  <c r="AE1165" i="13"/>
  <c r="AF1165" i="13"/>
  <c r="AD1166" i="13"/>
  <c r="AE1166" i="13"/>
  <c r="AF1166" i="13"/>
  <c r="AD1167" i="13"/>
  <c r="AE1167" i="13"/>
  <c r="AF1167" i="13"/>
  <c r="AD1168" i="13"/>
  <c r="AE1168" i="13"/>
  <c r="AF1168" i="13"/>
  <c r="AD1169" i="13"/>
  <c r="AE1169" i="13"/>
  <c r="AF1169" i="13"/>
  <c r="AD1170" i="13"/>
  <c r="AE1170" i="13"/>
  <c r="AF1170" i="13"/>
  <c r="AD1171" i="13"/>
  <c r="AE1171" i="13"/>
  <c r="AF1171" i="13"/>
  <c r="AD1172" i="13"/>
  <c r="AE1172" i="13"/>
  <c r="AF1172" i="13"/>
  <c r="AD1173" i="13"/>
  <c r="AE1173" i="13"/>
  <c r="AF1173" i="13"/>
  <c r="AD1174" i="13"/>
  <c r="AE1174" i="13"/>
  <c r="AF1174" i="13"/>
  <c r="AD1175" i="13"/>
  <c r="AE1175" i="13"/>
  <c r="AF1175" i="13"/>
  <c r="AD1176" i="13"/>
  <c r="AE1176" i="13"/>
  <c r="AF1176" i="13"/>
  <c r="AD1177" i="13"/>
  <c r="AE1177" i="13"/>
  <c r="AF1177" i="13"/>
  <c r="AD1178" i="13"/>
  <c r="AE1178" i="13"/>
  <c r="AF1178" i="13"/>
  <c r="AD1179" i="13"/>
  <c r="AE1179" i="13"/>
  <c r="AF1179" i="13"/>
  <c r="AD1180" i="13"/>
  <c r="AE1180" i="13"/>
  <c r="AF1180" i="13"/>
  <c r="AD1181" i="13"/>
  <c r="AE1181" i="13"/>
  <c r="AF1181" i="13"/>
  <c r="AD1182" i="13"/>
  <c r="AE1182" i="13"/>
  <c r="AF1182" i="13"/>
  <c r="AD1183" i="13"/>
  <c r="AE1183" i="13"/>
  <c r="AF1183" i="13"/>
  <c r="AD1184" i="13"/>
  <c r="AE1184" i="13"/>
  <c r="AF1184" i="13"/>
  <c r="AD1185" i="13"/>
  <c r="AE1185" i="13"/>
  <c r="AF1185" i="13"/>
  <c r="AD1186" i="13"/>
  <c r="AE1186" i="13"/>
  <c r="AF1186" i="13"/>
  <c r="AD1187" i="13"/>
  <c r="AE1187" i="13"/>
  <c r="AF1187" i="13"/>
  <c r="AD1188" i="13"/>
  <c r="AE1188" i="13"/>
  <c r="AF1188" i="13"/>
  <c r="AD1189" i="13"/>
  <c r="AE1189" i="13"/>
  <c r="AF1189" i="13"/>
  <c r="AD1190" i="13"/>
  <c r="AE1190" i="13"/>
  <c r="AF1190" i="13"/>
  <c r="AD1191" i="13"/>
  <c r="AE1191" i="13"/>
  <c r="AF1191" i="13"/>
  <c r="AD1192" i="13"/>
  <c r="AE1192" i="13"/>
  <c r="AF1192" i="13"/>
  <c r="AD1193" i="13"/>
  <c r="AE1193" i="13"/>
  <c r="AF1193" i="13"/>
  <c r="AD1194" i="13"/>
  <c r="AE1194" i="13"/>
  <c r="AF1194" i="13"/>
  <c r="AD1195" i="13"/>
  <c r="AE1195" i="13"/>
  <c r="AF1195" i="13"/>
  <c r="AD1196" i="13"/>
  <c r="AE1196" i="13"/>
  <c r="AF1196" i="13"/>
  <c r="AD1197" i="13"/>
  <c r="AE1197" i="13"/>
  <c r="AF1197" i="13"/>
  <c r="AD1198" i="13"/>
  <c r="AE1198" i="13"/>
  <c r="AF1198" i="13"/>
  <c r="AD1199" i="13"/>
  <c r="AE1199" i="13"/>
  <c r="AF1199" i="13"/>
  <c r="AD1200" i="13"/>
  <c r="AE1200" i="13"/>
  <c r="AF1200" i="13"/>
  <c r="AD1201" i="13"/>
  <c r="AE1201" i="13"/>
  <c r="AF1201" i="13"/>
  <c r="AD1202" i="13"/>
  <c r="AE1202" i="13"/>
  <c r="AF1202" i="13"/>
  <c r="AD1203" i="13"/>
  <c r="AE1203" i="13"/>
  <c r="AF1203" i="13"/>
  <c r="AD1204" i="13"/>
  <c r="AE1204" i="13"/>
  <c r="AF1204" i="13"/>
  <c r="AD1205" i="13"/>
  <c r="AE1205" i="13"/>
  <c r="AF1205" i="13"/>
  <c r="AD1206" i="13"/>
  <c r="AE1206" i="13"/>
  <c r="AF1206" i="13"/>
  <c r="AD1207" i="13"/>
  <c r="AE1207" i="13"/>
  <c r="AF1207" i="13"/>
  <c r="AD1208" i="13"/>
  <c r="AE1208" i="13"/>
  <c r="AF1208" i="13"/>
  <c r="AD1209" i="13"/>
  <c r="AE1209" i="13"/>
  <c r="AF1209" i="13"/>
  <c r="AD1210" i="13"/>
  <c r="AE1210" i="13"/>
  <c r="AF1210" i="13"/>
  <c r="AD1211" i="13"/>
  <c r="AE1211" i="13"/>
  <c r="AF1211" i="13"/>
  <c r="AD1212" i="13"/>
  <c r="AE1212" i="13"/>
  <c r="AF1212" i="13"/>
  <c r="AD1213" i="13"/>
  <c r="AE1213" i="13"/>
  <c r="AF1213" i="13"/>
  <c r="AD1214" i="13"/>
  <c r="AE1214" i="13"/>
  <c r="AF1214" i="13"/>
  <c r="AD1215" i="13"/>
  <c r="AE1215" i="13"/>
  <c r="AF1215" i="13"/>
  <c r="AD1216" i="13"/>
  <c r="AE1216" i="13"/>
  <c r="AF1216" i="13"/>
  <c r="AD1217" i="13"/>
  <c r="AE1217" i="13"/>
  <c r="AF1217" i="13"/>
  <c r="AD1218" i="13"/>
  <c r="AE1218" i="13"/>
  <c r="AF1218" i="13"/>
  <c r="AD1219" i="13"/>
  <c r="AE1219" i="13"/>
  <c r="AF1219" i="13"/>
  <c r="AD1220" i="13"/>
  <c r="AE1220" i="13"/>
  <c r="AF1220" i="13"/>
  <c r="AD1221" i="13"/>
  <c r="AE1221" i="13"/>
  <c r="AF1221" i="13"/>
  <c r="AD1222" i="13"/>
  <c r="AE1222" i="13"/>
  <c r="AF1222" i="13"/>
  <c r="AD1223" i="13"/>
  <c r="AE1223" i="13"/>
  <c r="AF1223" i="13"/>
  <c r="AD1224" i="13"/>
  <c r="AE1224" i="13"/>
  <c r="AF1224" i="13"/>
  <c r="AD1225" i="13"/>
  <c r="AE1225" i="13"/>
  <c r="AF1225" i="13"/>
  <c r="AD1226" i="13"/>
  <c r="AE1226" i="13"/>
  <c r="AF1226" i="13"/>
  <c r="AD1227" i="13"/>
  <c r="AE1227" i="13"/>
  <c r="AF1227" i="13"/>
  <c r="AD1228" i="13"/>
  <c r="AE1228" i="13"/>
  <c r="AF1228" i="13"/>
  <c r="AD1229" i="13"/>
  <c r="AE1229" i="13"/>
  <c r="AF1229" i="13"/>
  <c r="AD1230" i="13"/>
  <c r="AE1230" i="13"/>
  <c r="AF1230" i="13"/>
  <c r="AD1231" i="13"/>
  <c r="AE1231" i="13"/>
  <c r="AF1231" i="13"/>
  <c r="AD1232" i="13"/>
  <c r="AE1232" i="13"/>
  <c r="AF1232" i="13"/>
  <c r="AD1233" i="13"/>
  <c r="AE1233" i="13"/>
  <c r="AF1233" i="13"/>
  <c r="AD1234" i="13"/>
  <c r="AE1234" i="13"/>
  <c r="AF1234" i="13"/>
  <c r="AD1235" i="13"/>
  <c r="AE1235" i="13"/>
  <c r="AF1235" i="13"/>
  <c r="AD1236" i="13"/>
  <c r="AE1236" i="13"/>
  <c r="AF1236" i="13"/>
  <c r="AD1237" i="13"/>
  <c r="AE1237" i="13"/>
  <c r="AF1237" i="13"/>
  <c r="AD1238" i="13"/>
  <c r="AE1238" i="13"/>
  <c r="AF1238" i="13"/>
  <c r="AD1239" i="13"/>
  <c r="AE1239" i="13"/>
  <c r="AF1239" i="13"/>
  <c r="AD1240" i="13"/>
  <c r="AE1240" i="13"/>
  <c r="AF1240" i="13"/>
  <c r="AD1241" i="13"/>
  <c r="AE1241" i="13"/>
  <c r="AF1241" i="13"/>
  <c r="AD1242" i="13"/>
  <c r="AE1242" i="13"/>
  <c r="AF1242" i="13"/>
  <c r="AD1243" i="13"/>
  <c r="AE1243" i="13"/>
  <c r="AF1243" i="13"/>
  <c r="AD1244" i="13"/>
  <c r="AE1244" i="13"/>
  <c r="AF1244" i="13"/>
  <c r="AD1245" i="13"/>
  <c r="AE1245" i="13"/>
  <c r="AF1245" i="13"/>
  <c r="AD1246" i="13"/>
  <c r="AE1246" i="13"/>
  <c r="AF1246" i="13"/>
  <c r="AD1247" i="13"/>
  <c r="AE1247" i="13"/>
  <c r="AF1247" i="13"/>
  <c r="AD1248" i="13"/>
  <c r="AE1248" i="13"/>
  <c r="AF1248" i="13"/>
  <c r="AD1249" i="13"/>
  <c r="AE1249" i="13"/>
  <c r="AF1249" i="13"/>
  <c r="AD1250" i="13"/>
  <c r="AE1250" i="13"/>
  <c r="AF1250" i="13"/>
  <c r="AD1251" i="13"/>
  <c r="AE1251" i="13"/>
  <c r="AF1251" i="13"/>
  <c r="AD1252" i="13"/>
  <c r="AE1252" i="13"/>
  <c r="AF1252" i="13"/>
  <c r="AD1253" i="13"/>
  <c r="AE1253" i="13"/>
  <c r="AF1253" i="13"/>
  <c r="AD1254" i="13"/>
  <c r="AE1254" i="13"/>
  <c r="AF1254" i="13"/>
  <c r="AD1255" i="13"/>
  <c r="AE1255" i="13"/>
  <c r="AF1255" i="13"/>
  <c r="AD1256" i="13"/>
  <c r="AE1256" i="13"/>
  <c r="AF1256" i="13"/>
  <c r="AD1257" i="13"/>
  <c r="AE1257" i="13"/>
  <c r="AF1257" i="13"/>
  <c r="AD1258" i="13"/>
  <c r="AE1258" i="13"/>
  <c r="AF1258" i="13"/>
  <c r="AD1259" i="13"/>
  <c r="AE1259" i="13"/>
  <c r="AF1259" i="13"/>
  <c r="AD1260" i="13"/>
  <c r="AE1260" i="13"/>
  <c r="AF1260" i="13"/>
  <c r="AD1261" i="13"/>
  <c r="AE1261" i="13"/>
  <c r="AF1261" i="13"/>
  <c r="AD1262" i="13"/>
  <c r="AE1262" i="13"/>
  <c r="AF1262" i="13"/>
  <c r="AD1263" i="13"/>
  <c r="AE1263" i="13"/>
  <c r="AF1263" i="13"/>
  <c r="AD1264" i="13"/>
  <c r="AE1264" i="13"/>
  <c r="AF1264" i="13"/>
  <c r="AD1265" i="13"/>
  <c r="AE1265" i="13"/>
  <c r="AF1265" i="13"/>
  <c r="AD1266" i="13"/>
  <c r="AE1266" i="13"/>
  <c r="AF1266" i="13"/>
  <c r="AD1267" i="13"/>
  <c r="AE1267" i="13"/>
  <c r="AF1267" i="13"/>
  <c r="AD1268" i="13"/>
  <c r="AE1268" i="13"/>
  <c r="AF1268" i="13"/>
  <c r="AD1269" i="13"/>
  <c r="AE1269" i="13"/>
  <c r="AF1269" i="13"/>
  <c r="AD1270" i="13"/>
  <c r="AE1270" i="13"/>
  <c r="AF1270" i="13"/>
  <c r="AD1271" i="13"/>
  <c r="AE1271" i="13"/>
  <c r="AF1271" i="13"/>
  <c r="AD1272" i="13"/>
  <c r="AE1272" i="13"/>
  <c r="AF1272" i="13"/>
  <c r="AD1273" i="13"/>
  <c r="AE1273" i="13"/>
  <c r="AF1273" i="13"/>
  <c r="AD1274" i="13"/>
  <c r="AE1274" i="13"/>
  <c r="AF1274" i="13"/>
  <c r="AD1275" i="13"/>
  <c r="AE1275" i="13"/>
  <c r="AF1275" i="13"/>
  <c r="AD1276" i="13"/>
  <c r="AE1276" i="13"/>
  <c r="AF1276" i="13"/>
  <c r="AD1277" i="13"/>
  <c r="AE1277" i="13"/>
  <c r="AF1277" i="13"/>
  <c r="AD1278" i="13"/>
  <c r="AE1278" i="13"/>
  <c r="AF1278" i="13"/>
  <c r="AD1279" i="13"/>
  <c r="AE1279" i="13"/>
  <c r="AF1279" i="13"/>
  <c r="AD1280" i="13"/>
  <c r="AE1280" i="13"/>
  <c r="AF1280" i="13"/>
  <c r="AD1281" i="13"/>
  <c r="AE1281" i="13"/>
  <c r="AF1281" i="13"/>
  <c r="AD1282" i="13"/>
  <c r="AE1282" i="13"/>
  <c r="AF1282" i="13"/>
  <c r="AD1283" i="13"/>
  <c r="AE1283" i="13"/>
  <c r="AF1283" i="13"/>
  <c r="AD1284" i="13"/>
  <c r="AE1284" i="13"/>
  <c r="AF1284" i="13"/>
  <c r="AD1285" i="13"/>
  <c r="AE1285" i="13"/>
  <c r="AF1285" i="13"/>
  <c r="AD1286" i="13"/>
  <c r="AE1286" i="13"/>
  <c r="AF1286" i="13"/>
  <c r="AD1287" i="13"/>
  <c r="AE1287" i="13"/>
  <c r="AF1287" i="13"/>
  <c r="AD1288" i="13"/>
  <c r="AE1288" i="13"/>
  <c r="AF1288" i="13"/>
  <c r="AD1289" i="13"/>
  <c r="AE1289" i="13"/>
  <c r="AF1289" i="13"/>
  <c r="AD1290" i="13"/>
  <c r="AE1290" i="13"/>
  <c r="AF1290" i="13"/>
  <c r="AD1291" i="13"/>
  <c r="AE1291" i="13"/>
  <c r="AF1291" i="13"/>
  <c r="AD1292" i="13"/>
  <c r="AE1292" i="13"/>
  <c r="AF1292" i="13"/>
  <c r="AD1293" i="13"/>
  <c r="AE1293" i="13"/>
  <c r="AF1293" i="13"/>
  <c r="AD1294" i="13"/>
  <c r="AE1294" i="13"/>
  <c r="AF1294" i="13"/>
  <c r="AD1295" i="13"/>
  <c r="AE1295" i="13"/>
  <c r="AF1295" i="13"/>
  <c r="AD1296" i="13"/>
  <c r="AE1296" i="13"/>
  <c r="AF1296" i="13"/>
  <c r="AD1297" i="13"/>
  <c r="AE1297" i="13"/>
  <c r="AF1297" i="13"/>
  <c r="AD1298" i="13"/>
  <c r="AE1298" i="13"/>
  <c r="AF1298" i="13"/>
  <c r="AD1299" i="13"/>
  <c r="AE1299" i="13"/>
  <c r="AF1299" i="13"/>
  <c r="AD1300" i="13"/>
  <c r="AE1300" i="13"/>
  <c r="AF1300" i="13"/>
  <c r="AD1301" i="13"/>
  <c r="AE1301" i="13"/>
  <c r="AF1301" i="13"/>
  <c r="AD1302" i="13"/>
  <c r="AE1302" i="13"/>
  <c r="AF1302" i="13"/>
  <c r="AD1303" i="13"/>
  <c r="AE1303" i="13"/>
  <c r="AF1303" i="13"/>
  <c r="AD1304" i="13"/>
  <c r="AE1304" i="13"/>
  <c r="AF1304" i="13"/>
  <c r="AD1305" i="13"/>
  <c r="AE1305" i="13"/>
  <c r="AF1305" i="13"/>
  <c r="AD1306" i="13"/>
  <c r="AE1306" i="13"/>
  <c r="AF1306" i="13"/>
  <c r="AD1307" i="13"/>
  <c r="AE1307" i="13"/>
  <c r="AF1307" i="13"/>
  <c r="AD1308" i="13"/>
  <c r="AE1308" i="13"/>
  <c r="AF1308" i="13"/>
  <c r="AD1309" i="13"/>
  <c r="AE1309" i="13"/>
  <c r="AF1309" i="13"/>
  <c r="AD1310" i="13"/>
  <c r="AE1310" i="13"/>
  <c r="AF1310" i="13"/>
  <c r="AD1311" i="13"/>
  <c r="AE1311" i="13"/>
  <c r="AF1311" i="13"/>
  <c r="AD1312" i="13"/>
  <c r="AE1312" i="13"/>
  <c r="AF1312" i="13"/>
  <c r="AD1313" i="13"/>
  <c r="AE1313" i="13"/>
  <c r="AF1313" i="13"/>
  <c r="AD1314" i="13"/>
  <c r="AE1314" i="13"/>
  <c r="AF1314" i="13"/>
  <c r="AD1315" i="13"/>
  <c r="AE1315" i="13"/>
  <c r="AF1315" i="13"/>
  <c r="AD1316" i="13"/>
  <c r="AE1316" i="13"/>
  <c r="AF1316" i="13"/>
  <c r="AD1317" i="13"/>
  <c r="AE1317" i="13"/>
  <c r="AF1317" i="13"/>
  <c r="AD1318" i="13"/>
  <c r="AE1318" i="13"/>
  <c r="AF1318" i="13"/>
  <c r="AD1319" i="13"/>
  <c r="AE1319" i="13"/>
  <c r="AF1319" i="13"/>
  <c r="AD1320" i="13"/>
  <c r="AE1320" i="13"/>
  <c r="AF1320" i="13"/>
  <c r="AD1321" i="13"/>
  <c r="AE1321" i="13"/>
  <c r="AF1321" i="13"/>
  <c r="AD1322" i="13"/>
  <c r="AE1322" i="13"/>
  <c r="AF1322" i="13"/>
  <c r="AD1323" i="13"/>
  <c r="AE1323" i="13"/>
  <c r="AF1323" i="13"/>
  <c r="AD1324" i="13"/>
  <c r="AE1324" i="13"/>
  <c r="AF1324" i="13"/>
  <c r="AD1325" i="13"/>
  <c r="AE1325" i="13"/>
  <c r="AF1325" i="13"/>
  <c r="AD1326" i="13"/>
  <c r="AE1326" i="13"/>
  <c r="AF1326" i="13"/>
  <c r="AD1327" i="13"/>
  <c r="AE1327" i="13"/>
  <c r="AF1327" i="13"/>
  <c r="AD1328" i="13"/>
  <c r="AE1328" i="13"/>
  <c r="AF1328" i="13"/>
  <c r="AD1329" i="13"/>
  <c r="AE1329" i="13"/>
  <c r="AF1329" i="13"/>
  <c r="AD1330" i="13"/>
  <c r="AE1330" i="13"/>
  <c r="AF1330" i="13"/>
  <c r="AD1331" i="13"/>
  <c r="AE1331" i="13"/>
  <c r="AF1331" i="13"/>
  <c r="AD1332" i="13"/>
  <c r="AE1332" i="13"/>
  <c r="AF1332" i="13"/>
  <c r="AD1333" i="13"/>
  <c r="AE1333" i="13"/>
  <c r="AF1333" i="13"/>
  <c r="AD1334" i="13"/>
  <c r="AE1334" i="13"/>
  <c r="AF1334" i="13"/>
  <c r="AD1335" i="13"/>
  <c r="AE1335" i="13"/>
  <c r="AF1335" i="13"/>
  <c r="AD1336" i="13"/>
  <c r="AE1336" i="13"/>
  <c r="AF1336" i="13"/>
  <c r="AD1337" i="13"/>
  <c r="AE1337" i="13"/>
  <c r="AF1337" i="13"/>
  <c r="AD1338" i="13"/>
  <c r="AE1338" i="13"/>
  <c r="AF1338" i="13"/>
  <c r="AD1339" i="13"/>
  <c r="AE1339" i="13"/>
  <c r="AF1339" i="13"/>
  <c r="AD1340" i="13"/>
  <c r="AE1340" i="13"/>
  <c r="AF1340" i="13"/>
  <c r="AD1341" i="13"/>
  <c r="AE1341" i="13"/>
  <c r="AF1341" i="13"/>
  <c r="AD1342" i="13"/>
  <c r="AE1342" i="13"/>
  <c r="AF1342" i="13"/>
  <c r="AD1343" i="13"/>
  <c r="AE1343" i="13"/>
  <c r="AF1343" i="13"/>
  <c r="AD1344" i="13"/>
  <c r="AE1344" i="13"/>
  <c r="AF1344" i="13"/>
  <c r="AD1345" i="13"/>
  <c r="AE1345" i="13"/>
  <c r="AF1345" i="13"/>
  <c r="AD1346" i="13"/>
  <c r="AE1346" i="13"/>
  <c r="AF1346" i="13"/>
  <c r="AD1347" i="13"/>
  <c r="AE1347" i="13"/>
  <c r="AF1347" i="13"/>
  <c r="AD1348" i="13"/>
  <c r="AE1348" i="13"/>
  <c r="AF1348" i="13"/>
  <c r="AD1349" i="13"/>
  <c r="AE1349" i="13"/>
  <c r="AF1349" i="13"/>
  <c r="AD1350" i="13"/>
  <c r="AE1350" i="13"/>
  <c r="AF1350" i="13"/>
  <c r="AD1351" i="13"/>
  <c r="AE1351" i="13"/>
  <c r="AF1351" i="13"/>
  <c r="AD1352" i="13"/>
  <c r="AE1352" i="13"/>
  <c r="AF1352" i="13"/>
  <c r="AD1353" i="13"/>
  <c r="AE1353" i="13"/>
  <c r="AF1353" i="13"/>
  <c r="AD1354" i="13"/>
  <c r="AE1354" i="13"/>
  <c r="AF1354" i="13"/>
  <c r="AD1355" i="13"/>
  <c r="AE1355" i="13"/>
  <c r="AF1355" i="13"/>
  <c r="AD1356" i="13"/>
  <c r="AE1356" i="13"/>
  <c r="AF1356" i="13"/>
  <c r="AD1357" i="13"/>
  <c r="AE1357" i="13"/>
  <c r="AF1357" i="13"/>
  <c r="AD1358" i="13"/>
  <c r="AE1358" i="13"/>
  <c r="AF1358" i="13"/>
  <c r="AD1359" i="13"/>
  <c r="AE1359" i="13"/>
  <c r="AF1359" i="13"/>
  <c r="AD1360" i="13"/>
  <c r="AE1360" i="13"/>
  <c r="AF1360" i="13"/>
  <c r="AD1361" i="13"/>
  <c r="AE1361" i="13"/>
  <c r="AF1361" i="13"/>
  <c r="AD1362" i="13"/>
  <c r="AE1362" i="13"/>
  <c r="AF1362" i="13"/>
  <c r="AD1363" i="13"/>
  <c r="AE1363" i="13"/>
  <c r="AF1363" i="13"/>
  <c r="AD1364" i="13"/>
  <c r="AE1364" i="13"/>
  <c r="AF1364" i="13"/>
  <c r="AD1365" i="13"/>
  <c r="AE1365" i="13"/>
  <c r="AF1365" i="13"/>
  <c r="AD1366" i="13"/>
  <c r="AE1366" i="13"/>
  <c r="AF1366" i="13"/>
  <c r="AD1367" i="13"/>
  <c r="AE1367" i="13"/>
  <c r="AF1367" i="13"/>
  <c r="AD1368" i="13"/>
  <c r="AE1368" i="13"/>
  <c r="AF1368" i="13"/>
  <c r="AD1369" i="13"/>
  <c r="AE1369" i="13"/>
  <c r="AF1369" i="13"/>
  <c r="AD1370" i="13"/>
  <c r="AE1370" i="13"/>
  <c r="AF1370" i="13"/>
  <c r="AD1371" i="13"/>
  <c r="AE1371" i="13"/>
  <c r="AF1371" i="13"/>
  <c r="AD1372" i="13"/>
  <c r="AE1372" i="13"/>
  <c r="AF1372" i="13"/>
  <c r="AD1373" i="13"/>
  <c r="AE1373" i="13"/>
  <c r="AF1373" i="13"/>
  <c r="AD1374" i="13"/>
  <c r="AE1374" i="13"/>
  <c r="AF1374" i="13"/>
  <c r="AD1375" i="13"/>
  <c r="AE1375" i="13"/>
  <c r="AF1375" i="13"/>
  <c r="AD1376" i="13"/>
  <c r="AE1376" i="13"/>
  <c r="AF1376" i="13"/>
  <c r="AD1377" i="13"/>
  <c r="AE1377" i="13"/>
  <c r="AF1377" i="13"/>
  <c r="AD1378" i="13"/>
  <c r="AE1378" i="13"/>
  <c r="AF1378" i="13"/>
  <c r="AD1379" i="13"/>
  <c r="AE1379" i="13"/>
  <c r="AF1379" i="13"/>
  <c r="AD1380" i="13"/>
  <c r="AE1380" i="13"/>
  <c r="AF1380" i="13"/>
  <c r="AD1381" i="13"/>
  <c r="AE1381" i="13"/>
  <c r="AF1381" i="13"/>
  <c r="AD1382" i="13"/>
  <c r="AE1382" i="13"/>
  <c r="AF1382" i="13"/>
  <c r="AD1383" i="13"/>
  <c r="AE1383" i="13"/>
  <c r="AF1383" i="13"/>
  <c r="AD1384" i="13"/>
  <c r="AE1384" i="13"/>
  <c r="AF1384" i="13"/>
  <c r="AD1385" i="13"/>
  <c r="AE1385" i="13"/>
  <c r="AF1385" i="13"/>
  <c r="AD1386" i="13"/>
  <c r="AE1386" i="13"/>
  <c r="AF1386" i="13"/>
  <c r="AD1387" i="13"/>
  <c r="AE1387" i="13"/>
  <c r="AF1387" i="13"/>
  <c r="AD1388" i="13"/>
  <c r="AE1388" i="13"/>
  <c r="AF1388" i="13"/>
  <c r="AD1389" i="13"/>
  <c r="AE1389" i="13"/>
  <c r="AF1389" i="13"/>
  <c r="AD1390" i="13"/>
  <c r="AE1390" i="13"/>
  <c r="AF1390" i="13"/>
  <c r="AD1391" i="13"/>
  <c r="AE1391" i="13"/>
  <c r="AF1391" i="13"/>
  <c r="AF7" i="13"/>
  <c r="AE7" i="13"/>
  <c r="AD7" i="13"/>
  <c r="N7" i="17"/>
  <c r="B113" i="2" s="1"/>
  <c r="H113" i="2" s="1"/>
  <c r="I7" i="17"/>
  <c r="B37" i="2" s="1"/>
  <c r="H37" i="2" s="1"/>
  <c r="B247" i="2" l="1"/>
  <c r="H247" i="2" s="1"/>
  <c r="B249" i="2"/>
  <c r="H249" i="2" s="1"/>
  <c r="DS13" i="17" l="1"/>
  <c r="DN13" i="17"/>
  <c r="DI13" i="17"/>
  <c r="DD13" i="17"/>
  <c r="CY13" i="17"/>
  <c r="CT13" i="17"/>
  <c r="CO13" i="17"/>
  <c r="CJ13" i="17"/>
  <c r="CE13" i="17"/>
  <c r="BZ13" i="17"/>
  <c r="BU13" i="17"/>
  <c r="BP13" i="17"/>
  <c r="BK13" i="17"/>
  <c r="BF13" i="17"/>
  <c r="BA13" i="17"/>
  <c r="AV13" i="17"/>
  <c r="AQ13" i="17"/>
  <c r="AL13" i="17"/>
  <c r="AG13" i="17"/>
  <c r="AB13" i="17"/>
  <c r="W13" i="17"/>
  <c r="R13" i="17"/>
  <c r="M13" i="17"/>
  <c r="H13" i="17"/>
  <c r="C13" i="17"/>
  <c r="D7" i="17" s="1"/>
  <c r="B181" i="2" s="1"/>
  <c r="H181" i="2" s="1"/>
  <c r="D24" i="1"/>
  <c r="B24" i="1"/>
  <c r="D23" i="1"/>
  <c r="B23" i="1"/>
  <c r="D22" i="1"/>
  <c r="B22" i="1"/>
  <c r="D21" i="1"/>
  <c r="B21" i="1"/>
  <c r="D25" i="1" l="1"/>
  <c r="B25" i="1"/>
  <c r="H311" i="2" l="1"/>
  <c r="AG7" i="13" l="1"/>
  <c r="B6" i="1"/>
  <c r="AF2" i="13" l="1"/>
  <c r="B3" i="18" l="1"/>
  <c r="B4" i="18"/>
  <c r="B5" i="18"/>
  <c r="B6" i="18"/>
  <c r="B7" i="18"/>
  <c r="B8" i="18"/>
  <c r="B9" i="18"/>
  <c r="B10" i="18"/>
  <c r="B11" i="18"/>
  <c r="B12" i="18"/>
  <c r="B13" i="18"/>
  <c r="B14" i="18"/>
  <c r="B15" i="18"/>
  <c r="B16" i="18"/>
  <c r="B17" i="18"/>
  <c r="B18" i="18"/>
  <c r="B19" i="18"/>
  <c r="B20" i="18"/>
  <c r="B21" i="18"/>
  <c r="B22" i="18"/>
  <c r="B23" i="18"/>
  <c r="B24" i="18"/>
  <c r="B25" i="18"/>
  <c r="B26" i="18"/>
  <c r="B27" i="18"/>
  <c r="B28" i="18"/>
  <c r="B29" i="18"/>
  <c r="B30" i="18"/>
  <c r="B31" i="18"/>
  <c r="B32" i="18"/>
  <c r="B33" i="18"/>
  <c r="B34" i="18"/>
  <c r="B35" i="18"/>
  <c r="B36" i="18"/>
  <c r="B37" i="18"/>
  <c r="B38" i="18"/>
  <c r="B39" i="18"/>
  <c r="B40" i="18"/>
  <c r="B41" i="18"/>
  <c r="B42" i="18"/>
  <c r="B43" i="18"/>
  <c r="B44" i="18"/>
  <c r="B45" i="18"/>
  <c r="B46" i="18"/>
  <c r="B47" i="18"/>
  <c r="B48" i="18"/>
  <c r="B49" i="18"/>
  <c r="B50" i="18"/>
  <c r="B51" i="18"/>
  <c r="B52" i="18"/>
  <c r="B53" i="18"/>
  <c r="B54" i="18"/>
  <c r="B55" i="18"/>
  <c r="B56" i="18"/>
  <c r="B57" i="18"/>
  <c r="B58" i="18"/>
  <c r="B59" i="18"/>
  <c r="B60" i="18"/>
  <c r="B61" i="18"/>
  <c r="B62" i="18"/>
  <c r="B63" i="18"/>
  <c r="B64" i="18"/>
  <c r="B65" i="18"/>
  <c r="B66" i="18"/>
  <c r="B67" i="18"/>
  <c r="B68" i="18"/>
  <c r="B69" i="18"/>
  <c r="B70" i="18"/>
  <c r="B71" i="18"/>
  <c r="B72" i="18"/>
  <c r="B73" i="18"/>
  <c r="B74" i="18"/>
  <c r="B75" i="18"/>
  <c r="B76" i="18"/>
  <c r="B77" i="18"/>
  <c r="B78" i="18"/>
  <c r="B79" i="18"/>
  <c r="B80" i="18"/>
  <c r="B81" i="18"/>
  <c r="B82" i="18"/>
  <c r="B83" i="18"/>
  <c r="B84" i="18"/>
  <c r="B85" i="18"/>
  <c r="B86" i="18"/>
  <c r="B87" i="18"/>
  <c r="B88" i="18"/>
  <c r="B89" i="18"/>
  <c r="B90" i="18"/>
  <c r="B91" i="18"/>
  <c r="B92" i="18"/>
  <c r="B93" i="18"/>
  <c r="B94" i="18"/>
  <c r="B95" i="18"/>
  <c r="B96" i="18"/>
  <c r="B97" i="18"/>
  <c r="B98" i="18"/>
  <c r="B99" i="18"/>
  <c r="B100" i="18"/>
  <c r="B101" i="18"/>
  <c r="B102" i="18"/>
  <c r="B103" i="18"/>
  <c r="B104" i="18"/>
  <c r="B105" i="18"/>
  <c r="B106" i="18"/>
  <c r="B107" i="18"/>
  <c r="B108" i="18"/>
  <c r="B109" i="18"/>
  <c r="B110" i="18"/>
  <c r="B111" i="18"/>
  <c r="B112" i="18"/>
  <c r="B113" i="18"/>
  <c r="B114" i="18"/>
  <c r="B115" i="18"/>
  <c r="B116" i="18"/>
  <c r="B117" i="18"/>
  <c r="B118" i="18"/>
  <c r="B119" i="18"/>
  <c r="B120" i="18"/>
  <c r="B121" i="18"/>
  <c r="B122" i="18"/>
  <c r="B123" i="18"/>
  <c r="B124" i="18"/>
  <c r="B125" i="18"/>
  <c r="B126" i="18"/>
  <c r="B127" i="18"/>
  <c r="B128" i="18"/>
  <c r="B129" i="18"/>
  <c r="B130" i="18"/>
  <c r="B131" i="18"/>
  <c r="B132" i="18"/>
  <c r="B133" i="18"/>
  <c r="B134" i="18"/>
  <c r="B135" i="18"/>
  <c r="B136" i="18"/>
  <c r="B137" i="18"/>
  <c r="B138" i="18"/>
  <c r="B149" i="18"/>
  <c r="B163" i="18"/>
  <c r="B170" i="18"/>
  <c r="B172" i="18"/>
  <c r="B173" i="18"/>
  <c r="B174" i="18"/>
  <c r="B175" i="18"/>
  <c r="B176" i="18"/>
  <c r="B177" i="18"/>
  <c r="B178" i="18"/>
  <c r="B179" i="18"/>
  <c r="B184" i="18"/>
  <c r="B220" i="18"/>
  <c r="B221" i="18"/>
  <c r="B222" i="18"/>
  <c r="B223" i="18"/>
  <c r="B224" i="18"/>
  <c r="B225" i="18"/>
  <c r="B226" i="18"/>
  <c r="B227" i="18"/>
  <c r="B228" i="18"/>
  <c r="B229" i="18"/>
  <c r="B230" i="18"/>
  <c r="B231" i="18"/>
  <c r="B232" i="18"/>
  <c r="B233" i="18"/>
  <c r="B234" i="18"/>
  <c r="B235" i="18"/>
  <c r="B332" i="18"/>
  <c r="B398" i="18"/>
  <c r="B541" i="18"/>
  <c r="AG2" i="13" l="1"/>
  <c r="B243" i="2" s="1"/>
  <c r="AB7" i="13" l="1"/>
  <c r="K722" i="15" l="1"/>
  <c r="K723" i="15"/>
  <c r="K724" i="15"/>
  <c r="K725" i="15"/>
  <c r="K726" i="15"/>
  <c r="K727" i="15"/>
  <c r="K728" i="15"/>
  <c r="K729" i="15"/>
  <c r="K730" i="15"/>
  <c r="K731" i="15"/>
  <c r="K732" i="15"/>
  <c r="K733" i="15"/>
  <c r="K734" i="15"/>
  <c r="K735" i="15"/>
  <c r="K736" i="15"/>
  <c r="K737" i="15"/>
  <c r="K738" i="15"/>
  <c r="K739" i="15"/>
  <c r="K740" i="15"/>
  <c r="K741" i="15"/>
  <c r="K742" i="15"/>
  <c r="K743" i="15"/>
  <c r="K744" i="15"/>
  <c r="K745" i="15"/>
  <c r="K746" i="15"/>
  <c r="K747" i="15"/>
  <c r="K748" i="15"/>
  <c r="K749" i="15"/>
  <c r="K750" i="15"/>
  <c r="K751" i="15"/>
  <c r="K752" i="15"/>
  <c r="K753" i="15"/>
  <c r="K754" i="15"/>
  <c r="K755" i="15"/>
  <c r="K756" i="15"/>
  <c r="K757" i="15"/>
  <c r="K758" i="15"/>
  <c r="K759" i="15"/>
  <c r="K760" i="15"/>
  <c r="K761" i="15"/>
  <c r="K762" i="15"/>
  <c r="K763" i="15"/>
  <c r="K764" i="15"/>
  <c r="K765" i="15"/>
  <c r="K766" i="15"/>
  <c r="K767" i="15"/>
  <c r="K768" i="15"/>
  <c r="K769" i="15"/>
  <c r="K770" i="15"/>
  <c r="K771" i="15"/>
  <c r="K772" i="15"/>
  <c r="K773" i="15"/>
  <c r="K774" i="15"/>
  <c r="K775" i="15"/>
  <c r="K776" i="15"/>
  <c r="K777" i="15"/>
  <c r="K778" i="15"/>
  <c r="K779" i="15"/>
  <c r="K780" i="15"/>
  <c r="K781" i="15"/>
  <c r="K782" i="15"/>
  <c r="K783" i="15"/>
  <c r="K784" i="15"/>
  <c r="K785" i="15"/>
  <c r="K786" i="15"/>
  <c r="K787" i="15"/>
  <c r="K788" i="15"/>
  <c r="K789" i="15"/>
  <c r="K790" i="15"/>
  <c r="K791" i="15"/>
  <c r="K792" i="15"/>
  <c r="K793" i="15"/>
  <c r="K794" i="15"/>
  <c r="K795" i="15"/>
  <c r="K796" i="15"/>
  <c r="K797" i="15"/>
  <c r="K798" i="15"/>
  <c r="K799" i="15"/>
  <c r="K800" i="15"/>
  <c r="K801" i="15"/>
  <c r="K802" i="15"/>
  <c r="K803" i="15"/>
  <c r="K804" i="15"/>
  <c r="K805" i="15"/>
  <c r="K806" i="15"/>
  <c r="K807" i="15"/>
  <c r="K808" i="15"/>
  <c r="K809" i="15"/>
  <c r="K810" i="15"/>
  <c r="K811" i="15"/>
  <c r="K812" i="15"/>
  <c r="K813" i="15"/>
  <c r="K814" i="15"/>
  <c r="K815" i="15"/>
  <c r="K816" i="15"/>
  <c r="K817" i="15"/>
  <c r="K818" i="15"/>
  <c r="K819" i="15"/>
  <c r="K820" i="15"/>
  <c r="K821" i="15"/>
  <c r="K822" i="15"/>
  <c r="K823" i="15"/>
  <c r="K824" i="15"/>
  <c r="K825" i="15"/>
  <c r="K826" i="15"/>
  <c r="K827" i="15"/>
  <c r="K828" i="15"/>
  <c r="K829" i="15"/>
  <c r="K830" i="15"/>
  <c r="K831" i="15"/>
  <c r="K832" i="15"/>
  <c r="K833" i="15"/>
  <c r="K834" i="15"/>
  <c r="K835" i="15"/>
  <c r="K836" i="15"/>
  <c r="K837" i="15"/>
  <c r="K838" i="15"/>
  <c r="K839" i="15"/>
  <c r="K840" i="15"/>
  <c r="K841" i="15"/>
  <c r="K842" i="15"/>
  <c r="K843" i="15"/>
  <c r="K844" i="15"/>
  <c r="K845" i="15"/>
  <c r="K846" i="15"/>
  <c r="K847" i="15"/>
  <c r="K848" i="15"/>
  <c r="K849" i="15"/>
  <c r="K850" i="15"/>
  <c r="K851" i="15"/>
  <c r="K852" i="15"/>
  <c r="K853" i="15"/>
  <c r="K854" i="15"/>
  <c r="K855" i="15"/>
  <c r="K856" i="15"/>
  <c r="K857" i="15"/>
  <c r="K858" i="15"/>
  <c r="K859" i="15"/>
  <c r="K860" i="15"/>
  <c r="K861" i="15"/>
  <c r="K862" i="15"/>
  <c r="K863" i="15"/>
  <c r="K864" i="15"/>
  <c r="K865" i="15"/>
  <c r="K866" i="15"/>
  <c r="K867" i="15"/>
  <c r="K868" i="15"/>
  <c r="K869" i="15"/>
  <c r="K870" i="15"/>
  <c r="K871" i="15"/>
  <c r="K872" i="15"/>
  <c r="K873" i="15"/>
  <c r="K874" i="15"/>
  <c r="K875" i="15"/>
  <c r="K876" i="15"/>
  <c r="K877" i="15"/>
  <c r="K878" i="15"/>
  <c r="K879" i="15"/>
  <c r="K880" i="15"/>
  <c r="K881" i="15"/>
  <c r="K882" i="15"/>
  <c r="K883" i="15"/>
  <c r="K884" i="15"/>
  <c r="K885" i="15"/>
  <c r="K886" i="15"/>
  <c r="K887" i="15"/>
  <c r="K888" i="15"/>
  <c r="K889" i="15"/>
  <c r="K890" i="15"/>
  <c r="K891" i="15"/>
  <c r="K892" i="15"/>
  <c r="K893" i="15"/>
  <c r="K894" i="15"/>
  <c r="K895" i="15"/>
  <c r="K896" i="15"/>
  <c r="K897" i="15"/>
  <c r="K898" i="15"/>
  <c r="K899" i="15"/>
  <c r="K900" i="15"/>
  <c r="K901" i="15"/>
  <c r="K902" i="15"/>
  <c r="K903" i="15"/>
  <c r="K904" i="15"/>
  <c r="K905" i="15"/>
  <c r="K906" i="15"/>
  <c r="K907" i="15"/>
  <c r="K908" i="15"/>
  <c r="K909" i="15"/>
  <c r="K910" i="15"/>
  <c r="K911" i="15"/>
  <c r="K912" i="15"/>
  <c r="K913" i="15"/>
  <c r="K914" i="15"/>
  <c r="K915" i="15"/>
  <c r="K916" i="15"/>
  <c r="K917" i="15"/>
  <c r="K918" i="15"/>
  <c r="K919" i="15"/>
  <c r="K920" i="15"/>
  <c r="K921" i="15"/>
  <c r="K922" i="15"/>
  <c r="K923" i="15"/>
  <c r="K924" i="15"/>
  <c r="K925" i="15"/>
  <c r="K926" i="15"/>
  <c r="K927" i="15"/>
  <c r="K928" i="15"/>
  <c r="K929" i="15"/>
  <c r="K930" i="15"/>
  <c r="K931" i="15"/>
  <c r="K932" i="15"/>
  <c r="K933" i="15"/>
  <c r="K934" i="15"/>
  <c r="K935" i="15"/>
  <c r="K936" i="15"/>
  <c r="K937" i="15"/>
  <c r="K938" i="15"/>
  <c r="K939" i="15"/>
  <c r="K940" i="15"/>
  <c r="K941" i="15"/>
  <c r="K942" i="15"/>
  <c r="K943" i="15"/>
  <c r="K944" i="15"/>
  <c r="K945" i="15"/>
  <c r="K946" i="15"/>
  <c r="K947" i="15"/>
  <c r="K948" i="15"/>
  <c r="K949" i="15"/>
  <c r="K950" i="15"/>
  <c r="K951" i="15"/>
  <c r="K952" i="15"/>
  <c r="K953" i="15"/>
  <c r="K954" i="15"/>
  <c r="K955" i="15"/>
  <c r="K956" i="15"/>
  <c r="K957" i="15"/>
  <c r="K958" i="15"/>
  <c r="K959" i="15"/>
  <c r="K960" i="15"/>
  <c r="K961" i="15"/>
  <c r="K962" i="15"/>
  <c r="K963" i="15"/>
  <c r="K964" i="15"/>
  <c r="K965" i="15"/>
  <c r="K966" i="15"/>
  <c r="K967" i="15"/>
  <c r="K968" i="15"/>
  <c r="K969" i="15"/>
  <c r="K970" i="15"/>
  <c r="K971" i="15"/>
  <c r="K972" i="15"/>
  <c r="K973" i="15"/>
  <c r="K974" i="15"/>
  <c r="K975" i="15"/>
  <c r="K976" i="15"/>
  <c r="K977" i="15"/>
  <c r="K978" i="15"/>
  <c r="K979" i="15"/>
  <c r="K980" i="15"/>
  <c r="K981" i="15"/>
  <c r="K982" i="15"/>
  <c r="K983" i="15"/>
  <c r="K984" i="15"/>
  <c r="K985" i="15"/>
  <c r="K986" i="15"/>
  <c r="K987" i="15"/>
  <c r="K988" i="15"/>
  <c r="K989" i="15"/>
  <c r="K990" i="15"/>
  <c r="K991" i="15"/>
  <c r="K992" i="15"/>
  <c r="K993" i="15"/>
  <c r="K994" i="15"/>
  <c r="K995" i="15"/>
  <c r="K996" i="15"/>
  <c r="K997" i="15"/>
  <c r="K998" i="15"/>
  <c r="K999" i="15"/>
  <c r="K1000" i="15"/>
  <c r="K1001" i="15"/>
  <c r="K1002" i="15"/>
  <c r="K1003" i="15"/>
  <c r="K1004" i="15"/>
  <c r="K1005" i="15"/>
  <c r="K1006" i="15"/>
  <c r="K1007" i="15"/>
  <c r="K1008" i="15"/>
  <c r="K1009" i="15"/>
  <c r="K1010" i="15"/>
  <c r="K1011" i="15"/>
  <c r="K1012" i="15"/>
  <c r="K1013" i="15"/>
  <c r="K1014" i="15"/>
  <c r="K1015" i="15"/>
  <c r="K1016" i="15"/>
  <c r="K1017" i="15"/>
  <c r="K1018" i="15"/>
  <c r="K1019" i="15"/>
  <c r="K1020" i="15"/>
  <c r="K1021" i="15"/>
  <c r="K1022" i="15"/>
  <c r="K1023" i="15"/>
  <c r="K1024" i="15"/>
  <c r="K1025" i="15"/>
  <c r="K1026" i="15"/>
  <c r="K1027" i="15"/>
  <c r="K1028" i="15"/>
  <c r="K1029" i="15"/>
  <c r="K1030" i="15"/>
  <c r="K1031" i="15"/>
  <c r="K1032" i="15"/>
  <c r="K1033" i="15"/>
  <c r="K1034" i="15"/>
  <c r="K1035" i="15"/>
  <c r="K1036" i="15"/>
  <c r="K1037" i="15"/>
  <c r="K1038" i="15"/>
  <c r="K1039" i="15"/>
  <c r="K1040" i="15"/>
  <c r="K1041" i="15"/>
  <c r="K1042" i="15"/>
  <c r="K1043" i="15"/>
  <c r="K1044" i="15"/>
  <c r="K1045" i="15"/>
  <c r="K1046" i="15"/>
  <c r="K1047" i="15"/>
  <c r="K1048" i="15"/>
  <c r="K1049" i="15"/>
  <c r="K1050" i="15"/>
  <c r="K1051" i="15"/>
  <c r="K1052" i="15"/>
  <c r="K1053" i="15"/>
  <c r="K1054" i="15"/>
  <c r="K1055" i="15"/>
  <c r="K1056" i="15"/>
  <c r="K1057" i="15"/>
  <c r="K1058" i="15"/>
  <c r="K1059" i="15"/>
  <c r="K1060" i="15"/>
  <c r="K1061" i="15"/>
  <c r="K1062" i="15"/>
  <c r="K1063" i="15"/>
  <c r="K1064" i="15"/>
  <c r="K1065" i="15"/>
  <c r="K1066" i="15"/>
  <c r="K1067" i="15"/>
  <c r="K1068" i="15"/>
  <c r="K1069" i="15"/>
  <c r="K1070" i="15"/>
  <c r="K1071" i="15"/>
  <c r="K1072" i="15"/>
  <c r="K1073" i="15"/>
  <c r="K1074" i="15"/>
  <c r="K1075" i="15"/>
  <c r="K1076" i="15"/>
  <c r="K1077" i="15"/>
  <c r="K1078" i="15"/>
  <c r="K1079" i="15"/>
  <c r="K1080" i="15"/>
  <c r="K1081" i="15"/>
  <c r="K1082" i="15"/>
  <c r="K1083" i="15"/>
  <c r="K1084" i="15"/>
  <c r="K1085" i="15"/>
  <c r="K1086" i="15"/>
  <c r="K1087" i="15"/>
  <c r="K1088" i="15"/>
  <c r="K1089" i="15"/>
  <c r="K1090" i="15"/>
  <c r="K1091" i="15"/>
  <c r="K1092" i="15"/>
  <c r="K1093" i="15"/>
  <c r="K1094" i="15"/>
  <c r="K1095" i="15"/>
  <c r="K1096" i="15"/>
  <c r="K1097" i="15"/>
  <c r="K1098" i="15"/>
  <c r="K1099" i="15"/>
  <c r="K1100" i="15"/>
  <c r="K1101" i="15"/>
  <c r="K1102" i="15"/>
  <c r="K1103" i="15"/>
  <c r="K1104" i="15"/>
  <c r="K1105" i="15"/>
  <c r="K1106" i="15"/>
  <c r="K1107" i="15"/>
  <c r="K1108" i="15"/>
  <c r="K1109" i="15"/>
  <c r="K1110" i="15"/>
  <c r="K1111" i="15"/>
  <c r="K1112" i="15"/>
  <c r="K1113" i="15"/>
  <c r="K1114" i="15"/>
  <c r="K1115" i="15"/>
  <c r="K1116" i="15"/>
  <c r="K1117" i="15"/>
  <c r="K1118" i="15"/>
  <c r="K1119" i="15"/>
  <c r="K1120" i="15"/>
  <c r="K1121" i="15"/>
  <c r="K1122" i="15"/>
  <c r="K1123" i="15"/>
  <c r="K1124" i="15"/>
  <c r="K1125" i="15"/>
  <c r="K1126" i="15"/>
  <c r="K1127" i="15"/>
  <c r="K1128" i="15"/>
  <c r="K1129" i="15"/>
  <c r="K1130" i="15"/>
  <c r="K1131" i="15"/>
  <c r="K1132" i="15"/>
  <c r="K1133" i="15"/>
  <c r="K1134" i="15"/>
  <c r="K1135" i="15"/>
  <c r="K1136" i="15"/>
  <c r="K1137" i="15"/>
  <c r="K1138" i="15"/>
  <c r="K1139" i="15"/>
  <c r="K1140" i="15"/>
  <c r="K1141" i="15"/>
  <c r="K1142" i="15"/>
  <c r="K1143" i="15"/>
  <c r="K1144" i="15"/>
  <c r="K1145" i="15"/>
  <c r="K1146" i="15"/>
  <c r="K1147" i="15"/>
  <c r="K1148" i="15"/>
  <c r="K1149" i="15"/>
  <c r="K1150" i="15"/>
  <c r="K1151" i="15"/>
  <c r="K1152" i="15"/>
  <c r="K1153" i="15"/>
  <c r="K1154" i="15"/>
  <c r="K1155" i="15"/>
  <c r="K1156" i="15"/>
  <c r="K1157" i="15"/>
  <c r="K1158" i="15"/>
  <c r="K1159" i="15"/>
  <c r="K1160" i="15"/>
  <c r="K1161" i="15"/>
  <c r="K1162" i="15"/>
  <c r="K1163" i="15"/>
  <c r="K1164" i="15"/>
  <c r="K1165" i="15"/>
  <c r="K1166" i="15"/>
  <c r="K1167" i="15"/>
  <c r="K1168" i="15"/>
  <c r="K1169" i="15"/>
  <c r="K1170" i="15"/>
  <c r="K1171" i="15"/>
  <c r="K1172" i="15"/>
  <c r="K1173" i="15"/>
  <c r="K1174" i="15"/>
  <c r="K1175" i="15"/>
  <c r="K1176" i="15"/>
  <c r="K1177" i="15"/>
  <c r="K1178" i="15"/>
  <c r="K1179" i="15"/>
  <c r="K1180" i="15"/>
  <c r="K1181" i="15"/>
  <c r="K1182" i="15"/>
  <c r="K1183" i="15"/>
  <c r="K1184" i="15"/>
  <c r="K1185" i="15"/>
  <c r="K1186" i="15"/>
  <c r="K1187" i="15"/>
  <c r="K1188" i="15"/>
  <c r="K1189" i="15"/>
  <c r="K1190" i="15"/>
  <c r="K1191" i="15"/>
  <c r="K1192" i="15"/>
  <c r="K1193" i="15"/>
  <c r="K1194" i="15"/>
  <c r="K1195" i="15"/>
  <c r="K1196" i="15"/>
  <c r="K1197" i="15"/>
  <c r="K1198" i="15"/>
  <c r="K1199" i="15"/>
  <c r="K1200" i="15"/>
  <c r="K1201" i="15"/>
  <c r="K1202" i="15"/>
  <c r="K1203" i="15"/>
  <c r="K1204" i="15"/>
  <c r="K1205" i="15"/>
  <c r="K1206" i="15"/>
  <c r="K1207" i="15"/>
  <c r="K1208" i="15"/>
  <c r="K1209" i="15"/>
  <c r="K1210" i="15"/>
  <c r="K1211" i="15"/>
  <c r="K1212" i="15"/>
  <c r="K1213" i="15"/>
  <c r="K1214" i="15"/>
  <c r="K1215" i="15"/>
  <c r="K1216" i="15"/>
  <c r="K1217" i="15"/>
  <c r="K1218" i="15"/>
  <c r="K1219" i="15"/>
  <c r="K1220" i="15"/>
  <c r="K1221" i="15"/>
  <c r="K1222" i="15"/>
  <c r="K1223" i="15"/>
  <c r="K1224" i="15"/>
  <c r="K1225" i="15"/>
  <c r="K1226" i="15"/>
  <c r="K1227" i="15"/>
  <c r="K1228" i="15"/>
  <c r="K1229" i="15"/>
  <c r="K1230" i="15"/>
  <c r="K1231" i="15"/>
  <c r="K1232" i="15"/>
  <c r="K1233" i="15"/>
  <c r="K1234" i="15"/>
  <c r="K1235" i="15"/>
  <c r="K1236" i="15"/>
  <c r="K1237" i="15"/>
  <c r="K1238" i="15"/>
  <c r="K1239" i="15"/>
  <c r="K1240" i="15"/>
  <c r="K1241" i="15"/>
  <c r="K1242" i="15"/>
  <c r="K1243" i="15"/>
  <c r="K1244" i="15"/>
  <c r="K1245" i="15"/>
  <c r="K1246" i="15"/>
  <c r="K1247" i="15"/>
  <c r="K1248" i="15"/>
  <c r="K1249" i="15"/>
  <c r="K1250" i="15"/>
  <c r="K1251" i="15"/>
  <c r="K1252" i="15"/>
  <c r="K1253" i="15"/>
  <c r="K1254" i="15"/>
  <c r="K1255" i="15"/>
  <c r="K1256" i="15"/>
  <c r="K1257" i="15"/>
  <c r="K1258" i="15"/>
  <c r="K1259" i="15"/>
  <c r="K1260" i="15"/>
  <c r="K1261" i="15"/>
  <c r="K1262" i="15"/>
  <c r="K1263" i="15"/>
  <c r="K1264" i="15"/>
  <c r="K1265" i="15"/>
  <c r="K1266" i="15"/>
  <c r="K1267" i="15"/>
  <c r="K1268" i="15"/>
  <c r="K1269" i="15"/>
  <c r="K1270" i="15"/>
  <c r="K1271" i="15"/>
  <c r="K1272" i="15"/>
  <c r="K1273" i="15"/>
  <c r="K1274" i="15"/>
  <c r="K1275" i="15"/>
  <c r="K1276" i="15"/>
  <c r="K1277" i="15"/>
  <c r="K1278" i="15"/>
  <c r="K1279" i="15"/>
  <c r="K1280" i="15"/>
  <c r="K1281" i="15"/>
  <c r="K1282" i="15"/>
  <c r="K1283" i="15"/>
  <c r="K1284" i="15"/>
  <c r="K1285" i="15"/>
  <c r="K1286" i="15"/>
  <c r="K1287" i="15"/>
  <c r="K1288" i="15"/>
  <c r="K1289" i="15"/>
  <c r="K1290" i="15"/>
  <c r="K1291" i="15"/>
  <c r="K1292" i="15"/>
  <c r="K1293" i="15"/>
  <c r="K1294" i="15"/>
  <c r="K1295" i="15"/>
  <c r="K1296" i="15"/>
  <c r="K1297" i="15"/>
  <c r="K1298" i="15"/>
  <c r="K1299" i="15"/>
  <c r="K1300" i="15"/>
  <c r="K1301" i="15"/>
  <c r="K1302" i="15"/>
  <c r="K1303" i="15"/>
  <c r="K1304" i="15"/>
  <c r="K1305" i="15"/>
  <c r="K1306" i="15"/>
  <c r="K1307" i="15"/>
  <c r="K1308" i="15"/>
  <c r="K1309" i="15"/>
  <c r="K1310" i="15"/>
  <c r="K1311" i="15"/>
  <c r="K1312" i="15"/>
  <c r="K1313" i="15"/>
  <c r="K1314" i="15"/>
  <c r="K1315" i="15"/>
  <c r="K1316" i="15"/>
  <c r="K1317" i="15"/>
  <c r="K1318" i="15"/>
  <c r="K1319" i="15"/>
  <c r="K1320" i="15"/>
  <c r="K1321" i="15"/>
  <c r="K1322" i="15"/>
  <c r="K1323" i="15"/>
  <c r="K1324" i="15"/>
  <c r="K1325" i="15"/>
  <c r="K1326" i="15"/>
  <c r="K1327" i="15"/>
  <c r="K1328" i="15"/>
  <c r="K1329" i="15"/>
  <c r="K1330" i="15"/>
  <c r="K1331" i="15"/>
  <c r="K1332" i="15"/>
  <c r="K1333" i="15"/>
  <c r="K1334" i="15"/>
  <c r="K1335" i="15"/>
  <c r="K1336" i="15"/>
  <c r="K1337" i="15"/>
  <c r="K1338" i="15"/>
  <c r="K1339" i="15"/>
  <c r="K1340" i="15"/>
  <c r="K1341" i="15"/>
  <c r="K1342" i="15"/>
  <c r="K1343" i="15"/>
  <c r="K1344" i="15"/>
  <c r="K1345" i="15"/>
  <c r="K1346" i="15"/>
  <c r="K1347" i="15"/>
  <c r="K1348" i="15"/>
  <c r="K1349" i="15"/>
  <c r="K1350" i="15"/>
  <c r="K1351" i="15"/>
  <c r="K1352" i="15"/>
  <c r="K1353" i="15"/>
  <c r="K1354" i="15"/>
  <c r="K1355" i="15"/>
  <c r="K1356" i="15"/>
  <c r="K1357" i="15"/>
  <c r="K1358" i="15"/>
  <c r="K1359" i="15"/>
  <c r="K1360" i="15"/>
  <c r="K1361" i="15"/>
  <c r="K1362" i="15"/>
  <c r="K1363" i="15"/>
  <c r="K1364" i="15"/>
  <c r="K1365" i="15"/>
  <c r="K1366" i="15"/>
  <c r="K1367" i="15"/>
  <c r="K1368" i="15"/>
  <c r="K1369" i="15"/>
  <c r="K1370" i="15"/>
  <c r="K1371" i="15"/>
  <c r="K1372" i="15"/>
  <c r="K1373" i="15"/>
  <c r="K1374" i="15"/>
  <c r="K1375" i="15"/>
  <c r="K1376" i="15"/>
  <c r="K1377" i="15"/>
  <c r="K1378" i="15"/>
  <c r="K1379" i="15"/>
  <c r="K1380" i="15"/>
  <c r="K1381" i="15"/>
  <c r="K1382" i="15"/>
  <c r="K1383" i="15"/>
  <c r="K1384" i="15"/>
  <c r="K1385" i="15"/>
  <c r="K1386" i="15"/>
  <c r="K1387" i="15"/>
  <c r="K1388" i="15"/>
  <c r="K1389" i="15"/>
  <c r="K1390" i="15"/>
  <c r="K1391" i="15"/>
  <c r="K1392" i="15"/>
  <c r="K1393" i="15"/>
  <c r="K1394" i="15"/>
  <c r="K1395" i="15"/>
  <c r="K1396" i="15"/>
  <c r="K1397" i="15"/>
  <c r="K1398" i="15"/>
  <c r="K1399" i="15"/>
  <c r="K1400" i="15"/>
  <c r="K1401" i="15"/>
  <c r="K1402" i="15"/>
  <c r="K1403" i="15"/>
  <c r="K1404" i="15"/>
  <c r="K1405" i="15"/>
  <c r="K1406" i="15"/>
  <c r="K1407" i="15"/>
  <c r="K1408" i="15"/>
  <c r="K1409" i="15"/>
  <c r="K1410" i="15"/>
  <c r="K1411" i="15"/>
  <c r="K1412" i="15"/>
  <c r="K1413" i="15"/>
  <c r="K1414" i="15"/>
  <c r="K1415" i="15"/>
  <c r="K1416" i="15"/>
  <c r="K1417" i="15"/>
  <c r="K1418" i="15"/>
  <c r="K1419" i="15"/>
  <c r="K1420" i="15"/>
  <c r="K1421" i="15"/>
  <c r="K1422" i="15"/>
  <c r="K1423" i="15"/>
  <c r="K1424" i="15"/>
  <c r="K1425" i="15"/>
  <c r="K1426" i="15"/>
  <c r="K1427" i="15"/>
  <c r="K1428" i="15"/>
  <c r="K1429" i="15"/>
  <c r="K1430" i="15"/>
  <c r="K1431" i="15"/>
  <c r="K1432" i="15"/>
  <c r="K1433" i="15"/>
  <c r="K1434" i="15"/>
  <c r="K1435" i="15"/>
  <c r="K1436" i="15"/>
  <c r="K1437" i="15"/>
  <c r="K1438" i="15"/>
  <c r="K1439" i="15"/>
  <c r="K1440" i="15"/>
  <c r="K1441" i="15"/>
  <c r="K1442" i="15"/>
  <c r="K1443" i="15"/>
  <c r="K1444" i="15"/>
  <c r="K1445" i="15"/>
  <c r="K1446" i="15"/>
  <c r="K1447" i="15"/>
  <c r="K1448" i="15"/>
  <c r="K1449" i="15"/>
  <c r="K1450" i="15"/>
  <c r="K1451" i="15"/>
  <c r="K1452" i="15"/>
  <c r="K1453" i="15"/>
  <c r="K1454" i="15"/>
  <c r="K1455" i="15"/>
  <c r="K1456" i="15"/>
  <c r="K1457" i="15"/>
  <c r="K1458" i="15"/>
  <c r="K1459" i="15"/>
  <c r="K1460" i="15"/>
  <c r="K1461" i="15"/>
  <c r="K1462" i="15"/>
  <c r="K1463" i="15"/>
  <c r="K1464" i="15"/>
  <c r="K1465" i="15"/>
  <c r="K1466" i="15"/>
  <c r="K1467" i="15"/>
  <c r="K1468" i="15"/>
  <c r="K1469" i="15"/>
  <c r="K1470" i="15"/>
  <c r="K1471" i="15"/>
  <c r="K1472" i="15"/>
  <c r="K1473" i="15"/>
  <c r="K1474" i="15"/>
  <c r="K1475" i="15"/>
  <c r="K1476" i="15"/>
  <c r="K1477" i="15"/>
  <c r="K1478" i="15"/>
  <c r="K1479" i="15"/>
  <c r="K1480" i="15"/>
  <c r="K1481" i="15"/>
  <c r="K1482" i="15"/>
  <c r="K1483" i="15"/>
  <c r="K1484" i="15"/>
  <c r="K1485" i="15"/>
  <c r="K1486" i="15"/>
  <c r="K1487" i="15"/>
  <c r="K1488" i="15"/>
  <c r="K1489" i="15"/>
  <c r="K1490" i="15"/>
  <c r="K1491" i="15"/>
  <c r="K1492" i="15"/>
  <c r="K1493" i="15"/>
  <c r="K1494" i="15"/>
  <c r="K1495" i="15"/>
  <c r="K1496" i="15"/>
  <c r="K1497" i="15"/>
  <c r="K1498" i="15"/>
  <c r="K1499" i="15"/>
  <c r="K1500" i="15"/>
  <c r="K1501" i="15"/>
  <c r="K1502" i="15"/>
  <c r="K1503" i="15"/>
  <c r="K1504" i="15"/>
  <c r="K1505" i="15"/>
  <c r="K1506" i="15"/>
  <c r="K1507" i="15"/>
  <c r="K1508" i="15"/>
  <c r="K1509" i="15"/>
  <c r="K1510" i="15"/>
  <c r="K1511" i="15"/>
  <c r="K1512" i="15"/>
  <c r="K1513" i="15"/>
  <c r="J722" i="15"/>
  <c r="J723" i="15"/>
  <c r="J724" i="15"/>
  <c r="J725" i="15"/>
  <c r="J726" i="15"/>
  <c r="J727" i="15"/>
  <c r="J728" i="15"/>
  <c r="J729" i="15"/>
  <c r="J730" i="15"/>
  <c r="J731" i="15"/>
  <c r="J732" i="15"/>
  <c r="J733" i="15"/>
  <c r="J734" i="15"/>
  <c r="J735" i="15"/>
  <c r="J736" i="15"/>
  <c r="J737" i="15"/>
  <c r="J738" i="15"/>
  <c r="J739" i="15"/>
  <c r="J740" i="15"/>
  <c r="J741" i="15"/>
  <c r="J742" i="15"/>
  <c r="J743" i="15"/>
  <c r="J744" i="15"/>
  <c r="J745" i="15"/>
  <c r="J746" i="15"/>
  <c r="J747" i="15"/>
  <c r="J748" i="15"/>
  <c r="J749" i="15"/>
  <c r="J750" i="15"/>
  <c r="J751" i="15"/>
  <c r="J752" i="15"/>
  <c r="J753" i="15"/>
  <c r="J754" i="15"/>
  <c r="J755" i="15"/>
  <c r="J756" i="15"/>
  <c r="J757" i="15"/>
  <c r="J758" i="15"/>
  <c r="J759" i="15"/>
  <c r="J760" i="15"/>
  <c r="J761" i="15"/>
  <c r="J762" i="15"/>
  <c r="J763" i="15"/>
  <c r="J764" i="15"/>
  <c r="J765" i="15"/>
  <c r="J766" i="15"/>
  <c r="J767" i="15"/>
  <c r="J768" i="15"/>
  <c r="J769" i="15"/>
  <c r="J770" i="15"/>
  <c r="J771" i="15"/>
  <c r="J772" i="15"/>
  <c r="J773" i="15"/>
  <c r="J774" i="15"/>
  <c r="J775" i="15"/>
  <c r="J776" i="15"/>
  <c r="J777" i="15"/>
  <c r="J778" i="15"/>
  <c r="J779" i="15"/>
  <c r="J780" i="15"/>
  <c r="J781" i="15"/>
  <c r="J782" i="15"/>
  <c r="J783" i="15"/>
  <c r="J784" i="15"/>
  <c r="J785" i="15"/>
  <c r="J786" i="15"/>
  <c r="J787" i="15"/>
  <c r="J788" i="15"/>
  <c r="J789" i="15"/>
  <c r="J790" i="15"/>
  <c r="J791" i="15"/>
  <c r="J792" i="15"/>
  <c r="J793" i="15"/>
  <c r="J794" i="15"/>
  <c r="J795" i="15"/>
  <c r="J796" i="15"/>
  <c r="J797" i="15"/>
  <c r="J798" i="15"/>
  <c r="J799" i="15"/>
  <c r="J800" i="15"/>
  <c r="J801" i="15"/>
  <c r="J802" i="15"/>
  <c r="J803" i="15"/>
  <c r="J804" i="15"/>
  <c r="J805" i="15"/>
  <c r="J806" i="15"/>
  <c r="J807" i="15"/>
  <c r="J808" i="15"/>
  <c r="J809" i="15"/>
  <c r="J810" i="15"/>
  <c r="J811" i="15"/>
  <c r="J812" i="15"/>
  <c r="J813" i="15"/>
  <c r="J814" i="15"/>
  <c r="J815" i="15"/>
  <c r="J816" i="15"/>
  <c r="J817" i="15"/>
  <c r="J818" i="15"/>
  <c r="J819" i="15"/>
  <c r="J820" i="15"/>
  <c r="J821" i="15"/>
  <c r="J822" i="15"/>
  <c r="J823" i="15"/>
  <c r="J824" i="15"/>
  <c r="J825" i="15"/>
  <c r="J826" i="15"/>
  <c r="J827" i="15"/>
  <c r="J828" i="15"/>
  <c r="J829" i="15"/>
  <c r="J830" i="15"/>
  <c r="J831" i="15"/>
  <c r="J832" i="15"/>
  <c r="J833" i="15"/>
  <c r="J834" i="15"/>
  <c r="J835" i="15"/>
  <c r="J836" i="15"/>
  <c r="J837" i="15"/>
  <c r="J838" i="15"/>
  <c r="J839" i="15"/>
  <c r="J840" i="15"/>
  <c r="J841" i="15"/>
  <c r="J842" i="15"/>
  <c r="J843" i="15"/>
  <c r="J844" i="15"/>
  <c r="J845" i="15"/>
  <c r="J846" i="15"/>
  <c r="J847" i="15"/>
  <c r="J848" i="15"/>
  <c r="J849" i="15"/>
  <c r="J850" i="15"/>
  <c r="J851" i="15"/>
  <c r="J852" i="15"/>
  <c r="J853" i="15"/>
  <c r="J854" i="15"/>
  <c r="J855" i="15"/>
  <c r="J856" i="15"/>
  <c r="J857" i="15"/>
  <c r="J858" i="15"/>
  <c r="J859" i="15"/>
  <c r="J860" i="15"/>
  <c r="J861" i="15"/>
  <c r="J862" i="15"/>
  <c r="J863" i="15"/>
  <c r="J864" i="15"/>
  <c r="J865" i="15"/>
  <c r="J866" i="15"/>
  <c r="J867" i="15"/>
  <c r="J868" i="15"/>
  <c r="J869" i="15"/>
  <c r="J870" i="15"/>
  <c r="J871" i="15"/>
  <c r="J872" i="15"/>
  <c r="J873" i="15"/>
  <c r="J874" i="15"/>
  <c r="J875" i="15"/>
  <c r="J876" i="15"/>
  <c r="J877" i="15"/>
  <c r="J878" i="15"/>
  <c r="J879" i="15"/>
  <c r="J880" i="15"/>
  <c r="J881" i="15"/>
  <c r="J882" i="15"/>
  <c r="J883" i="15"/>
  <c r="J884" i="15"/>
  <c r="J885" i="15"/>
  <c r="J886" i="15"/>
  <c r="J887" i="15"/>
  <c r="J888" i="15"/>
  <c r="J889" i="15"/>
  <c r="J890" i="15"/>
  <c r="J891" i="15"/>
  <c r="J892" i="15"/>
  <c r="J893" i="15"/>
  <c r="J894" i="15"/>
  <c r="J895" i="15"/>
  <c r="J896" i="15"/>
  <c r="J897" i="15"/>
  <c r="J898" i="15"/>
  <c r="J899" i="15"/>
  <c r="J900" i="15"/>
  <c r="J901" i="15"/>
  <c r="J902" i="15"/>
  <c r="J903" i="15"/>
  <c r="J904" i="15"/>
  <c r="J905" i="15"/>
  <c r="J906" i="15"/>
  <c r="J907" i="15"/>
  <c r="J908" i="15"/>
  <c r="J909" i="15"/>
  <c r="J910" i="15"/>
  <c r="J911" i="15"/>
  <c r="J912" i="15"/>
  <c r="J913" i="15"/>
  <c r="J914" i="15"/>
  <c r="J915" i="15"/>
  <c r="J916" i="15"/>
  <c r="J917" i="15"/>
  <c r="J918" i="15"/>
  <c r="J919" i="15"/>
  <c r="J920" i="15"/>
  <c r="J921" i="15"/>
  <c r="J922" i="15"/>
  <c r="J923" i="15"/>
  <c r="J924" i="15"/>
  <c r="J925" i="15"/>
  <c r="J926" i="15"/>
  <c r="J927" i="15"/>
  <c r="J928" i="15"/>
  <c r="J929" i="15"/>
  <c r="J930" i="15"/>
  <c r="J931" i="15"/>
  <c r="J932" i="15"/>
  <c r="J933" i="15"/>
  <c r="J934" i="15"/>
  <c r="J935" i="15"/>
  <c r="J936" i="15"/>
  <c r="J937" i="15"/>
  <c r="J938" i="15"/>
  <c r="J939" i="15"/>
  <c r="J940" i="15"/>
  <c r="J941" i="15"/>
  <c r="J942" i="15"/>
  <c r="J943" i="15"/>
  <c r="J944" i="15"/>
  <c r="J945" i="15"/>
  <c r="J946" i="15"/>
  <c r="J947" i="15"/>
  <c r="J948" i="15"/>
  <c r="J949" i="15"/>
  <c r="J950" i="15"/>
  <c r="J951" i="15"/>
  <c r="J952" i="15"/>
  <c r="J953" i="15"/>
  <c r="J954" i="15"/>
  <c r="J955" i="15"/>
  <c r="J956" i="15"/>
  <c r="J957" i="15"/>
  <c r="J958" i="15"/>
  <c r="J959" i="15"/>
  <c r="J960" i="15"/>
  <c r="J961" i="15"/>
  <c r="J962" i="15"/>
  <c r="J963" i="15"/>
  <c r="J964" i="15"/>
  <c r="J965" i="15"/>
  <c r="J966" i="15"/>
  <c r="J967" i="15"/>
  <c r="J968" i="15"/>
  <c r="J969" i="15"/>
  <c r="J970" i="15"/>
  <c r="J971" i="15"/>
  <c r="J972" i="15"/>
  <c r="J973" i="15"/>
  <c r="J974" i="15"/>
  <c r="J975" i="15"/>
  <c r="J976" i="15"/>
  <c r="J977" i="15"/>
  <c r="J978" i="15"/>
  <c r="J979" i="15"/>
  <c r="J980" i="15"/>
  <c r="J981" i="15"/>
  <c r="J982" i="15"/>
  <c r="J983" i="15"/>
  <c r="J984" i="15"/>
  <c r="J985" i="15"/>
  <c r="J986" i="15"/>
  <c r="J987" i="15"/>
  <c r="J988" i="15"/>
  <c r="J989" i="15"/>
  <c r="J990" i="15"/>
  <c r="J991" i="15"/>
  <c r="J992" i="15"/>
  <c r="J993" i="15"/>
  <c r="J994" i="15"/>
  <c r="J995" i="15"/>
  <c r="J996" i="15"/>
  <c r="J997" i="15"/>
  <c r="J998" i="15"/>
  <c r="J999" i="15"/>
  <c r="J1000" i="15"/>
  <c r="J1001" i="15"/>
  <c r="J1002" i="15"/>
  <c r="J1003" i="15"/>
  <c r="J1004" i="15"/>
  <c r="J1005" i="15"/>
  <c r="J1006" i="15"/>
  <c r="J1007" i="15"/>
  <c r="J1008" i="15"/>
  <c r="J1009" i="15"/>
  <c r="J1010" i="15"/>
  <c r="J1011" i="15"/>
  <c r="J1012" i="15"/>
  <c r="J1013" i="15"/>
  <c r="J1014" i="15"/>
  <c r="J1015" i="15"/>
  <c r="J1016" i="15"/>
  <c r="J1017" i="15"/>
  <c r="J1018" i="15"/>
  <c r="J1019" i="15"/>
  <c r="J1020" i="15"/>
  <c r="J1021" i="15"/>
  <c r="J1022" i="15"/>
  <c r="J1023" i="15"/>
  <c r="J1024" i="15"/>
  <c r="J1025" i="15"/>
  <c r="J1026" i="15"/>
  <c r="J1027" i="15"/>
  <c r="J1028" i="15"/>
  <c r="J1029" i="15"/>
  <c r="J1030" i="15"/>
  <c r="J1031" i="15"/>
  <c r="J1032" i="15"/>
  <c r="J1033" i="15"/>
  <c r="J1034" i="15"/>
  <c r="J1035" i="15"/>
  <c r="J1036" i="15"/>
  <c r="J1037" i="15"/>
  <c r="J1038" i="15"/>
  <c r="J1039" i="15"/>
  <c r="J1040" i="15"/>
  <c r="J1041" i="15"/>
  <c r="J1042" i="15"/>
  <c r="J1043" i="15"/>
  <c r="J1044" i="15"/>
  <c r="J1045" i="15"/>
  <c r="J1046" i="15"/>
  <c r="J1047" i="15"/>
  <c r="J1048" i="15"/>
  <c r="J1049" i="15"/>
  <c r="J1050" i="15"/>
  <c r="J1051" i="15"/>
  <c r="J1052" i="15"/>
  <c r="J1053" i="15"/>
  <c r="J1054" i="15"/>
  <c r="J1055" i="15"/>
  <c r="J1056" i="15"/>
  <c r="J1057" i="15"/>
  <c r="J1058" i="15"/>
  <c r="J1059" i="15"/>
  <c r="J1060" i="15"/>
  <c r="J1061" i="15"/>
  <c r="J1062" i="15"/>
  <c r="J1063" i="15"/>
  <c r="J1064" i="15"/>
  <c r="J1065" i="15"/>
  <c r="J1066" i="15"/>
  <c r="J1067" i="15"/>
  <c r="J1068" i="15"/>
  <c r="J1069" i="15"/>
  <c r="J1070" i="15"/>
  <c r="J1071" i="15"/>
  <c r="J1072" i="15"/>
  <c r="J1073" i="15"/>
  <c r="J1074" i="15"/>
  <c r="J1075" i="15"/>
  <c r="J1076" i="15"/>
  <c r="J1077" i="15"/>
  <c r="J1078" i="15"/>
  <c r="J1079" i="15"/>
  <c r="J1080" i="15"/>
  <c r="J1081" i="15"/>
  <c r="J1082" i="15"/>
  <c r="J1083" i="15"/>
  <c r="J1084" i="15"/>
  <c r="J1085" i="15"/>
  <c r="J1086" i="15"/>
  <c r="J1087" i="15"/>
  <c r="J1088" i="15"/>
  <c r="J1089" i="15"/>
  <c r="J1090" i="15"/>
  <c r="J1091" i="15"/>
  <c r="J1092" i="15"/>
  <c r="J1093" i="15"/>
  <c r="J1094" i="15"/>
  <c r="J1095" i="15"/>
  <c r="J1096" i="15"/>
  <c r="J1097" i="15"/>
  <c r="J1098" i="15"/>
  <c r="J1099" i="15"/>
  <c r="J1100" i="15"/>
  <c r="J1101" i="15"/>
  <c r="J1102" i="15"/>
  <c r="J1103" i="15"/>
  <c r="J1104" i="15"/>
  <c r="J1105" i="15"/>
  <c r="J1106" i="15"/>
  <c r="J1107" i="15"/>
  <c r="J1108" i="15"/>
  <c r="J1109" i="15"/>
  <c r="J1110" i="15"/>
  <c r="J1111" i="15"/>
  <c r="J1112" i="15"/>
  <c r="J1113" i="15"/>
  <c r="J1114" i="15"/>
  <c r="J1115" i="15"/>
  <c r="J1116" i="15"/>
  <c r="J1117" i="15"/>
  <c r="J1118" i="15"/>
  <c r="J1119" i="15"/>
  <c r="J1120" i="15"/>
  <c r="J1121" i="15"/>
  <c r="J1122" i="15"/>
  <c r="J1123" i="15"/>
  <c r="J1124" i="15"/>
  <c r="J1125" i="15"/>
  <c r="J1126" i="15"/>
  <c r="J1127" i="15"/>
  <c r="J1128" i="15"/>
  <c r="J1129" i="15"/>
  <c r="J1130" i="15"/>
  <c r="J1131" i="15"/>
  <c r="J1132" i="15"/>
  <c r="J1133" i="15"/>
  <c r="J1134" i="15"/>
  <c r="J1135" i="15"/>
  <c r="J1136" i="15"/>
  <c r="J1137" i="15"/>
  <c r="J1138" i="15"/>
  <c r="J1139" i="15"/>
  <c r="J1140" i="15"/>
  <c r="J1141" i="15"/>
  <c r="J1142" i="15"/>
  <c r="J1143" i="15"/>
  <c r="J1144" i="15"/>
  <c r="J1145" i="15"/>
  <c r="J1146" i="15"/>
  <c r="J1147" i="15"/>
  <c r="J1148" i="15"/>
  <c r="J1149" i="15"/>
  <c r="J1150" i="15"/>
  <c r="J1151" i="15"/>
  <c r="J1152" i="15"/>
  <c r="J1153" i="15"/>
  <c r="J1154" i="15"/>
  <c r="J1155" i="15"/>
  <c r="J1156" i="15"/>
  <c r="J1157" i="15"/>
  <c r="J1158" i="15"/>
  <c r="J1159" i="15"/>
  <c r="J1160" i="15"/>
  <c r="J1161" i="15"/>
  <c r="J1162" i="15"/>
  <c r="J1163" i="15"/>
  <c r="J1164" i="15"/>
  <c r="J1165" i="15"/>
  <c r="J1166" i="15"/>
  <c r="J1167" i="15"/>
  <c r="J1168" i="15"/>
  <c r="J1169" i="15"/>
  <c r="J1170" i="15"/>
  <c r="J1171" i="15"/>
  <c r="J1172" i="15"/>
  <c r="J1173" i="15"/>
  <c r="J1174" i="15"/>
  <c r="J1175" i="15"/>
  <c r="J1176" i="15"/>
  <c r="J1177" i="15"/>
  <c r="J1178" i="15"/>
  <c r="J1179" i="15"/>
  <c r="J1180" i="15"/>
  <c r="J1181" i="15"/>
  <c r="J1182" i="15"/>
  <c r="J1183" i="15"/>
  <c r="J1184" i="15"/>
  <c r="J1185" i="15"/>
  <c r="J1186" i="15"/>
  <c r="J1187" i="15"/>
  <c r="J1188" i="15"/>
  <c r="J1189" i="15"/>
  <c r="J1190" i="15"/>
  <c r="J1191" i="15"/>
  <c r="J1192" i="15"/>
  <c r="J1193" i="15"/>
  <c r="J1194" i="15"/>
  <c r="J1195" i="15"/>
  <c r="J1196" i="15"/>
  <c r="J1197" i="15"/>
  <c r="J1198" i="15"/>
  <c r="J1199" i="15"/>
  <c r="J1200" i="15"/>
  <c r="J1201" i="15"/>
  <c r="J1202" i="15"/>
  <c r="J1203" i="15"/>
  <c r="J1204" i="15"/>
  <c r="J1205" i="15"/>
  <c r="J1206" i="15"/>
  <c r="J1207" i="15"/>
  <c r="J1208" i="15"/>
  <c r="J1209" i="15"/>
  <c r="J1210" i="15"/>
  <c r="J1211" i="15"/>
  <c r="J1212" i="15"/>
  <c r="J1213" i="15"/>
  <c r="J1214" i="15"/>
  <c r="J1215" i="15"/>
  <c r="J1216" i="15"/>
  <c r="J1217" i="15"/>
  <c r="J1218" i="15"/>
  <c r="J1219" i="15"/>
  <c r="J1220" i="15"/>
  <c r="J1221" i="15"/>
  <c r="J1222" i="15"/>
  <c r="J1223" i="15"/>
  <c r="J1224" i="15"/>
  <c r="J1225" i="15"/>
  <c r="J1226" i="15"/>
  <c r="J1227" i="15"/>
  <c r="J1228" i="15"/>
  <c r="J1229" i="15"/>
  <c r="J1230" i="15"/>
  <c r="J1231" i="15"/>
  <c r="J1232" i="15"/>
  <c r="J1233" i="15"/>
  <c r="J1234" i="15"/>
  <c r="J1235" i="15"/>
  <c r="J1236" i="15"/>
  <c r="J1237" i="15"/>
  <c r="J1238" i="15"/>
  <c r="J1239" i="15"/>
  <c r="J1240" i="15"/>
  <c r="J1241" i="15"/>
  <c r="J1242" i="15"/>
  <c r="J1243" i="15"/>
  <c r="J1244" i="15"/>
  <c r="J1245" i="15"/>
  <c r="J1246" i="15"/>
  <c r="J1247" i="15"/>
  <c r="J1248" i="15"/>
  <c r="J1249" i="15"/>
  <c r="J1250" i="15"/>
  <c r="J1251" i="15"/>
  <c r="J1252" i="15"/>
  <c r="J1253" i="15"/>
  <c r="J1254" i="15"/>
  <c r="J1255" i="15"/>
  <c r="J1256" i="15"/>
  <c r="J1257" i="15"/>
  <c r="J1258" i="15"/>
  <c r="J1259" i="15"/>
  <c r="J1260" i="15"/>
  <c r="J1261" i="15"/>
  <c r="J1262" i="15"/>
  <c r="J1263" i="15"/>
  <c r="J1264" i="15"/>
  <c r="J1265" i="15"/>
  <c r="J1266" i="15"/>
  <c r="J1267" i="15"/>
  <c r="J1268" i="15"/>
  <c r="J1269" i="15"/>
  <c r="J1270" i="15"/>
  <c r="J1271" i="15"/>
  <c r="J1272" i="15"/>
  <c r="J1273" i="15"/>
  <c r="J1274" i="15"/>
  <c r="J1275" i="15"/>
  <c r="J1276" i="15"/>
  <c r="J1277" i="15"/>
  <c r="J1278" i="15"/>
  <c r="J1279" i="15"/>
  <c r="J1280" i="15"/>
  <c r="J1281" i="15"/>
  <c r="J1282" i="15"/>
  <c r="J1283" i="15"/>
  <c r="J1284" i="15"/>
  <c r="J1285" i="15"/>
  <c r="J1286" i="15"/>
  <c r="J1287" i="15"/>
  <c r="J1288" i="15"/>
  <c r="J1289" i="15"/>
  <c r="J1290" i="15"/>
  <c r="J1291" i="15"/>
  <c r="J1292" i="15"/>
  <c r="J1293" i="15"/>
  <c r="J1294" i="15"/>
  <c r="J1295" i="15"/>
  <c r="J1296" i="15"/>
  <c r="J1297" i="15"/>
  <c r="J1298" i="15"/>
  <c r="J1299" i="15"/>
  <c r="J1300" i="15"/>
  <c r="J1301" i="15"/>
  <c r="J1302" i="15"/>
  <c r="J1303" i="15"/>
  <c r="J1304" i="15"/>
  <c r="J1305" i="15"/>
  <c r="J1306" i="15"/>
  <c r="J1307" i="15"/>
  <c r="J1308" i="15"/>
  <c r="J1309" i="15"/>
  <c r="J1310" i="15"/>
  <c r="J1311" i="15"/>
  <c r="J1312" i="15"/>
  <c r="J1313" i="15"/>
  <c r="J1314" i="15"/>
  <c r="J1315" i="15"/>
  <c r="J1316" i="15"/>
  <c r="J1317" i="15"/>
  <c r="J1318" i="15"/>
  <c r="J1319" i="15"/>
  <c r="J1320" i="15"/>
  <c r="J1321" i="15"/>
  <c r="J1322" i="15"/>
  <c r="J1323" i="15"/>
  <c r="J1324" i="15"/>
  <c r="J1325" i="15"/>
  <c r="J1326" i="15"/>
  <c r="J1327" i="15"/>
  <c r="J1328" i="15"/>
  <c r="J1329" i="15"/>
  <c r="J1330" i="15"/>
  <c r="J1331" i="15"/>
  <c r="J1332" i="15"/>
  <c r="J1333" i="15"/>
  <c r="J1334" i="15"/>
  <c r="J1335" i="15"/>
  <c r="J1336" i="15"/>
  <c r="J1337" i="15"/>
  <c r="J1338" i="15"/>
  <c r="J1339" i="15"/>
  <c r="J1340" i="15"/>
  <c r="J1341" i="15"/>
  <c r="J1342" i="15"/>
  <c r="J1343" i="15"/>
  <c r="J1344" i="15"/>
  <c r="J1345" i="15"/>
  <c r="J1346" i="15"/>
  <c r="J1347" i="15"/>
  <c r="J1348" i="15"/>
  <c r="J1349" i="15"/>
  <c r="J1350" i="15"/>
  <c r="J1351" i="15"/>
  <c r="J1352" i="15"/>
  <c r="J1353" i="15"/>
  <c r="J1354" i="15"/>
  <c r="J1355" i="15"/>
  <c r="J1356" i="15"/>
  <c r="J1357" i="15"/>
  <c r="J1358" i="15"/>
  <c r="J1359" i="15"/>
  <c r="J1360" i="15"/>
  <c r="J1361" i="15"/>
  <c r="J1362" i="15"/>
  <c r="J1363" i="15"/>
  <c r="J1364" i="15"/>
  <c r="J1365" i="15"/>
  <c r="J1366" i="15"/>
  <c r="J1367" i="15"/>
  <c r="J1368" i="15"/>
  <c r="J1369" i="15"/>
  <c r="J1370" i="15"/>
  <c r="J1371" i="15"/>
  <c r="J1372" i="15"/>
  <c r="J1373" i="15"/>
  <c r="J1374" i="15"/>
  <c r="J1375" i="15"/>
  <c r="J1376" i="15"/>
  <c r="J1377" i="15"/>
  <c r="J1378" i="15"/>
  <c r="J1379" i="15"/>
  <c r="J1380" i="15"/>
  <c r="J1381" i="15"/>
  <c r="J1382" i="15"/>
  <c r="J1383" i="15"/>
  <c r="J1384" i="15"/>
  <c r="J1385" i="15"/>
  <c r="J1386" i="15"/>
  <c r="J1387" i="15"/>
  <c r="J1388" i="15"/>
  <c r="J1389" i="15"/>
  <c r="J1390" i="15"/>
  <c r="J1391" i="15"/>
  <c r="J1392" i="15"/>
  <c r="J1393" i="15"/>
  <c r="J1394" i="15"/>
  <c r="J1395" i="15"/>
  <c r="J1396" i="15"/>
  <c r="J1397" i="15"/>
  <c r="J1398" i="15"/>
  <c r="J1399" i="15"/>
  <c r="J1400" i="15"/>
  <c r="J1401" i="15"/>
  <c r="J1402" i="15"/>
  <c r="J1403" i="15"/>
  <c r="J1404" i="15"/>
  <c r="J1405" i="15"/>
  <c r="J1406" i="15"/>
  <c r="J1407" i="15"/>
  <c r="J1408" i="15"/>
  <c r="J1409" i="15"/>
  <c r="J1410" i="15"/>
  <c r="J1411" i="15"/>
  <c r="J1412" i="15"/>
  <c r="J1413" i="15"/>
  <c r="J1414" i="15"/>
  <c r="J1415" i="15"/>
  <c r="J1416" i="15"/>
  <c r="J1417" i="15"/>
  <c r="J1418" i="15"/>
  <c r="J1419" i="15"/>
  <c r="J1420" i="15"/>
  <c r="J1421" i="15"/>
  <c r="J1422" i="15"/>
  <c r="J1423" i="15"/>
  <c r="J1424" i="15"/>
  <c r="J1425" i="15"/>
  <c r="J1426" i="15"/>
  <c r="J1427" i="15"/>
  <c r="J1428" i="15"/>
  <c r="J1429" i="15"/>
  <c r="J1430" i="15"/>
  <c r="J1431" i="15"/>
  <c r="J1432" i="15"/>
  <c r="J1433" i="15"/>
  <c r="J1434" i="15"/>
  <c r="J1435" i="15"/>
  <c r="J1436" i="15"/>
  <c r="J1437" i="15"/>
  <c r="J1438" i="15"/>
  <c r="J1439" i="15"/>
  <c r="J1440" i="15"/>
  <c r="J1441" i="15"/>
  <c r="J1442" i="15"/>
  <c r="J1443" i="15"/>
  <c r="J1444" i="15"/>
  <c r="J1445" i="15"/>
  <c r="J1446" i="15"/>
  <c r="J1447" i="15"/>
  <c r="J1448" i="15"/>
  <c r="J1449" i="15"/>
  <c r="J1450" i="15"/>
  <c r="J1451" i="15"/>
  <c r="J1452" i="15"/>
  <c r="J1453" i="15"/>
  <c r="J1454" i="15"/>
  <c r="J1455" i="15"/>
  <c r="J1456" i="15"/>
  <c r="J1457" i="15"/>
  <c r="J1458" i="15"/>
  <c r="J1459" i="15"/>
  <c r="J1460" i="15"/>
  <c r="J1461" i="15"/>
  <c r="J1462" i="15"/>
  <c r="J1463" i="15"/>
  <c r="J1464" i="15"/>
  <c r="J1465" i="15"/>
  <c r="J1466" i="15"/>
  <c r="J1467" i="15"/>
  <c r="J1468" i="15"/>
  <c r="J1469" i="15"/>
  <c r="J1470" i="15"/>
  <c r="J1471" i="15"/>
  <c r="J1472" i="15"/>
  <c r="J1473" i="15"/>
  <c r="J1474" i="15"/>
  <c r="J1475" i="15"/>
  <c r="J1476" i="15"/>
  <c r="J1477" i="15"/>
  <c r="J1478" i="15"/>
  <c r="J1479" i="15"/>
  <c r="J1480" i="15"/>
  <c r="J1481" i="15"/>
  <c r="J1482" i="15"/>
  <c r="J1483" i="15"/>
  <c r="J1484" i="15"/>
  <c r="J1485" i="15"/>
  <c r="J1486" i="15"/>
  <c r="J1487" i="15"/>
  <c r="J1488" i="15"/>
  <c r="J1489" i="15"/>
  <c r="J1490" i="15"/>
  <c r="J1491" i="15"/>
  <c r="J1492" i="15"/>
  <c r="J1493" i="15"/>
  <c r="J1494" i="15"/>
  <c r="J1495" i="15"/>
  <c r="J1496" i="15"/>
  <c r="J1497" i="15"/>
  <c r="J1498" i="15"/>
  <c r="J1499" i="15"/>
  <c r="J1500" i="15"/>
  <c r="J1501" i="15"/>
  <c r="J1502" i="15"/>
  <c r="J1503" i="15"/>
  <c r="J1504" i="15"/>
  <c r="J1505" i="15"/>
  <c r="J1506" i="15"/>
  <c r="J1507" i="15"/>
  <c r="J1508" i="15"/>
  <c r="J1509" i="15"/>
  <c r="J1510" i="15"/>
  <c r="J1511" i="15"/>
  <c r="J1512" i="15"/>
  <c r="J1513" i="15"/>
  <c r="D2" i="17" l="1"/>
  <c r="N6" i="17"/>
  <c r="I6" i="17"/>
  <c r="N5" i="17"/>
  <c r="I5" i="17"/>
  <c r="D5" i="17"/>
  <c r="N4" i="17"/>
  <c r="I4" i="17"/>
  <c r="N3" i="17"/>
  <c r="I3" i="17"/>
  <c r="D3" i="17"/>
  <c r="N2" i="17"/>
  <c r="I2" i="17"/>
  <c r="D6" i="17" l="1"/>
  <c r="D4" i="17"/>
  <c r="F5" i="20"/>
  <c r="B4" i="20"/>
  <c r="F3" i="20"/>
  <c r="F50" i="5" l="1"/>
  <c r="F51" i="5"/>
  <c r="F52" i="5"/>
  <c r="F53" i="5"/>
  <c r="F49" i="5"/>
  <c r="F34" i="5" l="1"/>
  <c r="H310" i="2"/>
  <c r="C70" i="19" l="1"/>
  <c r="C57" i="19"/>
  <c r="B4" i="19"/>
  <c r="B1" i="19"/>
  <c r="B3" i="19"/>
  <c r="B5" i="19" s="1"/>
  <c r="B2" i="19"/>
  <c r="AE2" i="13" l="1"/>
  <c r="B311" i="5" s="1"/>
  <c r="J2" i="13"/>
  <c r="K2" i="13"/>
  <c r="L2" i="13"/>
  <c r="M2" i="13"/>
  <c r="N2" i="13"/>
  <c r="O2" i="13"/>
  <c r="H7" i="2"/>
  <c r="J603" i="15" l="1"/>
  <c r="K603" i="15"/>
  <c r="J604" i="15"/>
  <c r="K604" i="15"/>
  <c r="J605" i="15"/>
  <c r="K605" i="15"/>
  <c r="J606" i="15"/>
  <c r="K606" i="15"/>
  <c r="J607" i="15"/>
  <c r="K607" i="15"/>
  <c r="J608" i="15"/>
  <c r="K608" i="15"/>
  <c r="J609" i="15"/>
  <c r="K609" i="15"/>
  <c r="J610" i="15"/>
  <c r="K610" i="15"/>
  <c r="J611" i="15"/>
  <c r="K611" i="15"/>
  <c r="J612" i="15"/>
  <c r="K612" i="15"/>
  <c r="J613" i="15"/>
  <c r="K613" i="15"/>
  <c r="J614" i="15"/>
  <c r="K614" i="15"/>
  <c r="J615" i="15"/>
  <c r="K615" i="15"/>
  <c r="J616" i="15"/>
  <c r="K616" i="15"/>
  <c r="J617" i="15"/>
  <c r="K617" i="15"/>
  <c r="J618" i="15"/>
  <c r="K618" i="15"/>
  <c r="J619" i="15"/>
  <c r="K619" i="15"/>
  <c r="J620" i="15"/>
  <c r="K620" i="15"/>
  <c r="J621" i="15"/>
  <c r="K621" i="15"/>
  <c r="J622" i="15"/>
  <c r="K622" i="15"/>
  <c r="J623" i="15"/>
  <c r="K623" i="15"/>
  <c r="J624" i="15"/>
  <c r="K624" i="15"/>
  <c r="J625" i="15"/>
  <c r="K625" i="15"/>
  <c r="J626" i="15"/>
  <c r="K626" i="15"/>
  <c r="J627" i="15"/>
  <c r="K627" i="15"/>
  <c r="J628" i="15"/>
  <c r="K628" i="15"/>
  <c r="J629" i="15"/>
  <c r="K629" i="15"/>
  <c r="J630" i="15"/>
  <c r="K630" i="15"/>
  <c r="J631" i="15"/>
  <c r="K631" i="15"/>
  <c r="J632" i="15"/>
  <c r="K632" i="15"/>
  <c r="J633" i="15"/>
  <c r="K633" i="15"/>
  <c r="J634" i="15"/>
  <c r="K634" i="15"/>
  <c r="J635" i="15"/>
  <c r="K635" i="15"/>
  <c r="J636" i="15"/>
  <c r="K636" i="15"/>
  <c r="J637" i="15"/>
  <c r="K637" i="15"/>
  <c r="J638" i="15"/>
  <c r="K638" i="15"/>
  <c r="J639" i="15"/>
  <c r="K639" i="15"/>
  <c r="J640" i="15"/>
  <c r="K640" i="15"/>
  <c r="J641" i="15"/>
  <c r="K641" i="15"/>
  <c r="J642" i="15"/>
  <c r="K642" i="15"/>
  <c r="J643" i="15"/>
  <c r="K643" i="15"/>
  <c r="J644" i="15"/>
  <c r="K644" i="15"/>
  <c r="J645" i="15"/>
  <c r="K645" i="15"/>
  <c r="J646" i="15"/>
  <c r="K646" i="15"/>
  <c r="J647" i="15"/>
  <c r="K647" i="15"/>
  <c r="J648" i="15"/>
  <c r="K648" i="15"/>
  <c r="J649" i="15"/>
  <c r="K649" i="15"/>
  <c r="J650" i="15"/>
  <c r="K650" i="15"/>
  <c r="J651" i="15"/>
  <c r="K651" i="15"/>
  <c r="J652" i="15"/>
  <c r="K652" i="15"/>
  <c r="J653" i="15"/>
  <c r="K653" i="15"/>
  <c r="J654" i="15"/>
  <c r="K654" i="15"/>
  <c r="J655" i="15"/>
  <c r="K655" i="15"/>
  <c r="J656" i="15"/>
  <c r="K656" i="15"/>
  <c r="J657" i="15"/>
  <c r="K657" i="15"/>
  <c r="J658" i="15"/>
  <c r="K658" i="15"/>
  <c r="J659" i="15"/>
  <c r="K659" i="15"/>
  <c r="J660" i="15"/>
  <c r="K660" i="15"/>
  <c r="J661" i="15"/>
  <c r="K661" i="15"/>
  <c r="J662" i="15"/>
  <c r="K662" i="15"/>
  <c r="J663" i="15"/>
  <c r="K663" i="15"/>
  <c r="J664" i="15"/>
  <c r="K664" i="15"/>
  <c r="J665" i="15"/>
  <c r="K665" i="15"/>
  <c r="J666" i="15"/>
  <c r="K666" i="15"/>
  <c r="J667" i="15"/>
  <c r="K667" i="15"/>
  <c r="J668" i="15"/>
  <c r="K668" i="15"/>
  <c r="J669" i="15"/>
  <c r="K669" i="15"/>
  <c r="J670" i="15"/>
  <c r="K670" i="15"/>
  <c r="J671" i="15"/>
  <c r="K671" i="15"/>
  <c r="J672" i="15"/>
  <c r="K672" i="15"/>
  <c r="J673" i="15"/>
  <c r="K673" i="15"/>
  <c r="J674" i="15"/>
  <c r="K674" i="15"/>
  <c r="J675" i="15"/>
  <c r="K675" i="15"/>
  <c r="J676" i="15"/>
  <c r="K676" i="15"/>
  <c r="J677" i="15"/>
  <c r="K677" i="15"/>
  <c r="J678" i="15"/>
  <c r="K678" i="15"/>
  <c r="J679" i="15"/>
  <c r="K679" i="15"/>
  <c r="J680" i="15"/>
  <c r="K680" i="15"/>
  <c r="J681" i="15"/>
  <c r="K681" i="15"/>
  <c r="J682" i="15"/>
  <c r="K682" i="15"/>
  <c r="J683" i="15"/>
  <c r="K683" i="15"/>
  <c r="J684" i="15"/>
  <c r="K684" i="15"/>
  <c r="J685" i="15"/>
  <c r="K685" i="15"/>
  <c r="J686" i="15"/>
  <c r="K686" i="15"/>
  <c r="J687" i="15"/>
  <c r="K687" i="15"/>
  <c r="J688" i="15"/>
  <c r="K688" i="15"/>
  <c r="J689" i="15"/>
  <c r="K689" i="15"/>
  <c r="J690" i="15"/>
  <c r="K690" i="15"/>
  <c r="J691" i="15"/>
  <c r="K691" i="15"/>
  <c r="J692" i="15"/>
  <c r="K692" i="15"/>
  <c r="J693" i="15"/>
  <c r="K693" i="15"/>
  <c r="J694" i="15"/>
  <c r="K694" i="15"/>
  <c r="J695" i="15"/>
  <c r="K695" i="15"/>
  <c r="J696" i="15"/>
  <c r="K696" i="15"/>
  <c r="J697" i="15"/>
  <c r="K697" i="15"/>
  <c r="J698" i="15"/>
  <c r="K698" i="15"/>
  <c r="J699" i="15"/>
  <c r="K699" i="15"/>
  <c r="J700" i="15"/>
  <c r="K700" i="15"/>
  <c r="J701" i="15"/>
  <c r="K701" i="15"/>
  <c r="J702" i="15"/>
  <c r="K702" i="15"/>
  <c r="J703" i="15"/>
  <c r="K703" i="15"/>
  <c r="J704" i="15"/>
  <c r="K704" i="15"/>
  <c r="J705" i="15"/>
  <c r="K705" i="15"/>
  <c r="J706" i="15"/>
  <c r="K706" i="15"/>
  <c r="J707" i="15"/>
  <c r="K707" i="15"/>
  <c r="J708" i="15"/>
  <c r="K708" i="15"/>
  <c r="J709" i="15"/>
  <c r="K709" i="15"/>
  <c r="J710" i="15"/>
  <c r="K710" i="15"/>
  <c r="J711" i="15"/>
  <c r="K711" i="15"/>
  <c r="J712" i="15"/>
  <c r="K712" i="15"/>
  <c r="J713" i="15"/>
  <c r="K713" i="15"/>
  <c r="J714" i="15"/>
  <c r="K714" i="15"/>
  <c r="J715" i="15"/>
  <c r="K715" i="15"/>
  <c r="J716" i="15"/>
  <c r="K716" i="15"/>
  <c r="J717" i="15"/>
  <c r="K717" i="15"/>
  <c r="J718" i="15"/>
  <c r="K718" i="15"/>
  <c r="J719" i="15"/>
  <c r="K719" i="15"/>
  <c r="J720" i="15"/>
  <c r="K720" i="15"/>
  <c r="J721" i="15"/>
  <c r="K721" i="15"/>
  <c r="B175" i="2"/>
  <c r="B177" i="2"/>
  <c r="H177" i="2" s="1"/>
  <c r="B180" i="2"/>
  <c r="H180" i="2" s="1"/>
  <c r="B112" i="2"/>
  <c r="H112" i="2" s="1"/>
  <c r="B36" i="2"/>
  <c r="H36" i="2" s="1"/>
  <c r="B110" i="2"/>
  <c r="H110" i="2" s="1"/>
  <c r="B34" i="2"/>
  <c r="H34" i="2" s="1"/>
  <c r="B109" i="2"/>
  <c r="H109" i="2" s="1"/>
  <c r="B33" i="2"/>
  <c r="H33" i="2" s="1"/>
  <c r="B107" i="2"/>
  <c r="B32" i="2"/>
  <c r="H32" i="2" s="1"/>
  <c r="K3" i="15"/>
  <c r="J3" i="15"/>
  <c r="J4" i="15"/>
  <c r="K4" i="15"/>
  <c r="J5" i="15"/>
  <c r="K5" i="15"/>
  <c r="J6" i="15"/>
  <c r="K6" i="15"/>
  <c r="J7" i="15"/>
  <c r="K7" i="15"/>
  <c r="J8" i="15"/>
  <c r="K8" i="15"/>
  <c r="J9" i="15"/>
  <c r="K9" i="15"/>
  <c r="J10" i="15"/>
  <c r="K10" i="15"/>
  <c r="J11" i="15"/>
  <c r="K11" i="15"/>
  <c r="J12" i="15"/>
  <c r="K12" i="15"/>
  <c r="J13" i="15"/>
  <c r="K13" i="15"/>
  <c r="J14" i="15"/>
  <c r="K14" i="15"/>
  <c r="J15" i="15"/>
  <c r="K15" i="15"/>
  <c r="J16" i="15"/>
  <c r="K16" i="15"/>
  <c r="J17" i="15"/>
  <c r="K17" i="15"/>
  <c r="J18" i="15"/>
  <c r="K18" i="15"/>
  <c r="J19" i="15"/>
  <c r="K19" i="15"/>
  <c r="J20" i="15"/>
  <c r="K20" i="15"/>
  <c r="J21" i="15"/>
  <c r="K21" i="15"/>
  <c r="J22" i="15"/>
  <c r="K22" i="15"/>
  <c r="J23" i="15"/>
  <c r="K23" i="15"/>
  <c r="J24" i="15"/>
  <c r="K24" i="15"/>
  <c r="J25" i="15"/>
  <c r="K25" i="15"/>
  <c r="J26" i="15"/>
  <c r="K26" i="15"/>
  <c r="J27" i="15"/>
  <c r="K27" i="15"/>
  <c r="J28" i="15"/>
  <c r="K28" i="15"/>
  <c r="J29" i="15"/>
  <c r="K29" i="15"/>
  <c r="J30" i="15"/>
  <c r="K30" i="15"/>
  <c r="J31" i="15"/>
  <c r="K31" i="15"/>
  <c r="J32" i="15"/>
  <c r="K32" i="15"/>
  <c r="J33" i="15"/>
  <c r="K33" i="15"/>
  <c r="J34" i="15"/>
  <c r="K34" i="15"/>
  <c r="J35" i="15"/>
  <c r="K35" i="15"/>
  <c r="J36" i="15"/>
  <c r="K36" i="15"/>
  <c r="J37" i="15"/>
  <c r="K37" i="15"/>
  <c r="J38" i="15"/>
  <c r="K38" i="15"/>
  <c r="J39" i="15"/>
  <c r="K39" i="15"/>
  <c r="J40" i="15"/>
  <c r="K40" i="15"/>
  <c r="J41" i="15"/>
  <c r="K41" i="15"/>
  <c r="J42" i="15"/>
  <c r="K42" i="15"/>
  <c r="J43" i="15"/>
  <c r="K43" i="15"/>
  <c r="J44" i="15"/>
  <c r="K44" i="15"/>
  <c r="J45" i="15"/>
  <c r="K45" i="15"/>
  <c r="J46" i="15"/>
  <c r="K46" i="15"/>
  <c r="J47" i="15"/>
  <c r="K47" i="15"/>
  <c r="J48" i="15"/>
  <c r="K48" i="15"/>
  <c r="J49" i="15"/>
  <c r="K49" i="15"/>
  <c r="J50" i="15"/>
  <c r="K50" i="15"/>
  <c r="J51" i="15"/>
  <c r="K51" i="15"/>
  <c r="J52" i="15"/>
  <c r="K52" i="15"/>
  <c r="J53" i="15"/>
  <c r="K53" i="15"/>
  <c r="J54" i="15"/>
  <c r="K54" i="15"/>
  <c r="J55" i="15"/>
  <c r="K55" i="15"/>
  <c r="J56" i="15"/>
  <c r="K56" i="15"/>
  <c r="J57" i="15"/>
  <c r="K57" i="15"/>
  <c r="J58" i="15"/>
  <c r="K58" i="15"/>
  <c r="J59" i="15"/>
  <c r="K59" i="15"/>
  <c r="J60" i="15"/>
  <c r="K60" i="15"/>
  <c r="J61" i="15"/>
  <c r="K61" i="15"/>
  <c r="J62" i="15"/>
  <c r="K62" i="15"/>
  <c r="J63" i="15"/>
  <c r="K63" i="15"/>
  <c r="J64" i="15"/>
  <c r="K64" i="15"/>
  <c r="J65" i="15"/>
  <c r="K65" i="15"/>
  <c r="J66" i="15"/>
  <c r="K66" i="15"/>
  <c r="J67" i="15"/>
  <c r="K67" i="15"/>
  <c r="J68" i="15"/>
  <c r="K68" i="15"/>
  <c r="J69" i="15"/>
  <c r="K69" i="15"/>
  <c r="J70" i="15"/>
  <c r="K70" i="15"/>
  <c r="J71" i="15"/>
  <c r="K71" i="15"/>
  <c r="J72" i="15"/>
  <c r="K72" i="15"/>
  <c r="J73" i="15"/>
  <c r="K73" i="15"/>
  <c r="J74" i="15"/>
  <c r="K74" i="15"/>
  <c r="J75" i="15"/>
  <c r="K75" i="15"/>
  <c r="J76" i="15"/>
  <c r="K76" i="15"/>
  <c r="J77" i="15"/>
  <c r="K77" i="15"/>
  <c r="J78" i="15"/>
  <c r="K78" i="15"/>
  <c r="J79" i="15"/>
  <c r="K79" i="15"/>
  <c r="J80" i="15"/>
  <c r="K80" i="15"/>
  <c r="J81" i="15"/>
  <c r="K81" i="15"/>
  <c r="J82" i="15"/>
  <c r="K82" i="15"/>
  <c r="J83" i="15"/>
  <c r="K83" i="15"/>
  <c r="J84" i="15"/>
  <c r="K84" i="15"/>
  <c r="J85" i="15"/>
  <c r="K85" i="15"/>
  <c r="J86" i="15"/>
  <c r="K86" i="15"/>
  <c r="J87" i="15"/>
  <c r="K87" i="15"/>
  <c r="J88" i="15"/>
  <c r="K88" i="15"/>
  <c r="J89" i="15"/>
  <c r="K89" i="15"/>
  <c r="J90" i="15"/>
  <c r="K90" i="15"/>
  <c r="J91" i="15"/>
  <c r="K91" i="15"/>
  <c r="J92" i="15"/>
  <c r="K92" i="15"/>
  <c r="J93" i="15"/>
  <c r="K93" i="15"/>
  <c r="J94" i="15"/>
  <c r="K94" i="15"/>
  <c r="J95" i="15"/>
  <c r="K95" i="15"/>
  <c r="J96" i="15"/>
  <c r="K96" i="15"/>
  <c r="J97" i="15"/>
  <c r="K97" i="15"/>
  <c r="J98" i="15"/>
  <c r="K98" i="15"/>
  <c r="J99" i="15"/>
  <c r="K99" i="15"/>
  <c r="J100" i="15"/>
  <c r="K100" i="15"/>
  <c r="J101" i="15"/>
  <c r="K101" i="15"/>
  <c r="J102" i="15"/>
  <c r="K102" i="15"/>
  <c r="J103" i="15"/>
  <c r="K103" i="15"/>
  <c r="J104" i="15"/>
  <c r="K104" i="15"/>
  <c r="J105" i="15"/>
  <c r="K105" i="15"/>
  <c r="J106" i="15"/>
  <c r="K106" i="15"/>
  <c r="J107" i="15"/>
  <c r="K107" i="15"/>
  <c r="J108" i="15"/>
  <c r="K108" i="15"/>
  <c r="J109" i="15"/>
  <c r="K109" i="15"/>
  <c r="J110" i="15"/>
  <c r="K110" i="15"/>
  <c r="J111" i="15"/>
  <c r="K111" i="15"/>
  <c r="J112" i="15"/>
  <c r="K112" i="15"/>
  <c r="J113" i="15"/>
  <c r="K113" i="15"/>
  <c r="J114" i="15"/>
  <c r="K114" i="15"/>
  <c r="J115" i="15"/>
  <c r="K115" i="15"/>
  <c r="J116" i="15"/>
  <c r="K116" i="15"/>
  <c r="J117" i="15"/>
  <c r="K117" i="15"/>
  <c r="J118" i="15"/>
  <c r="K118" i="15"/>
  <c r="J119" i="15"/>
  <c r="K119" i="15"/>
  <c r="J120" i="15"/>
  <c r="K120" i="15"/>
  <c r="J121" i="15"/>
  <c r="K121" i="15"/>
  <c r="J122" i="15"/>
  <c r="K122" i="15"/>
  <c r="J123" i="15"/>
  <c r="K123" i="15"/>
  <c r="J124" i="15"/>
  <c r="K124" i="15"/>
  <c r="J125" i="15"/>
  <c r="K125" i="15"/>
  <c r="J126" i="15"/>
  <c r="K126" i="15"/>
  <c r="J127" i="15"/>
  <c r="K127" i="15"/>
  <c r="J128" i="15"/>
  <c r="K128" i="15"/>
  <c r="J129" i="15"/>
  <c r="K129" i="15"/>
  <c r="J130" i="15"/>
  <c r="K130" i="15"/>
  <c r="J131" i="15"/>
  <c r="K131" i="15"/>
  <c r="J132" i="15"/>
  <c r="K132" i="15"/>
  <c r="J133" i="15"/>
  <c r="K133" i="15"/>
  <c r="J134" i="15"/>
  <c r="K134" i="15"/>
  <c r="J135" i="15"/>
  <c r="K135" i="15"/>
  <c r="J136" i="15"/>
  <c r="K136" i="15"/>
  <c r="J137" i="15"/>
  <c r="K137" i="15"/>
  <c r="J138" i="15"/>
  <c r="K138" i="15"/>
  <c r="J139" i="15"/>
  <c r="K139" i="15"/>
  <c r="J140" i="15"/>
  <c r="K140" i="15"/>
  <c r="J141" i="15"/>
  <c r="K141" i="15"/>
  <c r="J142" i="15"/>
  <c r="K142" i="15"/>
  <c r="J143" i="15"/>
  <c r="K143" i="15"/>
  <c r="J144" i="15"/>
  <c r="K144" i="15"/>
  <c r="J145" i="15"/>
  <c r="K145" i="15"/>
  <c r="J146" i="15"/>
  <c r="K146" i="15"/>
  <c r="J147" i="15"/>
  <c r="K147" i="15"/>
  <c r="J148" i="15"/>
  <c r="K148" i="15"/>
  <c r="J149" i="15"/>
  <c r="K149" i="15"/>
  <c r="J150" i="15"/>
  <c r="K150" i="15"/>
  <c r="J151" i="15"/>
  <c r="K151" i="15"/>
  <c r="J152" i="15"/>
  <c r="K152" i="15"/>
  <c r="J153" i="15"/>
  <c r="K153" i="15"/>
  <c r="J154" i="15"/>
  <c r="K154" i="15"/>
  <c r="J155" i="15"/>
  <c r="K155" i="15"/>
  <c r="J156" i="15"/>
  <c r="K156" i="15"/>
  <c r="J157" i="15"/>
  <c r="K157" i="15"/>
  <c r="J158" i="15"/>
  <c r="K158" i="15"/>
  <c r="J159" i="15"/>
  <c r="K159" i="15"/>
  <c r="J160" i="15"/>
  <c r="K160" i="15"/>
  <c r="J161" i="15"/>
  <c r="K161" i="15"/>
  <c r="J162" i="15"/>
  <c r="K162" i="15"/>
  <c r="J163" i="15"/>
  <c r="K163" i="15"/>
  <c r="J164" i="15"/>
  <c r="K164" i="15"/>
  <c r="J165" i="15"/>
  <c r="K165" i="15"/>
  <c r="J166" i="15"/>
  <c r="K166" i="15"/>
  <c r="J167" i="15"/>
  <c r="K167" i="15"/>
  <c r="J168" i="15"/>
  <c r="K168" i="15"/>
  <c r="J169" i="15"/>
  <c r="K169" i="15"/>
  <c r="J170" i="15"/>
  <c r="K170" i="15"/>
  <c r="J171" i="15"/>
  <c r="K171" i="15"/>
  <c r="J172" i="15"/>
  <c r="K172" i="15"/>
  <c r="J173" i="15"/>
  <c r="K173" i="15"/>
  <c r="J174" i="15"/>
  <c r="K174" i="15"/>
  <c r="J175" i="15"/>
  <c r="K175" i="15"/>
  <c r="J176" i="15"/>
  <c r="K176" i="15"/>
  <c r="J177" i="15"/>
  <c r="K177" i="15"/>
  <c r="J178" i="15"/>
  <c r="K178" i="15"/>
  <c r="J179" i="15"/>
  <c r="K179" i="15"/>
  <c r="J180" i="15"/>
  <c r="K180" i="15"/>
  <c r="J181" i="15"/>
  <c r="K181" i="15"/>
  <c r="J182" i="15"/>
  <c r="K182" i="15"/>
  <c r="J183" i="15"/>
  <c r="K183" i="15"/>
  <c r="J184" i="15"/>
  <c r="K184" i="15"/>
  <c r="J185" i="15"/>
  <c r="K185" i="15"/>
  <c r="J186" i="15"/>
  <c r="K186" i="15"/>
  <c r="J187" i="15"/>
  <c r="K187" i="15"/>
  <c r="J188" i="15"/>
  <c r="K188" i="15"/>
  <c r="J189" i="15"/>
  <c r="K189" i="15"/>
  <c r="J190" i="15"/>
  <c r="K190" i="15"/>
  <c r="J191" i="15"/>
  <c r="K191" i="15"/>
  <c r="J192" i="15"/>
  <c r="K192" i="15"/>
  <c r="J193" i="15"/>
  <c r="K193" i="15"/>
  <c r="J194" i="15"/>
  <c r="K194" i="15"/>
  <c r="J195" i="15"/>
  <c r="K195" i="15"/>
  <c r="J196" i="15"/>
  <c r="K196" i="15"/>
  <c r="J197" i="15"/>
  <c r="K197" i="15"/>
  <c r="J198" i="15"/>
  <c r="K198" i="15"/>
  <c r="J199" i="15"/>
  <c r="K199" i="15"/>
  <c r="J200" i="15"/>
  <c r="K200" i="15"/>
  <c r="J201" i="15"/>
  <c r="K201" i="15"/>
  <c r="J202" i="15"/>
  <c r="K202" i="15"/>
  <c r="J203" i="15"/>
  <c r="K203" i="15"/>
  <c r="J204" i="15"/>
  <c r="K204" i="15"/>
  <c r="J205" i="15"/>
  <c r="K205" i="15"/>
  <c r="J206" i="15"/>
  <c r="K206" i="15"/>
  <c r="J207" i="15"/>
  <c r="K207" i="15"/>
  <c r="J208" i="15"/>
  <c r="K208" i="15"/>
  <c r="J209" i="15"/>
  <c r="K209" i="15"/>
  <c r="J210" i="15"/>
  <c r="K210" i="15"/>
  <c r="J211" i="15"/>
  <c r="K211" i="15"/>
  <c r="J212" i="15"/>
  <c r="K212" i="15"/>
  <c r="J213" i="15"/>
  <c r="K213" i="15"/>
  <c r="J214" i="15"/>
  <c r="K214" i="15"/>
  <c r="J215" i="15"/>
  <c r="K215" i="15"/>
  <c r="J216" i="15"/>
  <c r="K216" i="15"/>
  <c r="J217" i="15"/>
  <c r="K217" i="15"/>
  <c r="J218" i="15"/>
  <c r="K218" i="15"/>
  <c r="J219" i="15"/>
  <c r="K219" i="15"/>
  <c r="J220" i="15"/>
  <c r="K220" i="15"/>
  <c r="J221" i="15"/>
  <c r="K221" i="15"/>
  <c r="J222" i="15"/>
  <c r="K222" i="15"/>
  <c r="J223" i="15"/>
  <c r="K223" i="15"/>
  <c r="J224" i="15"/>
  <c r="K224" i="15"/>
  <c r="J225" i="15"/>
  <c r="K225" i="15"/>
  <c r="J226" i="15"/>
  <c r="K226" i="15"/>
  <c r="J227" i="15"/>
  <c r="K227" i="15"/>
  <c r="J228" i="15"/>
  <c r="K228" i="15"/>
  <c r="J229" i="15"/>
  <c r="K229" i="15"/>
  <c r="J230" i="15"/>
  <c r="K230" i="15"/>
  <c r="J231" i="15"/>
  <c r="K231" i="15"/>
  <c r="J232" i="15"/>
  <c r="K232" i="15"/>
  <c r="J233" i="15"/>
  <c r="K233" i="15"/>
  <c r="J234" i="15"/>
  <c r="K234" i="15"/>
  <c r="J235" i="15"/>
  <c r="K235" i="15"/>
  <c r="J236" i="15"/>
  <c r="K236" i="15"/>
  <c r="J237" i="15"/>
  <c r="K237" i="15"/>
  <c r="J238" i="15"/>
  <c r="K238" i="15"/>
  <c r="J239" i="15"/>
  <c r="K239" i="15"/>
  <c r="J240" i="15"/>
  <c r="K240" i="15"/>
  <c r="J241" i="15"/>
  <c r="K241" i="15"/>
  <c r="J242" i="15"/>
  <c r="K242" i="15"/>
  <c r="J243" i="15"/>
  <c r="K243" i="15"/>
  <c r="J244" i="15"/>
  <c r="K244" i="15"/>
  <c r="J245" i="15"/>
  <c r="K245" i="15"/>
  <c r="J246" i="15"/>
  <c r="K246" i="15"/>
  <c r="J247" i="15"/>
  <c r="K247" i="15"/>
  <c r="J248" i="15"/>
  <c r="K248" i="15"/>
  <c r="J249" i="15"/>
  <c r="K249" i="15"/>
  <c r="J250" i="15"/>
  <c r="K250" i="15"/>
  <c r="J251" i="15"/>
  <c r="K251" i="15"/>
  <c r="J252" i="15"/>
  <c r="K252" i="15"/>
  <c r="J253" i="15"/>
  <c r="K253" i="15"/>
  <c r="J254" i="15"/>
  <c r="K254" i="15"/>
  <c r="J255" i="15"/>
  <c r="K255" i="15"/>
  <c r="J256" i="15"/>
  <c r="K256" i="15"/>
  <c r="J257" i="15"/>
  <c r="K257" i="15"/>
  <c r="J258" i="15"/>
  <c r="K258" i="15"/>
  <c r="J259" i="15"/>
  <c r="K259" i="15"/>
  <c r="J260" i="15"/>
  <c r="K260" i="15"/>
  <c r="J261" i="15"/>
  <c r="K261" i="15"/>
  <c r="J262" i="15"/>
  <c r="K262" i="15"/>
  <c r="J263" i="15"/>
  <c r="K263" i="15"/>
  <c r="J264" i="15"/>
  <c r="K264" i="15"/>
  <c r="J265" i="15"/>
  <c r="K265" i="15"/>
  <c r="J266" i="15"/>
  <c r="K266" i="15"/>
  <c r="J267" i="15"/>
  <c r="K267" i="15"/>
  <c r="J268" i="15"/>
  <c r="K268" i="15"/>
  <c r="J269" i="15"/>
  <c r="K269" i="15"/>
  <c r="J270" i="15"/>
  <c r="K270" i="15"/>
  <c r="J271" i="15"/>
  <c r="K271" i="15"/>
  <c r="J272" i="15"/>
  <c r="K272" i="15"/>
  <c r="J273" i="15"/>
  <c r="K273" i="15"/>
  <c r="J274" i="15"/>
  <c r="K274" i="15"/>
  <c r="J275" i="15"/>
  <c r="K275" i="15"/>
  <c r="J276" i="15"/>
  <c r="K276" i="15"/>
  <c r="J277" i="15"/>
  <c r="K277" i="15"/>
  <c r="J278" i="15"/>
  <c r="K278" i="15"/>
  <c r="J279" i="15"/>
  <c r="K279" i="15"/>
  <c r="J280" i="15"/>
  <c r="K280" i="15"/>
  <c r="J281" i="15"/>
  <c r="K281" i="15"/>
  <c r="J282" i="15"/>
  <c r="K282" i="15"/>
  <c r="J283" i="15"/>
  <c r="K283" i="15"/>
  <c r="J284" i="15"/>
  <c r="K284" i="15"/>
  <c r="J285" i="15"/>
  <c r="K285" i="15"/>
  <c r="J286" i="15"/>
  <c r="K286" i="15"/>
  <c r="J287" i="15"/>
  <c r="K287" i="15"/>
  <c r="J288" i="15"/>
  <c r="K288" i="15"/>
  <c r="J289" i="15"/>
  <c r="K289" i="15"/>
  <c r="J290" i="15"/>
  <c r="K290" i="15"/>
  <c r="J291" i="15"/>
  <c r="K291" i="15"/>
  <c r="J292" i="15"/>
  <c r="K292" i="15"/>
  <c r="J293" i="15"/>
  <c r="K293" i="15"/>
  <c r="J294" i="15"/>
  <c r="K294" i="15"/>
  <c r="J295" i="15"/>
  <c r="K295" i="15"/>
  <c r="J296" i="15"/>
  <c r="K296" i="15"/>
  <c r="J297" i="15"/>
  <c r="K297" i="15"/>
  <c r="J298" i="15"/>
  <c r="K298" i="15"/>
  <c r="J299" i="15"/>
  <c r="K299" i="15"/>
  <c r="J300" i="15"/>
  <c r="K300" i="15"/>
  <c r="J301" i="15"/>
  <c r="K301" i="15"/>
  <c r="J302" i="15"/>
  <c r="K302" i="15"/>
  <c r="J303" i="15"/>
  <c r="K303" i="15"/>
  <c r="J304" i="15"/>
  <c r="K304" i="15"/>
  <c r="J305" i="15"/>
  <c r="K305" i="15"/>
  <c r="J306" i="15"/>
  <c r="K306" i="15"/>
  <c r="J307" i="15"/>
  <c r="K307" i="15"/>
  <c r="J308" i="15"/>
  <c r="K308" i="15"/>
  <c r="J309" i="15"/>
  <c r="K309" i="15"/>
  <c r="J310" i="15"/>
  <c r="K310" i="15"/>
  <c r="J311" i="15"/>
  <c r="K311" i="15"/>
  <c r="J312" i="15"/>
  <c r="K312" i="15"/>
  <c r="J313" i="15"/>
  <c r="K313" i="15"/>
  <c r="J314" i="15"/>
  <c r="K314" i="15"/>
  <c r="J315" i="15"/>
  <c r="K315" i="15"/>
  <c r="J316" i="15"/>
  <c r="K316" i="15"/>
  <c r="J317" i="15"/>
  <c r="K317" i="15"/>
  <c r="J318" i="15"/>
  <c r="K318" i="15"/>
  <c r="J319" i="15"/>
  <c r="K319" i="15"/>
  <c r="J320" i="15"/>
  <c r="K320" i="15"/>
  <c r="J321" i="15"/>
  <c r="K321" i="15"/>
  <c r="J322" i="15"/>
  <c r="K322" i="15"/>
  <c r="J323" i="15"/>
  <c r="K323" i="15"/>
  <c r="J324" i="15"/>
  <c r="K324" i="15"/>
  <c r="J325" i="15"/>
  <c r="K325" i="15"/>
  <c r="J326" i="15"/>
  <c r="K326" i="15"/>
  <c r="J327" i="15"/>
  <c r="K327" i="15"/>
  <c r="J328" i="15"/>
  <c r="K328" i="15"/>
  <c r="J329" i="15"/>
  <c r="K329" i="15"/>
  <c r="J330" i="15"/>
  <c r="K330" i="15"/>
  <c r="J331" i="15"/>
  <c r="K331" i="15"/>
  <c r="J332" i="15"/>
  <c r="K332" i="15"/>
  <c r="J333" i="15"/>
  <c r="K333" i="15"/>
  <c r="J334" i="15"/>
  <c r="K334" i="15"/>
  <c r="J335" i="15"/>
  <c r="K335" i="15"/>
  <c r="J336" i="15"/>
  <c r="K336" i="15"/>
  <c r="J337" i="15"/>
  <c r="K337" i="15"/>
  <c r="J338" i="15"/>
  <c r="K338" i="15"/>
  <c r="J339" i="15"/>
  <c r="K339" i="15"/>
  <c r="J340" i="15"/>
  <c r="K340" i="15"/>
  <c r="J341" i="15"/>
  <c r="K341" i="15"/>
  <c r="J342" i="15"/>
  <c r="K342" i="15"/>
  <c r="J343" i="15"/>
  <c r="K343" i="15"/>
  <c r="J344" i="15"/>
  <c r="K344" i="15"/>
  <c r="J345" i="15"/>
  <c r="K345" i="15"/>
  <c r="J346" i="15"/>
  <c r="K346" i="15"/>
  <c r="J347" i="15"/>
  <c r="K347" i="15"/>
  <c r="J348" i="15"/>
  <c r="K348" i="15"/>
  <c r="J349" i="15"/>
  <c r="K349" i="15"/>
  <c r="J350" i="15"/>
  <c r="K350" i="15"/>
  <c r="J351" i="15"/>
  <c r="K351" i="15"/>
  <c r="J352" i="15"/>
  <c r="K352" i="15"/>
  <c r="J353" i="15"/>
  <c r="K353" i="15"/>
  <c r="J354" i="15"/>
  <c r="K354" i="15"/>
  <c r="J355" i="15"/>
  <c r="K355" i="15"/>
  <c r="J356" i="15"/>
  <c r="K356" i="15"/>
  <c r="J357" i="15"/>
  <c r="K357" i="15"/>
  <c r="J358" i="15"/>
  <c r="K358" i="15"/>
  <c r="J359" i="15"/>
  <c r="K359" i="15"/>
  <c r="J360" i="15"/>
  <c r="K360" i="15"/>
  <c r="J361" i="15"/>
  <c r="K361" i="15"/>
  <c r="J362" i="15"/>
  <c r="K362" i="15"/>
  <c r="J363" i="15"/>
  <c r="K363" i="15"/>
  <c r="J364" i="15"/>
  <c r="K364" i="15"/>
  <c r="J365" i="15"/>
  <c r="K365" i="15"/>
  <c r="J366" i="15"/>
  <c r="K366" i="15"/>
  <c r="J367" i="15"/>
  <c r="K367" i="15"/>
  <c r="J368" i="15"/>
  <c r="K368" i="15"/>
  <c r="J369" i="15"/>
  <c r="K369" i="15"/>
  <c r="J370" i="15"/>
  <c r="K370" i="15"/>
  <c r="J371" i="15"/>
  <c r="K371" i="15"/>
  <c r="J372" i="15"/>
  <c r="K372" i="15"/>
  <c r="J373" i="15"/>
  <c r="K373" i="15"/>
  <c r="J374" i="15"/>
  <c r="K374" i="15"/>
  <c r="J375" i="15"/>
  <c r="K375" i="15"/>
  <c r="J376" i="15"/>
  <c r="K376" i="15"/>
  <c r="J377" i="15"/>
  <c r="K377" i="15"/>
  <c r="J378" i="15"/>
  <c r="K378" i="15"/>
  <c r="J379" i="15"/>
  <c r="K379" i="15"/>
  <c r="J380" i="15"/>
  <c r="K380" i="15"/>
  <c r="J381" i="15"/>
  <c r="K381" i="15"/>
  <c r="J382" i="15"/>
  <c r="K382" i="15"/>
  <c r="J383" i="15"/>
  <c r="K383" i="15"/>
  <c r="J384" i="15"/>
  <c r="K384" i="15"/>
  <c r="J385" i="15"/>
  <c r="K385" i="15"/>
  <c r="J386" i="15"/>
  <c r="K386" i="15"/>
  <c r="J387" i="15"/>
  <c r="K387" i="15"/>
  <c r="J388" i="15"/>
  <c r="K388" i="15"/>
  <c r="J389" i="15"/>
  <c r="K389" i="15"/>
  <c r="J390" i="15"/>
  <c r="K390" i="15"/>
  <c r="J391" i="15"/>
  <c r="K391" i="15"/>
  <c r="J392" i="15"/>
  <c r="K392" i="15"/>
  <c r="J393" i="15"/>
  <c r="K393" i="15"/>
  <c r="J394" i="15"/>
  <c r="K394" i="15"/>
  <c r="J395" i="15"/>
  <c r="K395" i="15"/>
  <c r="J396" i="15"/>
  <c r="K396" i="15"/>
  <c r="J397" i="15"/>
  <c r="K397" i="15"/>
  <c r="J398" i="15"/>
  <c r="K398" i="15"/>
  <c r="J399" i="15"/>
  <c r="K399" i="15"/>
  <c r="J400" i="15"/>
  <c r="K400" i="15"/>
  <c r="J401" i="15"/>
  <c r="K401" i="15"/>
  <c r="J402" i="15"/>
  <c r="K402" i="15"/>
  <c r="J403" i="15"/>
  <c r="K403" i="15"/>
  <c r="J404" i="15"/>
  <c r="K404" i="15"/>
  <c r="J405" i="15"/>
  <c r="K405" i="15"/>
  <c r="J406" i="15"/>
  <c r="K406" i="15"/>
  <c r="J407" i="15"/>
  <c r="K407" i="15"/>
  <c r="J408" i="15"/>
  <c r="K408" i="15"/>
  <c r="J409" i="15"/>
  <c r="K409" i="15"/>
  <c r="J410" i="15"/>
  <c r="K410" i="15"/>
  <c r="J411" i="15"/>
  <c r="K411" i="15"/>
  <c r="J412" i="15"/>
  <c r="K412" i="15"/>
  <c r="J413" i="15"/>
  <c r="K413" i="15"/>
  <c r="J414" i="15"/>
  <c r="K414" i="15"/>
  <c r="J415" i="15"/>
  <c r="K415" i="15"/>
  <c r="J416" i="15"/>
  <c r="K416" i="15"/>
  <c r="J417" i="15"/>
  <c r="K417" i="15"/>
  <c r="J418" i="15"/>
  <c r="K418" i="15"/>
  <c r="J419" i="15"/>
  <c r="K419" i="15"/>
  <c r="J420" i="15"/>
  <c r="K420" i="15"/>
  <c r="J421" i="15"/>
  <c r="K421" i="15"/>
  <c r="J422" i="15"/>
  <c r="K422" i="15"/>
  <c r="J423" i="15"/>
  <c r="K423" i="15"/>
  <c r="J424" i="15"/>
  <c r="K424" i="15"/>
  <c r="J425" i="15"/>
  <c r="K425" i="15"/>
  <c r="J426" i="15"/>
  <c r="K426" i="15"/>
  <c r="J427" i="15"/>
  <c r="K427" i="15"/>
  <c r="J428" i="15"/>
  <c r="K428" i="15"/>
  <c r="J429" i="15"/>
  <c r="K429" i="15"/>
  <c r="J430" i="15"/>
  <c r="K430" i="15"/>
  <c r="J431" i="15"/>
  <c r="K431" i="15"/>
  <c r="J432" i="15"/>
  <c r="K432" i="15"/>
  <c r="J433" i="15"/>
  <c r="K433" i="15"/>
  <c r="J434" i="15"/>
  <c r="K434" i="15"/>
  <c r="J435" i="15"/>
  <c r="K435" i="15"/>
  <c r="J436" i="15"/>
  <c r="K436" i="15"/>
  <c r="J437" i="15"/>
  <c r="K437" i="15"/>
  <c r="J438" i="15"/>
  <c r="K438" i="15"/>
  <c r="J439" i="15"/>
  <c r="K439" i="15"/>
  <c r="J440" i="15"/>
  <c r="K440" i="15"/>
  <c r="J441" i="15"/>
  <c r="K441" i="15"/>
  <c r="J442" i="15"/>
  <c r="K442" i="15"/>
  <c r="J443" i="15"/>
  <c r="K443" i="15"/>
  <c r="J444" i="15"/>
  <c r="K444" i="15"/>
  <c r="J445" i="15"/>
  <c r="K445" i="15"/>
  <c r="J446" i="15"/>
  <c r="K446" i="15"/>
  <c r="J447" i="15"/>
  <c r="K447" i="15"/>
  <c r="J448" i="15"/>
  <c r="K448" i="15"/>
  <c r="J449" i="15"/>
  <c r="K449" i="15"/>
  <c r="J450" i="15"/>
  <c r="K450" i="15"/>
  <c r="J451" i="15"/>
  <c r="K451" i="15"/>
  <c r="J452" i="15"/>
  <c r="K452" i="15"/>
  <c r="J453" i="15"/>
  <c r="K453" i="15"/>
  <c r="J454" i="15"/>
  <c r="K454" i="15"/>
  <c r="J455" i="15"/>
  <c r="K455" i="15"/>
  <c r="J456" i="15"/>
  <c r="K456" i="15"/>
  <c r="J457" i="15"/>
  <c r="K457" i="15"/>
  <c r="J458" i="15"/>
  <c r="K458" i="15"/>
  <c r="J459" i="15"/>
  <c r="K459" i="15"/>
  <c r="J460" i="15"/>
  <c r="K460" i="15"/>
  <c r="J461" i="15"/>
  <c r="K461" i="15"/>
  <c r="J462" i="15"/>
  <c r="K462" i="15"/>
  <c r="J463" i="15"/>
  <c r="K463" i="15"/>
  <c r="J464" i="15"/>
  <c r="K464" i="15"/>
  <c r="J465" i="15"/>
  <c r="K465" i="15"/>
  <c r="J466" i="15"/>
  <c r="K466" i="15"/>
  <c r="J467" i="15"/>
  <c r="K467" i="15"/>
  <c r="J468" i="15"/>
  <c r="K468" i="15"/>
  <c r="J469" i="15"/>
  <c r="K469" i="15"/>
  <c r="J470" i="15"/>
  <c r="K470" i="15"/>
  <c r="J471" i="15"/>
  <c r="K471" i="15"/>
  <c r="J472" i="15"/>
  <c r="K472" i="15"/>
  <c r="J473" i="15"/>
  <c r="K473" i="15"/>
  <c r="J474" i="15"/>
  <c r="K474" i="15"/>
  <c r="J475" i="15"/>
  <c r="K475" i="15"/>
  <c r="J476" i="15"/>
  <c r="K476" i="15"/>
  <c r="J477" i="15"/>
  <c r="K477" i="15"/>
  <c r="J478" i="15"/>
  <c r="K478" i="15"/>
  <c r="J479" i="15"/>
  <c r="K479" i="15"/>
  <c r="J480" i="15"/>
  <c r="K480" i="15"/>
  <c r="J481" i="15"/>
  <c r="K481" i="15"/>
  <c r="J482" i="15"/>
  <c r="K482" i="15"/>
  <c r="J483" i="15"/>
  <c r="K483" i="15"/>
  <c r="J484" i="15"/>
  <c r="K484" i="15"/>
  <c r="J485" i="15"/>
  <c r="K485" i="15"/>
  <c r="J486" i="15"/>
  <c r="K486" i="15"/>
  <c r="J487" i="15"/>
  <c r="K487" i="15"/>
  <c r="J488" i="15"/>
  <c r="K488" i="15"/>
  <c r="J489" i="15"/>
  <c r="K489" i="15"/>
  <c r="J490" i="15"/>
  <c r="K490" i="15"/>
  <c r="J491" i="15"/>
  <c r="K491" i="15"/>
  <c r="J492" i="15"/>
  <c r="K492" i="15"/>
  <c r="J493" i="15"/>
  <c r="K493" i="15"/>
  <c r="J494" i="15"/>
  <c r="K494" i="15"/>
  <c r="J495" i="15"/>
  <c r="K495" i="15"/>
  <c r="J496" i="15"/>
  <c r="K496" i="15"/>
  <c r="J497" i="15"/>
  <c r="K497" i="15"/>
  <c r="J498" i="15"/>
  <c r="K498" i="15"/>
  <c r="J499" i="15"/>
  <c r="K499" i="15"/>
  <c r="J500" i="15"/>
  <c r="K500" i="15"/>
  <c r="J501" i="15"/>
  <c r="K501" i="15"/>
  <c r="J502" i="15"/>
  <c r="K502" i="15"/>
  <c r="J503" i="15"/>
  <c r="K503" i="15"/>
  <c r="J504" i="15"/>
  <c r="K504" i="15"/>
  <c r="J505" i="15"/>
  <c r="K505" i="15"/>
  <c r="J506" i="15"/>
  <c r="K506" i="15"/>
  <c r="J507" i="15"/>
  <c r="K507" i="15"/>
  <c r="J508" i="15"/>
  <c r="K508" i="15"/>
  <c r="J509" i="15"/>
  <c r="K509" i="15"/>
  <c r="J510" i="15"/>
  <c r="K510" i="15"/>
  <c r="J511" i="15"/>
  <c r="K511" i="15"/>
  <c r="J512" i="15"/>
  <c r="K512" i="15"/>
  <c r="J513" i="15"/>
  <c r="K513" i="15"/>
  <c r="J514" i="15"/>
  <c r="K514" i="15"/>
  <c r="J515" i="15"/>
  <c r="K515" i="15"/>
  <c r="J516" i="15"/>
  <c r="K516" i="15"/>
  <c r="J517" i="15"/>
  <c r="K517" i="15"/>
  <c r="J518" i="15"/>
  <c r="K518" i="15"/>
  <c r="J519" i="15"/>
  <c r="K519" i="15"/>
  <c r="J520" i="15"/>
  <c r="K520" i="15"/>
  <c r="J521" i="15"/>
  <c r="K521" i="15"/>
  <c r="J522" i="15"/>
  <c r="K522" i="15"/>
  <c r="J523" i="15"/>
  <c r="K523" i="15"/>
  <c r="J524" i="15"/>
  <c r="K524" i="15"/>
  <c r="J525" i="15"/>
  <c r="K525" i="15"/>
  <c r="J526" i="15"/>
  <c r="K526" i="15"/>
  <c r="J527" i="15"/>
  <c r="K527" i="15"/>
  <c r="J528" i="15"/>
  <c r="K528" i="15"/>
  <c r="J529" i="15"/>
  <c r="K529" i="15"/>
  <c r="J530" i="15"/>
  <c r="K530" i="15"/>
  <c r="J531" i="15"/>
  <c r="K531" i="15"/>
  <c r="J532" i="15"/>
  <c r="K532" i="15"/>
  <c r="J533" i="15"/>
  <c r="K533" i="15"/>
  <c r="J534" i="15"/>
  <c r="K534" i="15"/>
  <c r="J535" i="15"/>
  <c r="K535" i="15"/>
  <c r="J536" i="15"/>
  <c r="K536" i="15"/>
  <c r="J537" i="15"/>
  <c r="K537" i="15"/>
  <c r="J538" i="15"/>
  <c r="K538" i="15"/>
  <c r="J539" i="15"/>
  <c r="K539" i="15"/>
  <c r="J540" i="15"/>
  <c r="K540" i="15"/>
  <c r="J541" i="15"/>
  <c r="K541" i="15"/>
  <c r="J542" i="15"/>
  <c r="K542" i="15"/>
  <c r="J543" i="15"/>
  <c r="K543" i="15"/>
  <c r="J544" i="15"/>
  <c r="K544" i="15"/>
  <c r="J545" i="15"/>
  <c r="K545" i="15"/>
  <c r="J546" i="15"/>
  <c r="K546" i="15"/>
  <c r="J547" i="15"/>
  <c r="K547" i="15"/>
  <c r="J548" i="15"/>
  <c r="K548" i="15"/>
  <c r="J549" i="15"/>
  <c r="K549" i="15"/>
  <c r="J550" i="15"/>
  <c r="K550" i="15"/>
  <c r="J551" i="15"/>
  <c r="K551" i="15"/>
  <c r="J552" i="15"/>
  <c r="K552" i="15"/>
  <c r="J553" i="15"/>
  <c r="K553" i="15"/>
  <c r="J554" i="15"/>
  <c r="K554" i="15"/>
  <c r="J555" i="15"/>
  <c r="K555" i="15"/>
  <c r="J556" i="15"/>
  <c r="K556" i="15"/>
  <c r="J557" i="15"/>
  <c r="K557" i="15"/>
  <c r="J558" i="15"/>
  <c r="K558" i="15"/>
  <c r="J559" i="15"/>
  <c r="K559" i="15"/>
  <c r="J560" i="15"/>
  <c r="K560" i="15"/>
  <c r="J561" i="15"/>
  <c r="K561" i="15"/>
  <c r="J562" i="15"/>
  <c r="K562" i="15"/>
  <c r="J563" i="15"/>
  <c r="K563" i="15"/>
  <c r="J564" i="15"/>
  <c r="K564" i="15"/>
  <c r="J565" i="15"/>
  <c r="K565" i="15"/>
  <c r="J566" i="15"/>
  <c r="K566" i="15"/>
  <c r="J567" i="15"/>
  <c r="K567" i="15"/>
  <c r="J568" i="15"/>
  <c r="K568" i="15"/>
  <c r="J569" i="15"/>
  <c r="K569" i="15"/>
  <c r="J570" i="15"/>
  <c r="K570" i="15"/>
  <c r="J571" i="15"/>
  <c r="K571" i="15"/>
  <c r="J572" i="15"/>
  <c r="K572" i="15"/>
  <c r="J573" i="15"/>
  <c r="K573" i="15"/>
  <c r="J574" i="15"/>
  <c r="K574" i="15"/>
  <c r="J575" i="15"/>
  <c r="K575" i="15"/>
  <c r="J576" i="15"/>
  <c r="K576" i="15"/>
  <c r="J577" i="15"/>
  <c r="K577" i="15"/>
  <c r="J578" i="15"/>
  <c r="K578" i="15"/>
  <c r="J579" i="15"/>
  <c r="K579" i="15"/>
  <c r="J580" i="15"/>
  <c r="K580" i="15"/>
  <c r="J581" i="15"/>
  <c r="K581" i="15"/>
  <c r="J582" i="15"/>
  <c r="K582" i="15"/>
  <c r="J583" i="15"/>
  <c r="K583" i="15"/>
  <c r="J584" i="15"/>
  <c r="K584" i="15"/>
  <c r="J585" i="15"/>
  <c r="K585" i="15"/>
  <c r="J586" i="15"/>
  <c r="K586" i="15"/>
  <c r="J587" i="15"/>
  <c r="K587" i="15"/>
  <c r="J588" i="15"/>
  <c r="K588" i="15"/>
  <c r="J589" i="15"/>
  <c r="K589" i="15"/>
  <c r="J590" i="15"/>
  <c r="K590" i="15"/>
  <c r="J591" i="15"/>
  <c r="K591" i="15"/>
  <c r="J592" i="15"/>
  <c r="K592" i="15"/>
  <c r="J593" i="15"/>
  <c r="K593" i="15"/>
  <c r="J594" i="15"/>
  <c r="K594" i="15"/>
  <c r="J595" i="15"/>
  <c r="K595" i="15"/>
  <c r="J596" i="15"/>
  <c r="K596" i="15"/>
  <c r="J597" i="15"/>
  <c r="K597" i="15"/>
  <c r="J598" i="15"/>
  <c r="K598" i="15"/>
  <c r="J599" i="15"/>
  <c r="K599" i="15"/>
  <c r="J600" i="15"/>
  <c r="K600" i="15"/>
  <c r="J601" i="15"/>
  <c r="K601" i="15"/>
  <c r="J602" i="15"/>
  <c r="K602" i="15"/>
  <c r="B178" i="2" l="1"/>
  <c r="H178" i="2" s="1"/>
  <c r="A501" i="18"/>
  <c r="B501" i="18"/>
  <c r="C501" i="18"/>
  <c r="D501" i="18"/>
  <c r="E501" i="18"/>
  <c r="G501" i="18"/>
  <c r="H501" i="18"/>
  <c r="A502" i="18"/>
  <c r="B502" i="18"/>
  <c r="C502" i="18"/>
  <c r="D502" i="18"/>
  <c r="E502" i="18"/>
  <c r="G502" i="18"/>
  <c r="H502" i="18"/>
  <c r="A503" i="18"/>
  <c r="B503" i="18"/>
  <c r="C503" i="18"/>
  <c r="D503" i="18"/>
  <c r="E503" i="18"/>
  <c r="G503" i="18"/>
  <c r="H503" i="18"/>
  <c r="A504" i="18"/>
  <c r="B504" i="18"/>
  <c r="C504" i="18"/>
  <c r="D504" i="18"/>
  <c r="E504" i="18"/>
  <c r="G504" i="18"/>
  <c r="H504" i="18"/>
  <c r="A505" i="18"/>
  <c r="B505" i="18"/>
  <c r="C505" i="18"/>
  <c r="D505" i="18"/>
  <c r="E505" i="18"/>
  <c r="G505" i="18"/>
  <c r="H505" i="18"/>
  <c r="A506" i="18"/>
  <c r="B506" i="18"/>
  <c r="C506" i="18"/>
  <c r="D506" i="18"/>
  <c r="E506" i="18"/>
  <c r="G506" i="18"/>
  <c r="H506" i="18"/>
  <c r="A507" i="18"/>
  <c r="B507" i="18"/>
  <c r="C507" i="18"/>
  <c r="D507" i="18"/>
  <c r="E507" i="18"/>
  <c r="G507" i="18"/>
  <c r="H507" i="18"/>
  <c r="A508" i="18"/>
  <c r="B508" i="18"/>
  <c r="C508" i="18"/>
  <c r="D508" i="18"/>
  <c r="E508" i="18"/>
  <c r="G508" i="18"/>
  <c r="H508" i="18"/>
  <c r="A509" i="18"/>
  <c r="B509" i="18"/>
  <c r="C509" i="18"/>
  <c r="D509" i="18"/>
  <c r="E509" i="18"/>
  <c r="G509" i="18"/>
  <c r="H509" i="18"/>
  <c r="A510" i="18"/>
  <c r="B510" i="18"/>
  <c r="C510" i="18"/>
  <c r="D510" i="18"/>
  <c r="E510" i="18"/>
  <c r="G510" i="18"/>
  <c r="H510" i="18"/>
  <c r="A511" i="18"/>
  <c r="B511" i="18"/>
  <c r="C511" i="18"/>
  <c r="D511" i="18"/>
  <c r="E511" i="18"/>
  <c r="G511" i="18"/>
  <c r="H511" i="18"/>
  <c r="A512" i="18"/>
  <c r="B512" i="18"/>
  <c r="C512" i="18"/>
  <c r="D512" i="18"/>
  <c r="E512" i="18"/>
  <c r="G512" i="18"/>
  <c r="H512" i="18"/>
  <c r="A513" i="18"/>
  <c r="B513" i="18"/>
  <c r="C513" i="18"/>
  <c r="D513" i="18"/>
  <c r="E513" i="18"/>
  <c r="G513" i="18"/>
  <c r="H513" i="18"/>
  <c r="A514" i="18"/>
  <c r="B514" i="18"/>
  <c r="C514" i="18"/>
  <c r="D514" i="18"/>
  <c r="E514" i="18"/>
  <c r="G514" i="18"/>
  <c r="H514" i="18"/>
  <c r="A515" i="18"/>
  <c r="B515" i="18"/>
  <c r="C515" i="18"/>
  <c r="D515" i="18"/>
  <c r="E515" i="18"/>
  <c r="G515" i="18"/>
  <c r="H515" i="18"/>
  <c r="A516" i="18"/>
  <c r="B516" i="18"/>
  <c r="C516" i="18"/>
  <c r="D516" i="18"/>
  <c r="E516" i="18"/>
  <c r="G516" i="18"/>
  <c r="H516" i="18"/>
  <c r="A517" i="18"/>
  <c r="B517" i="18"/>
  <c r="C517" i="18"/>
  <c r="D517" i="18"/>
  <c r="E517" i="18"/>
  <c r="G517" i="18"/>
  <c r="H517" i="18"/>
  <c r="A518" i="18"/>
  <c r="B518" i="18"/>
  <c r="C518" i="18"/>
  <c r="D518" i="18"/>
  <c r="E518" i="18"/>
  <c r="G518" i="18"/>
  <c r="H518" i="18"/>
  <c r="A519" i="18"/>
  <c r="B519" i="18"/>
  <c r="C519" i="18"/>
  <c r="D519" i="18"/>
  <c r="E519" i="18"/>
  <c r="G519" i="18"/>
  <c r="H519" i="18"/>
  <c r="A520" i="18"/>
  <c r="B520" i="18"/>
  <c r="C520" i="18"/>
  <c r="D520" i="18"/>
  <c r="E520" i="18"/>
  <c r="G520" i="18"/>
  <c r="H520" i="18"/>
  <c r="A521" i="18"/>
  <c r="B521" i="18"/>
  <c r="C521" i="18"/>
  <c r="D521" i="18"/>
  <c r="E521" i="18"/>
  <c r="G521" i="18"/>
  <c r="H521" i="18"/>
  <c r="A522" i="18"/>
  <c r="B522" i="18"/>
  <c r="C522" i="18"/>
  <c r="D522" i="18"/>
  <c r="E522" i="18"/>
  <c r="G522" i="18"/>
  <c r="H522" i="18"/>
  <c r="A523" i="18"/>
  <c r="B523" i="18"/>
  <c r="C523" i="18"/>
  <c r="D523" i="18"/>
  <c r="E523" i="18"/>
  <c r="G523" i="18"/>
  <c r="H523" i="18"/>
  <c r="A524" i="18"/>
  <c r="B524" i="18"/>
  <c r="C524" i="18"/>
  <c r="D524" i="18"/>
  <c r="E524" i="18"/>
  <c r="G524" i="18"/>
  <c r="H524" i="18"/>
  <c r="A525" i="18"/>
  <c r="B525" i="18"/>
  <c r="C525" i="18"/>
  <c r="D525" i="18"/>
  <c r="E525" i="18"/>
  <c r="G525" i="18"/>
  <c r="H525" i="18"/>
  <c r="A526" i="18"/>
  <c r="B526" i="18"/>
  <c r="C526" i="18"/>
  <c r="D526" i="18"/>
  <c r="E526" i="18"/>
  <c r="G526" i="18"/>
  <c r="H526" i="18"/>
  <c r="A527" i="18"/>
  <c r="B527" i="18"/>
  <c r="C527" i="18"/>
  <c r="D527" i="18"/>
  <c r="E527" i="18"/>
  <c r="G527" i="18"/>
  <c r="H527" i="18"/>
  <c r="A528" i="18"/>
  <c r="B528" i="18"/>
  <c r="C528" i="18"/>
  <c r="D528" i="18"/>
  <c r="E528" i="18"/>
  <c r="G528" i="18"/>
  <c r="H528" i="18"/>
  <c r="A529" i="18"/>
  <c r="B529" i="18"/>
  <c r="C529" i="18"/>
  <c r="D529" i="18"/>
  <c r="E529" i="18"/>
  <c r="G529" i="18"/>
  <c r="H529" i="18"/>
  <c r="A530" i="18"/>
  <c r="B530" i="18"/>
  <c r="C530" i="18"/>
  <c r="D530" i="18"/>
  <c r="E530" i="18"/>
  <c r="G530" i="18"/>
  <c r="H530" i="18"/>
  <c r="A531" i="18"/>
  <c r="B531" i="18"/>
  <c r="C531" i="18"/>
  <c r="D531" i="18"/>
  <c r="E531" i="18"/>
  <c r="G531" i="18"/>
  <c r="H531" i="18"/>
  <c r="A532" i="18"/>
  <c r="B532" i="18"/>
  <c r="C532" i="18"/>
  <c r="D532" i="18"/>
  <c r="E532" i="18"/>
  <c r="G532" i="18"/>
  <c r="H532" i="18"/>
  <c r="A533" i="18"/>
  <c r="B533" i="18"/>
  <c r="C533" i="18"/>
  <c r="D533" i="18"/>
  <c r="E533" i="18"/>
  <c r="G533" i="18"/>
  <c r="H533" i="18"/>
  <c r="A534" i="18"/>
  <c r="B534" i="18"/>
  <c r="C534" i="18"/>
  <c r="D534" i="18"/>
  <c r="E534" i="18"/>
  <c r="G534" i="18"/>
  <c r="H534" i="18"/>
  <c r="A535" i="18"/>
  <c r="B535" i="18"/>
  <c r="C535" i="18"/>
  <c r="D535" i="18"/>
  <c r="E535" i="18"/>
  <c r="G535" i="18"/>
  <c r="H535" i="18"/>
  <c r="A536" i="18"/>
  <c r="B536" i="18"/>
  <c r="C536" i="18"/>
  <c r="D536" i="18"/>
  <c r="E536" i="18"/>
  <c r="G536" i="18"/>
  <c r="H536" i="18"/>
  <c r="A537" i="18"/>
  <c r="B537" i="18"/>
  <c r="C537" i="18"/>
  <c r="D537" i="18"/>
  <c r="E537" i="18"/>
  <c r="G537" i="18"/>
  <c r="H537" i="18"/>
  <c r="A538" i="18"/>
  <c r="B538" i="18"/>
  <c r="C538" i="18"/>
  <c r="D538" i="18"/>
  <c r="E538" i="18"/>
  <c r="G538" i="18"/>
  <c r="H538" i="18"/>
  <c r="A539" i="18"/>
  <c r="B539" i="18"/>
  <c r="C539" i="18"/>
  <c r="D539" i="18"/>
  <c r="E539" i="18"/>
  <c r="G539" i="18"/>
  <c r="H539" i="18"/>
  <c r="A540" i="18"/>
  <c r="B540" i="18"/>
  <c r="C540" i="18"/>
  <c r="D540" i="18"/>
  <c r="E540" i="18"/>
  <c r="G540" i="18"/>
  <c r="H540" i="18"/>
  <c r="A541" i="18"/>
  <c r="C541" i="18"/>
  <c r="D541" i="18"/>
  <c r="E541" i="18"/>
  <c r="G541" i="18"/>
  <c r="H541" i="18"/>
  <c r="A542" i="18"/>
  <c r="B542" i="18"/>
  <c r="C542" i="18"/>
  <c r="D542" i="18"/>
  <c r="E542" i="18"/>
  <c r="G542" i="18"/>
  <c r="H542" i="18"/>
  <c r="A543" i="18"/>
  <c r="B543" i="18"/>
  <c r="C543" i="18"/>
  <c r="D543" i="18"/>
  <c r="E543" i="18"/>
  <c r="G543" i="18"/>
  <c r="H543" i="18"/>
  <c r="A544" i="18"/>
  <c r="B544" i="18"/>
  <c r="C544" i="18"/>
  <c r="D544" i="18"/>
  <c r="E544" i="18"/>
  <c r="G544" i="18"/>
  <c r="H544" i="18"/>
  <c r="A545" i="18"/>
  <c r="B545" i="18"/>
  <c r="C545" i="18"/>
  <c r="D545" i="18"/>
  <c r="E545" i="18"/>
  <c r="G545" i="18"/>
  <c r="H545" i="18"/>
  <c r="A546" i="18"/>
  <c r="B546" i="18"/>
  <c r="C546" i="18"/>
  <c r="D546" i="18"/>
  <c r="E546" i="18"/>
  <c r="G546" i="18"/>
  <c r="H546" i="18"/>
  <c r="A547" i="18"/>
  <c r="B547" i="18"/>
  <c r="C547" i="18"/>
  <c r="D547" i="18"/>
  <c r="E547" i="18"/>
  <c r="G547" i="18"/>
  <c r="H547" i="18"/>
  <c r="A548" i="18"/>
  <c r="B548" i="18"/>
  <c r="C548" i="18"/>
  <c r="D548" i="18"/>
  <c r="E548" i="18"/>
  <c r="G548" i="18"/>
  <c r="H548" i="18"/>
  <c r="A549" i="18"/>
  <c r="B549" i="18"/>
  <c r="C549" i="18"/>
  <c r="D549" i="18"/>
  <c r="E549" i="18"/>
  <c r="G549" i="18"/>
  <c r="H549" i="18"/>
  <c r="A550" i="18"/>
  <c r="B550" i="18"/>
  <c r="C550" i="18"/>
  <c r="D550" i="18"/>
  <c r="E550" i="18"/>
  <c r="G550" i="18"/>
  <c r="H550" i="18"/>
  <c r="A551" i="18"/>
  <c r="B551" i="18"/>
  <c r="C551" i="18"/>
  <c r="D551" i="18"/>
  <c r="E551" i="18"/>
  <c r="G551" i="18"/>
  <c r="H551" i="18"/>
  <c r="A552" i="18"/>
  <c r="B552" i="18"/>
  <c r="C552" i="18"/>
  <c r="D552" i="18"/>
  <c r="E552" i="18"/>
  <c r="G552" i="18"/>
  <c r="H552" i="18"/>
  <c r="A553" i="18"/>
  <c r="B553" i="18"/>
  <c r="C553" i="18"/>
  <c r="D553" i="18"/>
  <c r="E553" i="18"/>
  <c r="G553" i="18"/>
  <c r="H553" i="18"/>
  <c r="A554" i="18"/>
  <c r="B554" i="18"/>
  <c r="C554" i="18"/>
  <c r="D554" i="18"/>
  <c r="E554" i="18"/>
  <c r="G554" i="18"/>
  <c r="H554" i="18"/>
  <c r="A555" i="18"/>
  <c r="B555" i="18"/>
  <c r="C555" i="18"/>
  <c r="D555" i="18"/>
  <c r="E555" i="18"/>
  <c r="G555" i="18"/>
  <c r="H555" i="18"/>
  <c r="A556" i="18"/>
  <c r="B556" i="18"/>
  <c r="C556" i="18"/>
  <c r="D556" i="18"/>
  <c r="E556" i="18"/>
  <c r="G556" i="18"/>
  <c r="H556" i="18"/>
  <c r="A557" i="18"/>
  <c r="B557" i="18"/>
  <c r="C557" i="18"/>
  <c r="D557" i="18"/>
  <c r="E557" i="18"/>
  <c r="G557" i="18"/>
  <c r="H557" i="18"/>
  <c r="A558" i="18"/>
  <c r="B558" i="18"/>
  <c r="C558" i="18"/>
  <c r="D558" i="18"/>
  <c r="E558" i="18"/>
  <c r="G558" i="18"/>
  <c r="H558" i="18"/>
  <c r="A559" i="18"/>
  <c r="B559" i="18"/>
  <c r="C559" i="18"/>
  <c r="D559" i="18"/>
  <c r="E559" i="18"/>
  <c r="G559" i="18"/>
  <c r="H559" i="18"/>
  <c r="A560" i="18"/>
  <c r="B560" i="18"/>
  <c r="C560" i="18"/>
  <c r="D560" i="18"/>
  <c r="E560" i="18"/>
  <c r="G560" i="18"/>
  <c r="H560" i="18"/>
  <c r="A561" i="18"/>
  <c r="B561" i="18"/>
  <c r="C561" i="18"/>
  <c r="D561" i="18"/>
  <c r="E561" i="18"/>
  <c r="G561" i="18"/>
  <c r="H561" i="18"/>
  <c r="A562" i="18"/>
  <c r="B562" i="18"/>
  <c r="C562" i="18"/>
  <c r="D562" i="18"/>
  <c r="E562" i="18"/>
  <c r="G562" i="18"/>
  <c r="H562" i="18"/>
  <c r="A563" i="18"/>
  <c r="B563" i="18"/>
  <c r="C563" i="18"/>
  <c r="D563" i="18"/>
  <c r="E563" i="18"/>
  <c r="G563" i="18"/>
  <c r="H563" i="18"/>
  <c r="A564" i="18"/>
  <c r="B564" i="18"/>
  <c r="C564" i="18"/>
  <c r="D564" i="18"/>
  <c r="E564" i="18"/>
  <c r="G564" i="18"/>
  <c r="H564" i="18"/>
  <c r="A565" i="18"/>
  <c r="B565" i="18"/>
  <c r="C565" i="18"/>
  <c r="D565" i="18"/>
  <c r="E565" i="18"/>
  <c r="G565" i="18"/>
  <c r="H565" i="18"/>
  <c r="A566" i="18"/>
  <c r="B566" i="18"/>
  <c r="C566" i="18"/>
  <c r="D566" i="18"/>
  <c r="E566" i="18"/>
  <c r="G566" i="18"/>
  <c r="H566" i="18"/>
  <c r="A567" i="18"/>
  <c r="B567" i="18"/>
  <c r="C567" i="18"/>
  <c r="D567" i="18"/>
  <c r="E567" i="18"/>
  <c r="G567" i="18"/>
  <c r="H567" i="18"/>
  <c r="A568" i="18"/>
  <c r="B568" i="18"/>
  <c r="C568" i="18"/>
  <c r="D568" i="18"/>
  <c r="E568" i="18"/>
  <c r="G568" i="18"/>
  <c r="H568" i="18"/>
  <c r="A569" i="18"/>
  <c r="B569" i="18"/>
  <c r="C569" i="18"/>
  <c r="D569" i="18"/>
  <c r="E569" i="18"/>
  <c r="G569" i="18"/>
  <c r="H569" i="18"/>
  <c r="A570" i="18"/>
  <c r="B570" i="18"/>
  <c r="C570" i="18"/>
  <c r="D570" i="18"/>
  <c r="E570" i="18"/>
  <c r="G570" i="18"/>
  <c r="H570" i="18"/>
  <c r="A571" i="18"/>
  <c r="B571" i="18"/>
  <c r="C571" i="18"/>
  <c r="D571" i="18"/>
  <c r="E571" i="18"/>
  <c r="G571" i="18"/>
  <c r="H571" i="18"/>
  <c r="A572" i="18"/>
  <c r="B572" i="18"/>
  <c r="C572" i="18"/>
  <c r="D572" i="18"/>
  <c r="E572" i="18"/>
  <c r="G572" i="18"/>
  <c r="H572" i="18"/>
  <c r="A573" i="18"/>
  <c r="B573" i="18"/>
  <c r="C573" i="18"/>
  <c r="D573" i="18"/>
  <c r="E573" i="18"/>
  <c r="G573" i="18"/>
  <c r="H573" i="18"/>
  <c r="A574" i="18"/>
  <c r="B574" i="18"/>
  <c r="C574" i="18"/>
  <c r="D574" i="18"/>
  <c r="E574" i="18"/>
  <c r="G574" i="18"/>
  <c r="H574" i="18"/>
  <c r="A575" i="18"/>
  <c r="B575" i="18"/>
  <c r="C575" i="18"/>
  <c r="D575" i="18"/>
  <c r="E575" i="18"/>
  <c r="G575" i="18"/>
  <c r="H575" i="18"/>
  <c r="A576" i="18"/>
  <c r="B576" i="18"/>
  <c r="C576" i="18"/>
  <c r="D576" i="18"/>
  <c r="E576" i="18"/>
  <c r="G576" i="18"/>
  <c r="H576" i="18"/>
  <c r="A577" i="18"/>
  <c r="B577" i="18"/>
  <c r="C577" i="18"/>
  <c r="D577" i="18"/>
  <c r="E577" i="18"/>
  <c r="G577" i="18"/>
  <c r="H577" i="18"/>
  <c r="A578" i="18"/>
  <c r="B578" i="18"/>
  <c r="C578" i="18"/>
  <c r="D578" i="18"/>
  <c r="E578" i="18"/>
  <c r="G578" i="18"/>
  <c r="H578" i="18"/>
  <c r="A579" i="18"/>
  <c r="B579" i="18"/>
  <c r="C579" i="18"/>
  <c r="D579" i="18"/>
  <c r="E579" i="18"/>
  <c r="G579" i="18"/>
  <c r="H579" i="18"/>
  <c r="A580" i="18"/>
  <c r="B580" i="18"/>
  <c r="C580" i="18"/>
  <c r="D580" i="18"/>
  <c r="E580" i="18"/>
  <c r="G580" i="18"/>
  <c r="H580" i="18"/>
  <c r="A581" i="18"/>
  <c r="B581" i="18"/>
  <c r="C581" i="18"/>
  <c r="D581" i="18"/>
  <c r="E581" i="18"/>
  <c r="G581" i="18"/>
  <c r="H581" i="18"/>
  <c r="A582" i="18"/>
  <c r="B582" i="18"/>
  <c r="C582" i="18"/>
  <c r="D582" i="18"/>
  <c r="E582" i="18"/>
  <c r="G582" i="18"/>
  <c r="H582" i="18"/>
  <c r="A583" i="18"/>
  <c r="B583" i="18"/>
  <c r="C583" i="18"/>
  <c r="D583" i="18"/>
  <c r="E583" i="18"/>
  <c r="G583" i="18"/>
  <c r="H583" i="18"/>
  <c r="A584" i="18"/>
  <c r="B584" i="18"/>
  <c r="C584" i="18"/>
  <c r="D584" i="18"/>
  <c r="E584" i="18"/>
  <c r="G584" i="18"/>
  <c r="H584" i="18"/>
  <c r="A585" i="18"/>
  <c r="B585" i="18"/>
  <c r="C585" i="18"/>
  <c r="D585" i="18"/>
  <c r="E585" i="18"/>
  <c r="G585" i="18"/>
  <c r="H585" i="18"/>
  <c r="A586" i="18"/>
  <c r="B586" i="18"/>
  <c r="C586" i="18"/>
  <c r="D586" i="18"/>
  <c r="E586" i="18"/>
  <c r="G586" i="18"/>
  <c r="H586" i="18"/>
  <c r="A587" i="18"/>
  <c r="B587" i="18"/>
  <c r="C587" i="18"/>
  <c r="D587" i="18"/>
  <c r="E587" i="18"/>
  <c r="G587" i="18"/>
  <c r="H587" i="18"/>
  <c r="A588" i="18"/>
  <c r="B588" i="18"/>
  <c r="C588" i="18"/>
  <c r="D588" i="18"/>
  <c r="E588" i="18"/>
  <c r="G588" i="18"/>
  <c r="H588" i="18"/>
  <c r="A589" i="18"/>
  <c r="B589" i="18"/>
  <c r="C589" i="18"/>
  <c r="D589" i="18"/>
  <c r="E589" i="18"/>
  <c r="G589" i="18"/>
  <c r="H589" i="18"/>
  <c r="A590" i="18"/>
  <c r="B590" i="18"/>
  <c r="C590" i="18"/>
  <c r="D590" i="18"/>
  <c r="E590" i="18"/>
  <c r="G590" i="18"/>
  <c r="H590" i="18"/>
  <c r="A591" i="18"/>
  <c r="B591" i="18"/>
  <c r="C591" i="18"/>
  <c r="D591" i="18"/>
  <c r="E591" i="18"/>
  <c r="G591" i="18"/>
  <c r="H591" i="18"/>
  <c r="A592" i="18"/>
  <c r="B592" i="18"/>
  <c r="C592" i="18"/>
  <c r="D592" i="18"/>
  <c r="E592" i="18"/>
  <c r="G592" i="18"/>
  <c r="H592" i="18"/>
  <c r="A593" i="18"/>
  <c r="B593" i="18"/>
  <c r="C593" i="18"/>
  <c r="D593" i="18"/>
  <c r="E593" i="18"/>
  <c r="G593" i="18"/>
  <c r="H593" i="18"/>
  <c r="A594" i="18"/>
  <c r="B594" i="18"/>
  <c r="C594" i="18"/>
  <c r="D594" i="18"/>
  <c r="E594" i="18"/>
  <c r="G594" i="18"/>
  <c r="H594" i="18"/>
  <c r="A595" i="18"/>
  <c r="B595" i="18"/>
  <c r="C595" i="18"/>
  <c r="D595" i="18"/>
  <c r="E595" i="18"/>
  <c r="G595" i="18"/>
  <c r="H595" i="18"/>
  <c r="H296" i="2"/>
  <c r="H297" i="2"/>
  <c r="H298" i="2"/>
  <c r="H299" i="2"/>
  <c r="H300" i="2"/>
  <c r="H301" i="2"/>
  <c r="H302" i="2"/>
  <c r="H303" i="2"/>
  <c r="H304" i="2"/>
  <c r="H305" i="2"/>
  <c r="H306" i="2"/>
  <c r="H307" i="2"/>
  <c r="H308" i="2"/>
  <c r="H309" i="2"/>
  <c r="H289" i="2"/>
  <c r="H290" i="2"/>
  <c r="H273" i="2"/>
  <c r="AB2" i="13" l="1"/>
  <c r="B246" i="5" s="1"/>
  <c r="AA2" i="13"/>
  <c r="AD2" i="13"/>
  <c r="B254" i="2" s="1"/>
  <c r="H254" i="2" s="1"/>
  <c r="D11" i="1" l="1"/>
  <c r="B310" i="5"/>
  <c r="B15" i="5"/>
  <c r="B247" i="5"/>
  <c r="D12" i="1"/>
  <c r="F210" i="5"/>
  <c r="F195" i="5"/>
  <c r="F196" i="5"/>
  <c r="F197" i="5"/>
  <c r="F198" i="5"/>
  <c r="F199" i="5"/>
  <c r="F202" i="5"/>
  <c r="F203" i="5"/>
  <c r="F204" i="5"/>
  <c r="F208" i="5"/>
  <c r="F211" i="5"/>
  <c r="F212" i="5"/>
  <c r="A433" i="18" l="1"/>
  <c r="B433" i="18"/>
  <c r="C433" i="18"/>
  <c r="D433" i="18"/>
  <c r="E433" i="18"/>
  <c r="G433" i="18"/>
  <c r="H433" i="18"/>
  <c r="A434" i="18"/>
  <c r="B434" i="18"/>
  <c r="C434" i="18"/>
  <c r="D434" i="18"/>
  <c r="E434" i="18"/>
  <c r="G434" i="18"/>
  <c r="H434" i="18"/>
  <c r="A435" i="18"/>
  <c r="B435" i="18"/>
  <c r="C435" i="18"/>
  <c r="D435" i="18"/>
  <c r="E435" i="18"/>
  <c r="G435" i="18"/>
  <c r="H435" i="18"/>
  <c r="A436" i="18"/>
  <c r="B436" i="18"/>
  <c r="C436" i="18"/>
  <c r="D436" i="18"/>
  <c r="E436" i="18"/>
  <c r="G436" i="18"/>
  <c r="H436" i="18"/>
  <c r="A437" i="18"/>
  <c r="B437" i="18"/>
  <c r="C437" i="18"/>
  <c r="D437" i="18"/>
  <c r="E437" i="18"/>
  <c r="G437" i="18"/>
  <c r="H437" i="18"/>
  <c r="A438" i="18"/>
  <c r="B438" i="18"/>
  <c r="C438" i="18"/>
  <c r="D438" i="18"/>
  <c r="E438" i="18"/>
  <c r="G438" i="18"/>
  <c r="H438" i="18"/>
  <c r="A439" i="18"/>
  <c r="B439" i="18"/>
  <c r="C439" i="18"/>
  <c r="D439" i="18"/>
  <c r="E439" i="18"/>
  <c r="G439" i="18"/>
  <c r="H439" i="18"/>
  <c r="A440" i="18"/>
  <c r="B440" i="18"/>
  <c r="C440" i="18"/>
  <c r="D440" i="18"/>
  <c r="E440" i="18"/>
  <c r="G440" i="18"/>
  <c r="H440" i="18"/>
  <c r="A441" i="18"/>
  <c r="B441" i="18"/>
  <c r="C441" i="18"/>
  <c r="D441" i="18"/>
  <c r="E441" i="18"/>
  <c r="G441" i="18"/>
  <c r="H441" i="18"/>
  <c r="A442" i="18"/>
  <c r="B442" i="18"/>
  <c r="C442" i="18"/>
  <c r="D442" i="18"/>
  <c r="E442" i="18"/>
  <c r="G442" i="18"/>
  <c r="H442" i="18"/>
  <c r="A443" i="18"/>
  <c r="B443" i="18"/>
  <c r="C443" i="18"/>
  <c r="D443" i="18"/>
  <c r="E443" i="18"/>
  <c r="G443" i="18"/>
  <c r="H443" i="18"/>
  <c r="A444" i="18"/>
  <c r="B444" i="18"/>
  <c r="C444" i="18"/>
  <c r="D444" i="18"/>
  <c r="E444" i="18"/>
  <c r="G444" i="18"/>
  <c r="H444" i="18"/>
  <c r="A445" i="18"/>
  <c r="B445" i="18"/>
  <c r="C445" i="18"/>
  <c r="D445" i="18"/>
  <c r="E445" i="18"/>
  <c r="G445" i="18"/>
  <c r="H445" i="18"/>
  <c r="A446" i="18"/>
  <c r="B446" i="18"/>
  <c r="C446" i="18"/>
  <c r="D446" i="18"/>
  <c r="E446" i="18"/>
  <c r="G446" i="18"/>
  <c r="H446" i="18"/>
  <c r="A447" i="18"/>
  <c r="B447" i="18"/>
  <c r="C447" i="18"/>
  <c r="D447" i="18"/>
  <c r="E447" i="18"/>
  <c r="G447" i="18"/>
  <c r="H447" i="18"/>
  <c r="A448" i="18"/>
  <c r="B448" i="18"/>
  <c r="C448" i="18"/>
  <c r="D448" i="18"/>
  <c r="E448" i="18"/>
  <c r="G448" i="18"/>
  <c r="H448" i="18"/>
  <c r="A449" i="18"/>
  <c r="B449" i="18"/>
  <c r="C449" i="18"/>
  <c r="D449" i="18"/>
  <c r="E449" i="18"/>
  <c r="G449" i="18"/>
  <c r="H449" i="18"/>
  <c r="A450" i="18"/>
  <c r="B450" i="18"/>
  <c r="C450" i="18"/>
  <c r="D450" i="18"/>
  <c r="E450" i="18"/>
  <c r="G450" i="18"/>
  <c r="H450" i="18"/>
  <c r="A451" i="18"/>
  <c r="B451" i="18"/>
  <c r="C451" i="18"/>
  <c r="D451" i="18"/>
  <c r="E451" i="18"/>
  <c r="G451" i="18"/>
  <c r="H451" i="18"/>
  <c r="A452" i="18"/>
  <c r="B452" i="18"/>
  <c r="C452" i="18"/>
  <c r="D452" i="18"/>
  <c r="E452" i="18"/>
  <c r="G452" i="18"/>
  <c r="H452" i="18"/>
  <c r="A453" i="18"/>
  <c r="B453" i="18"/>
  <c r="C453" i="18"/>
  <c r="D453" i="18"/>
  <c r="E453" i="18"/>
  <c r="G453" i="18"/>
  <c r="H453" i="18"/>
  <c r="A454" i="18"/>
  <c r="B454" i="18"/>
  <c r="C454" i="18"/>
  <c r="D454" i="18"/>
  <c r="E454" i="18"/>
  <c r="G454" i="18"/>
  <c r="H454" i="18"/>
  <c r="A455" i="18"/>
  <c r="B455" i="18"/>
  <c r="C455" i="18"/>
  <c r="D455" i="18"/>
  <c r="E455" i="18"/>
  <c r="G455" i="18"/>
  <c r="H455" i="18"/>
  <c r="A456" i="18"/>
  <c r="B456" i="18"/>
  <c r="C456" i="18"/>
  <c r="D456" i="18"/>
  <c r="E456" i="18"/>
  <c r="G456" i="18"/>
  <c r="H456" i="18"/>
  <c r="A457" i="18"/>
  <c r="B457" i="18"/>
  <c r="C457" i="18"/>
  <c r="D457" i="18"/>
  <c r="E457" i="18"/>
  <c r="G457" i="18"/>
  <c r="H457" i="18"/>
  <c r="A458" i="18"/>
  <c r="B458" i="18"/>
  <c r="C458" i="18"/>
  <c r="D458" i="18"/>
  <c r="E458" i="18"/>
  <c r="G458" i="18"/>
  <c r="H458" i="18"/>
  <c r="A459" i="18"/>
  <c r="B459" i="18"/>
  <c r="C459" i="18"/>
  <c r="D459" i="18"/>
  <c r="E459" i="18"/>
  <c r="G459" i="18"/>
  <c r="H459" i="18"/>
  <c r="A460" i="18"/>
  <c r="B460" i="18"/>
  <c r="C460" i="18"/>
  <c r="D460" i="18"/>
  <c r="E460" i="18"/>
  <c r="G460" i="18"/>
  <c r="H460" i="18"/>
  <c r="A461" i="18"/>
  <c r="B461" i="18"/>
  <c r="C461" i="18"/>
  <c r="D461" i="18"/>
  <c r="E461" i="18"/>
  <c r="G461" i="18"/>
  <c r="H461" i="18"/>
  <c r="A462" i="18"/>
  <c r="B462" i="18"/>
  <c r="C462" i="18"/>
  <c r="D462" i="18"/>
  <c r="E462" i="18"/>
  <c r="G462" i="18"/>
  <c r="H462" i="18"/>
  <c r="A463" i="18"/>
  <c r="B463" i="18"/>
  <c r="C463" i="18"/>
  <c r="D463" i="18"/>
  <c r="E463" i="18"/>
  <c r="G463" i="18"/>
  <c r="H463" i="18"/>
  <c r="A464" i="18"/>
  <c r="B464" i="18"/>
  <c r="C464" i="18"/>
  <c r="D464" i="18"/>
  <c r="E464" i="18"/>
  <c r="G464" i="18"/>
  <c r="H464" i="18"/>
  <c r="A465" i="18"/>
  <c r="B465" i="18"/>
  <c r="C465" i="18"/>
  <c r="D465" i="18"/>
  <c r="E465" i="18"/>
  <c r="G465" i="18"/>
  <c r="H465" i="18"/>
  <c r="A466" i="18"/>
  <c r="B466" i="18"/>
  <c r="C466" i="18"/>
  <c r="D466" i="18"/>
  <c r="E466" i="18"/>
  <c r="G466" i="18"/>
  <c r="H466" i="18"/>
  <c r="A467" i="18"/>
  <c r="B467" i="18"/>
  <c r="C467" i="18"/>
  <c r="D467" i="18"/>
  <c r="E467" i="18"/>
  <c r="G467" i="18"/>
  <c r="H467" i="18"/>
  <c r="A468" i="18"/>
  <c r="B468" i="18"/>
  <c r="C468" i="18"/>
  <c r="D468" i="18"/>
  <c r="E468" i="18"/>
  <c r="G468" i="18"/>
  <c r="H468" i="18"/>
  <c r="A469" i="18"/>
  <c r="B469" i="18"/>
  <c r="C469" i="18"/>
  <c r="D469" i="18"/>
  <c r="E469" i="18"/>
  <c r="G469" i="18"/>
  <c r="H469" i="18"/>
  <c r="A470" i="18"/>
  <c r="B470" i="18"/>
  <c r="C470" i="18"/>
  <c r="D470" i="18"/>
  <c r="E470" i="18"/>
  <c r="G470" i="18"/>
  <c r="H470" i="18"/>
  <c r="A471" i="18"/>
  <c r="B471" i="18"/>
  <c r="C471" i="18"/>
  <c r="D471" i="18"/>
  <c r="E471" i="18"/>
  <c r="G471" i="18"/>
  <c r="H471" i="18"/>
  <c r="A472" i="18"/>
  <c r="B472" i="18"/>
  <c r="C472" i="18"/>
  <c r="D472" i="18"/>
  <c r="E472" i="18"/>
  <c r="G472" i="18"/>
  <c r="H472" i="18"/>
  <c r="A473" i="18"/>
  <c r="B473" i="18"/>
  <c r="C473" i="18"/>
  <c r="D473" i="18"/>
  <c r="E473" i="18"/>
  <c r="G473" i="18"/>
  <c r="H473" i="18"/>
  <c r="A474" i="18"/>
  <c r="B474" i="18"/>
  <c r="C474" i="18"/>
  <c r="D474" i="18"/>
  <c r="E474" i="18"/>
  <c r="G474" i="18"/>
  <c r="H474" i="18"/>
  <c r="A475" i="18"/>
  <c r="B475" i="18"/>
  <c r="C475" i="18"/>
  <c r="D475" i="18"/>
  <c r="E475" i="18"/>
  <c r="G475" i="18"/>
  <c r="H475" i="18"/>
  <c r="A476" i="18"/>
  <c r="B476" i="18"/>
  <c r="C476" i="18"/>
  <c r="D476" i="18"/>
  <c r="E476" i="18"/>
  <c r="G476" i="18"/>
  <c r="H476" i="18"/>
  <c r="A477" i="18"/>
  <c r="B477" i="18"/>
  <c r="C477" i="18"/>
  <c r="D477" i="18"/>
  <c r="E477" i="18"/>
  <c r="G477" i="18"/>
  <c r="H477" i="18"/>
  <c r="A478" i="18"/>
  <c r="B478" i="18"/>
  <c r="C478" i="18"/>
  <c r="D478" i="18"/>
  <c r="E478" i="18"/>
  <c r="G478" i="18"/>
  <c r="H478" i="18"/>
  <c r="A479" i="18"/>
  <c r="B479" i="18"/>
  <c r="C479" i="18"/>
  <c r="D479" i="18"/>
  <c r="E479" i="18"/>
  <c r="G479" i="18"/>
  <c r="H479" i="18"/>
  <c r="A480" i="18"/>
  <c r="B480" i="18"/>
  <c r="C480" i="18"/>
  <c r="D480" i="18"/>
  <c r="E480" i="18"/>
  <c r="G480" i="18"/>
  <c r="H480" i="18"/>
  <c r="A481" i="18"/>
  <c r="B481" i="18"/>
  <c r="C481" i="18"/>
  <c r="D481" i="18"/>
  <c r="E481" i="18"/>
  <c r="G481" i="18"/>
  <c r="H481" i="18"/>
  <c r="A482" i="18"/>
  <c r="B482" i="18"/>
  <c r="C482" i="18"/>
  <c r="D482" i="18"/>
  <c r="E482" i="18"/>
  <c r="G482" i="18"/>
  <c r="H482" i="18"/>
  <c r="A483" i="18"/>
  <c r="B483" i="18"/>
  <c r="C483" i="18"/>
  <c r="D483" i="18"/>
  <c r="E483" i="18"/>
  <c r="G483" i="18"/>
  <c r="H483" i="18"/>
  <c r="A484" i="18"/>
  <c r="B484" i="18"/>
  <c r="C484" i="18"/>
  <c r="D484" i="18"/>
  <c r="E484" i="18"/>
  <c r="G484" i="18"/>
  <c r="H484" i="18"/>
  <c r="A485" i="18"/>
  <c r="B485" i="18"/>
  <c r="C485" i="18"/>
  <c r="D485" i="18"/>
  <c r="E485" i="18"/>
  <c r="G485" i="18"/>
  <c r="H485" i="18"/>
  <c r="A486" i="18"/>
  <c r="B486" i="18"/>
  <c r="C486" i="18"/>
  <c r="D486" i="18"/>
  <c r="E486" i="18"/>
  <c r="G486" i="18"/>
  <c r="H486" i="18"/>
  <c r="A487" i="18"/>
  <c r="B487" i="18"/>
  <c r="C487" i="18"/>
  <c r="D487" i="18"/>
  <c r="E487" i="18"/>
  <c r="G487" i="18"/>
  <c r="H487" i="18"/>
  <c r="A488" i="18"/>
  <c r="B488" i="18"/>
  <c r="C488" i="18"/>
  <c r="D488" i="18"/>
  <c r="E488" i="18"/>
  <c r="G488" i="18"/>
  <c r="H488" i="18"/>
  <c r="A489" i="18"/>
  <c r="B489" i="18"/>
  <c r="C489" i="18"/>
  <c r="D489" i="18"/>
  <c r="E489" i="18"/>
  <c r="G489" i="18"/>
  <c r="H489" i="18"/>
  <c r="A490" i="18"/>
  <c r="B490" i="18"/>
  <c r="C490" i="18"/>
  <c r="D490" i="18"/>
  <c r="E490" i="18"/>
  <c r="G490" i="18"/>
  <c r="H490" i="18"/>
  <c r="A491" i="18"/>
  <c r="B491" i="18"/>
  <c r="C491" i="18"/>
  <c r="D491" i="18"/>
  <c r="E491" i="18"/>
  <c r="G491" i="18"/>
  <c r="H491" i="18"/>
  <c r="A492" i="18"/>
  <c r="B492" i="18"/>
  <c r="C492" i="18"/>
  <c r="D492" i="18"/>
  <c r="E492" i="18"/>
  <c r="G492" i="18"/>
  <c r="H492" i="18"/>
  <c r="A493" i="18"/>
  <c r="B493" i="18"/>
  <c r="C493" i="18"/>
  <c r="D493" i="18"/>
  <c r="E493" i="18"/>
  <c r="G493" i="18"/>
  <c r="H493" i="18"/>
  <c r="A494" i="18"/>
  <c r="B494" i="18"/>
  <c r="C494" i="18"/>
  <c r="D494" i="18"/>
  <c r="E494" i="18"/>
  <c r="G494" i="18"/>
  <c r="H494" i="18"/>
  <c r="A495" i="18"/>
  <c r="B495" i="18"/>
  <c r="C495" i="18"/>
  <c r="D495" i="18"/>
  <c r="E495" i="18"/>
  <c r="G495" i="18"/>
  <c r="H495" i="18"/>
  <c r="A496" i="18"/>
  <c r="B496" i="18"/>
  <c r="C496" i="18"/>
  <c r="D496" i="18"/>
  <c r="E496" i="18"/>
  <c r="G496" i="18"/>
  <c r="H496" i="18"/>
  <c r="A497" i="18"/>
  <c r="B497" i="18"/>
  <c r="C497" i="18"/>
  <c r="D497" i="18"/>
  <c r="E497" i="18"/>
  <c r="G497" i="18"/>
  <c r="H497" i="18"/>
  <c r="A498" i="18"/>
  <c r="B498" i="18"/>
  <c r="C498" i="18"/>
  <c r="D498" i="18"/>
  <c r="E498" i="18"/>
  <c r="G498" i="18"/>
  <c r="H498" i="18"/>
  <c r="A499" i="18"/>
  <c r="B499" i="18"/>
  <c r="C499" i="18"/>
  <c r="D499" i="18"/>
  <c r="E499" i="18"/>
  <c r="G499" i="18"/>
  <c r="H499" i="18"/>
  <c r="A500" i="18"/>
  <c r="B500" i="18"/>
  <c r="C500" i="18"/>
  <c r="D500" i="18"/>
  <c r="E500" i="18"/>
  <c r="G500" i="18"/>
  <c r="H500" i="18"/>
  <c r="H3" i="18"/>
  <c r="H4" i="18"/>
  <c r="H5" i="18"/>
  <c r="H6" i="18"/>
  <c r="H7" i="18"/>
  <c r="H8" i="18"/>
  <c r="H9" i="18"/>
  <c r="H10" i="18"/>
  <c r="H11" i="18"/>
  <c r="H12" i="18"/>
  <c r="H13" i="18"/>
  <c r="H14" i="18"/>
  <c r="H15" i="18"/>
  <c r="H16" i="18"/>
  <c r="H17" i="18"/>
  <c r="H18" i="18"/>
  <c r="H19" i="18"/>
  <c r="H20" i="18"/>
  <c r="H21" i="18"/>
  <c r="H22"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2"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5"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5" i="18"/>
  <c r="H226" i="18"/>
  <c r="H227" i="18"/>
  <c r="H228" i="18"/>
  <c r="H229"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321" i="18"/>
  <c r="H322" i="18"/>
  <c r="H323" i="18"/>
  <c r="H324" i="18"/>
  <c r="H325" i="18"/>
  <c r="H326" i="18"/>
  <c r="H327" i="18"/>
  <c r="H328" i="18"/>
  <c r="H329" i="18"/>
  <c r="H330" i="18"/>
  <c r="H331" i="18"/>
  <c r="H332" i="18"/>
  <c r="H333" i="18"/>
  <c r="H334" i="18"/>
  <c r="H335" i="18"/>
  <c r="H336" i="18"/>
  <c r="H337" i="18"/>
  <c r="H338" i="18"/>
  <c r="H339" i="18"/>
  <c r="H340" i="18"/>
  <c r="H341" i="18"/>
  <c r="H342" i="18"/>
  <c r="H343" i="18"/>
  <c r="H344" i="18"/>
  <c r="H345" i="18"/>
  <c r="H346" i="18"/>
  <c r="H347" i="18"/>
  <c r="H348" i="18"/>
  <c r="H349" i="18"/>
  <c r="H350" i="18"/>
  <c r="H351" i="18"/>
  <c r="H352" i="18"/>
  <c r="H353" i="18"/>
  <c r="H354" i="18"/>
  <c r="H355" i="18"/>
  <c r="H356" i="18"/>
  <c r="H357" i="18"/>
  <c r="H358" i="18"/>
  <c r="H359" i="18"/>
  <c r="H360" i="18"/>
  <c r="H361" i="18"/>
  <c r="H362" i="18"/>
  <c r="H363" i="18"/>
  <c r="H364" i="18"/>
  <c r="H365" i="18"/>
  <c r="H366" i="18"/>
  <c r="H367" i="18"/>
  <c r="H368" i="18"/>
  <c r="H369" i="18"/>
  <c r="H370" i="18"/>
  <c r="H371" i="18"/>
  <c r="H372" i="18"/>
  <c r="H373" i="18"/>
  <c r="H374" i="18"/>
  <c r="H375" i="18"/>
  <c r="H376" i="18"/>
  <c r="H377" i="18"/>
  <c r="H378" i="18"/>
  <c r="H379" i="18"/>
  <c r="H380" i="18"/>
  <c r="H381" i="18"/>
  <c r="H382" i="18"/>
  <c r="H383" i="18"/>
  <c r="H384" i="18"/>
  <c r="H385" i="18"/>
  <c r="H386" i="18"/>
  <c r="H387" i="18"/>
  <c r="H388" i="18"/>
  <c r="H389" i="18"/>
  <c r="H390" i="18"/>
  <c r="H391" i="18"/>
  <c r="H392" i="18"/>
  <c r="H393" i="18"/>
  <c r="H394" i="18"/>
  <c r="H395" i="18"/>
  <c r="H396" i="18"/>
  <c r="H397" i="18"/>
  <c r="H398" i="18"/>
  <c r="H399" i="18"/>
  <c r="H400" i="18"/>
  <c r="H401" i="18"/>
  <c r="H402" i="18"/>
  <c r="H403" i="18"/>
  <c r="H404" i="18"/>
  <c r="H405" i="18"/>
  <c r="H406" i="18"/>
  <c r="H407" i="18"/>
  <c r="H408" i="18"/>
  <c r="H409" i="18"/>
  <c r="H410" i="18"/>
  <c r="H411" i="18"/>
  <c r="H412" i="18"/>
  <c r="H413" i="18"/>
  <c r="H414" i="18"/>
  <c r="H415" i="18"/>
  <c r="H416" i="18"/>
  <c r="H417" i="18"/>
  <c r="H418" i="18"/>
  <c r="H419" i="18"/>
  <c r="H420" i="18"/>
  <c r="H421" i="18"/>
  <c r="H422" i="18"/>
  <c r="H423" i="18"/>
  <c r="H424" i="18"/>
  <c r="H425" i="18"/>
  <c r="H426" i="18"/>
  <c r="H427" i="18"/>
  <c r="H428" i="18"/>
  <c r="H429" i="18"/>
  <c r="H430" i="18"/>
  <c r="H431" i="18"/>
  <c r="H432" i="18"/>
  <c r="A3" i="18"/>
  <c r="C3" i="18"/>
  <c r="D3" i="18"/>
  <c r="E3" i="18"/>
  <c r="G3" i="18"/>
  <c r="F3" i="18" s="1"/>
  <c r="A4" i="18"/>
  <c r="C4" i="18"/>
  <c r="D4" i="18"/>
  <c r="E4" i="18"/>
  <c r="G4" i="18"/>
  <c r="F4" i="18" s="1"/>
  <c r="A5" i="18"/>
  <c r="C5" i="18"/>
  <c r="D5" i="18"/>
  <c r="E5" i="18"/>
  <c r="G5" i="18"/>
  <c r="F5" i="18" s="1"/>
  <c r="A6" i="18"/>
  <c r="C6" i="18"/>
  <c r="D6" i="18"/>
  <c r="E6" i="18"/>
  <c r="G6" i="18"/>
  <c r="F6" i="18" s="1"/>
  <c r="A7" i="18"/>
  <c r="C7" i="18"/>
  <c r="D7" i="18"/>
  <c r="E7" i="18"/>
  <c r="G7" i="18"/>
  <c r="F7" i="18" s="1"/>
  <c r="A8" i="18"/>
  <c r="C8" i="18"/>
  <c r="D8" i="18"/>
  <c r="E8" i="18"/>
  <c r="G8" i="18"/>
  <c r="F8" i="18" s="1"/>
  <c r="A9" i="18"/>
  <c r="C9" i="18"/>
  <c r="D9" i="18"/>
  <c r="E9" i="18"/>
  <c r="G9" i="18"/>
  <c r="F9" i="18" s="1"/>
  <c r="A10" i="18"/>
  <c r="C10" i="18"/>
  <c r="D10" i="18"/>
  <c r="E10" i="18"/>
  <c r="G10" i="18"/>
  <c r="F10" i="18" s="1"/>
  <c r="A11" i="18"/>
  <c r="C11" i="18"/>
  <c r="D11" i="18"/>
  <c r="E11" i="18"/>
  <c r="G11" i="18"/>
  <c r="F11" i="18" s="1"/>
  <c r="A12" i="18"/>
  <c r="C12" i="18"/>
  <c r="D12" i="18"/>
  <c r="E12" i="18"/>
  <c r="G12" i="18"/>
  <c r="F12" i="18" s="1"/>
  <c r="A13" i="18"/>
  <c r="C13" i="18"/>
  <c r="D13" i="18"/>
  <c r="E13" i="18"/>
  <c r="G13" i="18"/>
  <c r="F13" i="18" s="1"/>
  <c r="A14" i="18"/>
  <c r="C14" i="18"/>
  <c r="D14" i="18"/>
  <c r="E14" i="18"/>
  <c r="G14" i="18"/>
  <c r="F14" i="18" s="1"/>
  <c r="A15" i="18"/>
  <c r="C15" i="18"/>
  <c r="D15" i="18"/>
  <c r="E15" i="18"/>
  <c r="G15" i="18"/>
  <c r="F15" i="18" s="1"/>
  <c r="A16" i="18"/>
  <c r="C16" i="18"/>
  <c r="D16" i="18"/>
  <c r="E16" i="18"/>
  <c r="G16" i="18"/>
  <c r="F16" i="18" s="1"/>
  <c r="A17" i="18"/>
  <c r="C17" i="18"/>
  <c r="D17" i="18"/>
  <c r="E17" i="18"/>
  <c r="G17" i="18"/>
  <c r="F17" i="18" s="1"/>
  <c r="A18" i="18"/>
  <c r="C18" i="18"/>
  <c r="D18" i="18"/>
  <c r="E18" i="18"/>
  <c r="G18" i="18"/>
  <c r="F18" i="18" s="1"/>
  <c r="A19" i="18"/>
  <c r="C19" i="18"/>
  <c r="D19" i="18"/>
  <c r="E19" i="18"/>
  <c r="G19" i="18"/>
  <c r="F19" i="18" s="1"/>
  <c r="A20" i="18"/>
  <c r="C20" i="18"/>
  <c r="D20" i="18"/>
  <c r="E20" i="18"/>
  <c r="G20" i="18"/>
  <c r="F20" i="18" s="1"/>
  <c r="A21" i="18"/>
  <c r="C21" i="18"/>
  <c r="D21" i="18"/>
  <c r="E21" i="18"/>
  <c r="G21" i="18"/>
  <c r="F21" i="18" s="1"/>
  <c r="A22" i="18"/>
  <c r="C22" i="18"/>
  <c r="D22" i="18"/>
  <c r="E22" i="18"/>
  <c r="G22" i="18"/>
  <c r="F22" i="18" s="1"/>
  <c r="A23" i="18"/>
  <c r="C23" i="18"/>
  <c r="D23" i="18"/>
  <c r="E23" i="18"/>
  <c r="G23" i="18"/>
  <c r="F23" i="18" s="1"/>
  <c r="A24" i="18"/>
  <c r="C24" i="18"/>
  <c r="D24" i="18"/>
  <c r="E24" i="18"/>
  <c r="G24" i="18"/>
  <c r="F24" i="18" s="1"/>
  <c r="A25" i="18"/>
  <c r="C25" i="18"/>
  <c r="D25" i="18"/>
  <c r="E25" i="18"/>
  <c r="G25" i="18"/>
  <c r="F25" i="18" s="1"/>
  <c r="A26" i="18"/>
  <c r="C26" i="18"/>
  <c r="D26" i="18"/>
  <c r="E26" i="18"/>
  <c r="G26" i="18"/>
  <c r="F26" i="18" s="1"/>
  <c r="A27" i="18"/>
  <c r="C27" i="18"/>
  <c r="D27" i="18"/>
  <c r="E27" i="18"/>
  <c r="G27" i="18"/>
  <c r="F27" i="18" s="1"/>
  <c r="A28" i="18"/>
  <c r="C28" i="18"/>
  <c r="D28" i="18"/>
  <c r="E28" i="18"/>
  <c r="G28" i="18"/>
  <c r="F28" i="18" s="1"/>
  <c r="A29" i="18"/>
  <c r="C29" i="18"/>
  <c r="D29" i="18"/>
  <c r="E29" i="18"/>
  <c r="G29" i="18"/>
  <c r="F29" i="18" s="1"/>
  <c r="A30" i="18"/>
  <c r="C30" i="18"/>
  <c r="D30" i="18"/>
  <c r="E30" i="18"/>
  <c r="G30" i="18"/>
  <c r="F30" i="18" s="1"/>
  <c r="A31" i="18"/>
  <c r="C31" i="18"/>
  <c r="D31" i="18"/>
  <c r="E31" i="18"/>
  <c r="G31" i="18"/>
  <c r="F31" i="18" s="1"/>
  <c r="A32" i="18"/>
  <c r="C32" i="18"/>
  <c r="D32" i="18"/>
  <c r="E32" i="18"/>
  <c r="G32" i="18"/>
  <c r="F32" i="18" s="1"/>
  <c r="A33" i="18"/>
  <c r="C33" i="18"/>
  <c r="D33" i="18"/>
  <c r="E33" i="18"/>
  <c r="G33" i="18"/>
  <c r="F33" i="18" s="1"/>
  <c r="A34" i="18"/>
  <c r="C34" i="18"/>
  <c r="D34" i="18"/>
  <c r="E34" i="18"/>
  <c r="G34" i="18"/>
  <c r="F34" i="18" s="1"/>
  <c r="A35" i="18"/>
  <c r="C35" i="18"/>
  <c r="D35" i="18"/>
  <c r="E35" i="18"/>
  <c r="G35" i="18"/>
  <c r="F35" i="18" s="1"/>
  <c r="A36" i="18"/>
  <c r="C36" i="18"/>
  <c r="D36" i="18"/>
  <c r="E36" i="18"/>
  <c r="G36" i="18"/>
  <c r="F36" i="18" s="1"/>
  <c r="A37" i="18"/>
  <c r="C37" i="18"/>
  <c r="D37" i="18"/>
  <c r="E37" i="18"/>
  <c r="G37" i="18"/>
  <c r="F37" i="18" s="1"/>
  <c r="A38" i="18"/>
  <c r="C38" i="18"/>
  <c r="D38" i="18"/>
  <c r="E38" i="18"/>
  <c r="G38" i="18"/>
  <c r="F38" i="18" s="1"/>
  <c r="A39" i="18"/>
  <c r="C39" i="18"/>
  <c r="D39" i="18"/>
  <c r="E39" i="18"/>
  <c r="G39" i="18"/>
  <c r="F39" i="18" s="1"/>
  <c r="A40" i="18"/>
  <c r="C40" i="18"/>
  <c r="D40" i="18"/>
  <c r="E40" i="18"/>
  <c r="G40" i="18"/>
  <c r="F40" i="18" s="1"/>
  <c r="A41" i="18"/>
  <c r="C41" i="18"/>
  <c r="D41" i="18"/>
  <c r="E41" i="18"/>
  <c r="G41" i="18"/>
  <c r="F41" i="18" s="1"/>
  <c r="A42" i="18"/>
  <c r="C42" i="18"/>
  <c r="D42" i="18"/>
  <c r="E42" i="18"/>
  <c r="G42" i="18"/>
  <c r="F42" i="18" s="1"/>
  <c r="A43" i="18"/>
  <c r="C43" i="18"/>
  <c r="D43" i="18"/>
  <c r="E43" i="18"/>
  <c r="G43" i="18"/>
  <c r="F43" i="18" s="1"/>
  <c r="A44" i="18"/>
  <c r="C44" i="18"/>
  <c r="D44" i="18"/>
  <c r="E44" i="18"/>
  <c r="G44" i="18"/>
  <c r="F44" i="18" s="1"/>
  <c r="A45" i="18"/>
  <c r="C45" i="18"/>
  <c r="D45" i="18"/>
  <c r="E45" i="18"/>
  <c r="G45" i="18"/>
  <c r="F45" i="18" s="1"/>
  <c r="A46" i="18"/>
  <c r="C46" i="18"/>
  <c r="D46" i="18"/>
  <c r="E46" i="18"/>
  <c r="G46" i="18"/>
  <c r="F46" i="18" s="1"/>
  <c r="A47" i="18"/>
  <c r="C47" i="18"/>
  <c r="D47" i="18"/>
  <c r="E47" i="18"/>
  <c r="G47" i="18"/>
  <c r="F47" i="18" s="1"/>
  <c r="A48" i="18"/>
  <c r="C48" i="18"/>
  <c r="D48" i="18"/>
  <c r="E48" i="18"/>
  <c r="G48" i="18"/>
  <c r="F48" i="18" s="1"/>
  <c r="A49" i="18"/>
  <c r="C49" i="18"/>
  <c r="D49" i="18"/>
  <c r="E49" i="18"/>
  <c r="G49" i="18"/>
  <c r="F49" i="18" s="1"/>
  <c r="A50" i="18"/>
  <c r="C50" i="18"/>
  <c r="D50" i="18"/>
  <c r="E50" i="18"/>
  <c r="G50" i="18"/>
  <c r="F50" i="18" s="1"/>
  <c r="A51" i="18"/>
  <c r="C51" i="18"/>
  <c r="D51" i="18"/>
  <c r="E51" i="18"/>
  <c r="G51" i="18"/>
  <c r="F51" i="18" s="1"/>
  <c r="A52" i="18"/>
  <c r="C52" i="18"/>
  <c r="D52" i="18"/>
  <c r="E52" i="18"/>
  <c r="G52" i="18"/>
  <c r="F52" i="18" s="1"/>
  <c r="A53" i="18"/>
  <c r="C53" i="18"/>
  <c r="D53" i="18"/>
  <c r="E53" i="18"/>
  <c r="G53" i="18"/>
  <c r="F53" i="18" s="1"/>
  <c r="A54" i="18"/>
  <c r="C54" i="18"/>
  <c r="D54" i="18"/>
  <c r="E54" i="18"/>
  <c r="G54" i="18"/>
  <c r="F54" i="18" s="1"/>
  <c r="A55" i="18"/>
  <c r="C55" i="18"/>
  <c r="D55" i="18"/>
  <c r="E55" i="18"/>
  <c r="G55" i="18"/>
  <c r="F55" i="18" s="1"/>
  <c r="A56" i="18"/>
  <c r="C56" i="18"/>
  <c r="D56" i="18"/>
  <c r="E56" i="18"/>
  <c r="G56" i="18"/>
  <c r="F56" i="18" s="1"/>
  <c r="A57" i="18"/>
  <c r="C57" i="18"/>
  <c r="D57" i="18"/>
  <c r="E57" i="18"/>
  <c r="G57" i="18"/>
  <c r="F57" i="18" s="1"/>
  <c r="A58" i="18"/>
  <c r="C58" i="18"/>
  <c r="D58" i="18"/>
  <c r="E58" i="18"/>
  <c r="G58" i="18"/>
  <c r="F58" i="18" s="1"/>
  <c r="A59" i="18"/>
  <c r="C59" i="18"/>
  <c r="D59" i="18"/>
  <c r="E59" i="18"/>
  <c r="G59" i="18"/>
  <c r="F59" i="18" s="1"/>
  <c r="A60" i="18"/>
  <c r="C60" i="18"/>
  <c r="D60" i="18"/>
  <c r="E60" i="18"/>
  <c r="G60" i="18"/>
  <c r="F60" i="18" s="1"/>
  <c r="A61" i="18"/>
  <c r="C61" i="18"/>
  <c r="D61" i="18"/>
  <c r="E61" i="18"/>
  <c r="G61" i="18"/>
  <c r="F61" i="18" s="1"/>
  <c r="A62" i="18"/>
  <c r="C62" i="18"/>
  <c r="D62" i="18"/>
  <c r="E62" i="18"/>
  <c r="G62" i="18"/>
  <c r="F62" i="18" s="1"/>
  <c r="A63" i="18"/>
  <c r="C63" i="18"/>
  <c r="D63" i="18"/>
  <c r="E63" i="18"/>
  <c r="G63" i="18"/>
  <c r="F63" i="18" s="1"/>
  <c r="A64" i="18"/>
  <c r="C64" i="18"/>
  <c r="D64" i="18"/>
  <c r="E64" i="18"/>
  <c r="G64" i="18"/>
  <c r="F64" i="18" s="1"/>
  <c r="A65" i="18"/>
  <c r="C65" i="18"/>
  <c r="D65" i="18"/>
  <c r="E65" i="18"/>
  <c r="G65" i="18"/>
  <c r="F65" i="18" s="1"/>
  <c r="A66" i="18"/>
  <c r="C66" i="18"/>
  <c r="D66" i="18"/>
  <c r="E66" i="18"/>
  <c r="G66" i="18"/>
  <c r="F66" i="18" s="1"/>
  <c r="A67" i="18"/>
  <c r="C67" i="18"/>
  <c r="D67" i="18"/>
  <c r="E67" i="18"/>
  <c r="G67" i="18"/>
  <c r="F67" i="18" s="1"/>
  <c r="A68" i="18"/>
  <c r="C68" i="18"/>
  <c r="D68" i="18"/>
  <c r="E68" i="18"/>
  <c r="G68" i="18"/>
  <c r="F68" i="18" s="1"/>
  <c r="A69" i="18"/>
  <c r="C69" i="18"/>
  <c r="D69" i="18"/>
  <c r="E69" i="18"/>
  <c r="G69" i="18"/>
  <c r="F69" i="18" s="1"/>
  <c r="A70" i="18"/>
  <c r="C70" i="18"/>
  <c r="D70" i="18"/>
  <c r="E70" i="18"/>
  <c r="G70" i="18"/>
  <c r="F70" i="18" s="1"/>
  <c r="A71" i="18"/>
  <c r="C71" i="18"/>
  <c r="D71" i="18"/>
  <c r="E71" i="18"/>
  <c r="G71" i="18"/>
  <c r="F71" i="18" s="1"/>
  <c r="A72" i="18"/>
  <c r="C72" i="18"/>
  <c r="D72" i="18"/>
  <c r="E72" i="18"/>
  <c r="G72" i="18"/>
  <c r="A73" i="18"/>
  <c r="C73" i="18"/>
  <c r="D73" i="18"/>
  <c r="E73" i="18"/>
  <c r="G73" i="18"/>
  <c r="A74" i="18"/>
  <c r="C74" i="18"/>
  <c r="D74" i="18"/>
  <c r="E74" i="18"/>
  <c r="G74" i="18"/>
  <c r="A75" i="18"/>
  <c r="C75" i="18"/>
  <c r="D75" i="18"/>
  <c r="E75" i="18"/>
  <c r="G75" i="18"/>
  <c r="A76" i="18"/>
  <c r="C76" i="18"/>
  <c r="D76" i="18"/>
  <c r="E76" i="18"/>
  <c r="G76" i="18"/>
  <c r="A77" i="18"/>
  <c r="C77" i="18"/>
  <c r="D77" i="18"/>
  <c r="E77" i="18"/>
  <c r="G77" i="18"/>
  <c r="A78" i="18"/>
  <c r="C78" i="18"/>
  <c r="D78" i="18"/>
  <c r="E78" i="18"/>
  <c r="G78" i="18"/>
  <c r="A79" i="18"/>
  <c r="C79" i="18"/>
  <c r="D79" i="18"/>
  <c r="E79" i="18"/>
  <c r="G79" i="18"/>
  <c r="A80" i="18"/>
  <c r="C80" i="18"/>
  <c r="D80" i="18"/>
  <c r="E80" i="18"/>
  <c r="G80" i="18"/>
  <c r="A81" i="18"/>
  <c r="C81" i="18"/>
  <c r="D81" i="18"/>
  <c r="E81" i="18"/>
  <c r="G81" i="18"/>
  <c r="A82" i="18"/>
  <c r="C82" i="18"/>
  <c r="D82" i="18"/>
  <c r="E82" i="18"/>
  <c r="G82" i="18"/>
  <c r="A83" i="18"/>
  <c r="C83" i="18"/>
  <c r="D83" i="18"/>
  <c r="E83" i="18"/>
  <c r="G83" i="18"/>
  <c r="A84" i="18"/>
  <c r="C84" i="18"/>
  <c r="D84" i="18"/>
  <c r="E84" i="18"/>
  <c r="G84" i="18"/>
  <c r="A85" i="18"/>
  <c r="C85" i="18"/>
  <c r="D85" i="18"/>
  <c r="E85" i="18"/>
  <c r="G85" i="18"/>
  <c r="A86" i="18"/>
  <c r="C86" i="18"/>
  <c r="D86" i="18"/>
  <c r="E86" i="18"/>
  <c r="G86" i="18"/>
  <c r="A87" i="18"/>
  <c r="C87" i="18"/>
  <c r="D87" i="18"/>
  <c r="E87" i="18"/>
  <c r="G87" i="18"/>
  <c r="A88" i="18"/>
  <c r="C88" i="18"/>
  <c r="D88" i="18"/>
  <c r="E88" i="18"/>
  <c r="G88" i="18"/>
  <c r="A89" i="18"/>
  <c r="C89" i="18"/>
  <c r="D89" i="18"/>
  <c r="E89" i="18"/>
  <c r="G89" i="18"/>
  <c r="A90" i="18"/>
  <c r="C90" i="18"/>
  <c r="D90" i="18"/>
  <c r="E90" i="18"/>
  <c r="G90" i="18"/>
  <c r="A91" i="18"/>
  <c r="C91" i="18"/>
  <c r="D91" i="18"/>
  <c r="E91" i="18"/>
  <c r="G91" i="18"/>
  <c r="A92" i="18"/>
  <c r="C92" i="18"/>
  <c r="D92" i="18"/>
  <c r="E92" i="18"/>
  <c r="G92" i="18"/>
  <c r="A93" i="18"/>
  <c r="C93" i="18"/>
  <c r="D93" i="18"/>
  <c r="E93" i="18"/>
  <c r="G93" i="18"/>
  <c r="A94" i="18"/>
  <c r="C94" i="18"/>
  <c r="D94" i="18"/>
  <c r="E94" i="18"/>
  <c r="G94" i="18"/>
  <c r="A95" i="18"/>
  <c r="C95" i="18"/>
  <c r="D95" i="18"/>
  <c r="E95" i="18"/>
  <c r="G95" i="18"/>
  <c r="A96" i="18"/>
  <c r="C96" i="18"/>
  <c r="D96" i="18"/>
  <c r="E96" i="18"/>
  <c r="G96" i="18"/>
  <c r="A97" i="18"/>
  <c r="C97" i="18"/>
  <c r="D97" i="18"/>
  <c r="E97" i="18"/>
  <c r="G97" i="18"/>
  <c r="A98" i="18"/>
  <c r="C98" i="18"/>
  <c r="D98" i="18"/>
  <c r="E98" i="18"/>
  <c r="G98" i="18"/>
  <c r="A99" i="18"/>
  <c r="C99" i="18"/>
  <c r="D99" i="18"/>
  <c r="E99" i="18"/>
  <c r="G99" i="18"/>
  <c r="A100" i="18"/>
  <c r="C100" i="18"/>
  <c r="D100" i="18"/>
  <c r="E100" i="18"/>
  <c r="G100" i="18"/>
  <c r="A101" i="18"/>
  <c r="C101" i="18"/>
  <c r="D101" i="18"/>
  <c r="E101" i="18"/>
  <c r="G101" i="18"/>
  <c r="A102" i="18"/>
  <c r="C102" i="18"/>
  <c r="D102" i="18"/>
  <c r="E102" i="18"/>
  <c r="G102" i="18"/>
  <c r="A103" i="18"/>
  <c r="C103" i="18"/>
  <c r="D103" i="18"/>
  <c r="E103" i="18"/>
  <c r="G103" i="18"/>
  <c r="A104" i="18"/>
  <c r="C104" i="18"/>
  <c r="D104" i="18"/>
  <c r="E104" i="18"/>
  <c r="G104" i="18"/>
  <c r="A105" i="18"/>
  <c r="C105" i="18"/>
  <c r="D105" i="18"/>
  <c r="E105" i="18"/>
  <c r="G105" i="18"/>
  <c r="A106" i="18"/>
  <c r="C106" i="18"/>
  <c r="D106" i="18"/>
  <c r="E106" i="18"/>
  <c r="G106" i="18"/>
  <c r="A107" i="18"/>
  <c r="C107" i="18"/>
  <c r="D107" i="18"/>
  <c r="E107" i="18"/>
  <c r="G107" i="18"/>
  <c r="A108" i="18"/>
  <c r="C108" i="18"/>
  <c r="D108" i="18"/>
  <c r="E108" i="18"/>
  <c r="G108" i="18"/>
  <c r="A109" i="18"/>
  <c r="C109" i="18"/>
  <c r="D109" i="18"/>
  <c r="E109" i="18"/>
  <c r="G109" i="18"/>
  <c r="A110" i="18"/>
  <c r="C110" i="18"/>
  <c r="D110" i="18"/>
  <c r="E110" i="18"/>
  <c r="G110" i="18"/>
  <c r="A111" i="18"/>
  <c r="C111" i="18"/>
  <c r="D111" i="18"/>
  <c r="E111" i="18"/>
  <c r="G111" i="18"/>
  <c r="A112" i="18"/>
  <c r="C112" i="18"/>
  <c r="D112" i="18"/>
  <c r="E112" i="18"/>
  <c r="G112" i="18"/>
  <c r="A113" i="18"/>
  <c r="C113" i="18"/>
  <c r="D113" i="18"/>
  <c r="E113" i="18"/>
  <c r="G113" i="18"/>
  <c r="A114" i="18"/>
  <c r="C114" i="18"/>
  <c r="D114" i="18"/>
  <c r="E114" i="18"/>
  <c r="G114" i="18"/>
  <c r="A115" i="18"/>
  <c r="C115" i="18"/>
  <c r="D115" i="18"/>
  <c r="E115" i="18"/>
  <c r="G115" i="18"/>
  <c r="A116" i="18"/>
  <c r="C116" i="18"/>
  <c r="D116" i="18"/>
  <c r="E116" i="18"/>
  <c r="G116" i="18"/>
  <c r="A117" i="18"/>
  <c r="C117" i="18"/>
  <c r="D117" i="18"/>
  <c r="E117" i="18"/>
  <c r="G117" i="18"/>
  <c r="A118" i="18"/>
  <c r="C118" i="18"/>
  <c r="D118" i="18"/>
  <c r="E118" i="18"/>
  <c r="G118" i="18"/>
  <c r="A119" i="18"/>
  <c r="C119" i="18"/>
  <c r="D119" i="18"/>
  <c r="E119" i="18"/>
  <c r="G119" i="18"/>
  <c r="A120" i="18"/>
  <c r="C120" i="18"/>
  <c r="D120" i="18"/>
  <c r="E120" i="18"/>
  <c r="G120" i="18"/>
  <c r="A121" i="18"/>
  <c r="C121" i="18"/>
  <c r="D121" i="18"/>
  <c r="E121" i="18"/>
  <c r="G121" i="18"/>
  <c r="A122" i="18"/>
  <c r="C122" i="18"/>
  <c r="D122" i="18"/>
  <c r="E122" i="18"/>
  <c r="G122" i="18"/>
  <c r="A123" i="18"/>
  <c r="C123" i="18"/>
  <c r="D123" i="18"/>
  <c r="E123" i="18"/>
  <c r="G123" i="18"/>
  <c r="A124" i="18"/>
  <c r="C124" i="18"/>
  <c r="D124" i="18"/>
  <c r="E124" i="18"/>
  <c r="G124" i="18"/>
  <c r="A125" i="18"/>
  <c r="C125" i="18"/>
  <c r="D125" i="18"/>
  <c r="E125" i="18"/>
  <c r="G125" i="18"/>
  <c r="A126" i="18"/>
  <c r="C126" i="18"/>
  <c r="D126" i="18"/>
  <c r="E126" i="18"/>
  <c r="G126" i="18"/>
  <c r="A127" i="18"/>
  <c r="C127" i="18"/>
  <c r="D127" i="18"/>
  <c r="E127" i="18"/>
  <c r="G127" i="18"/>
  <c r="A128" i="18"/>
  <c r="C128" i="18"/>
  <c r="D128" i="18"/>
  <c r="E128" i="18"/>
  <c r="G128" i="18"/>
  <c r="A129" i="18"/>
  <c r="C129" i="18"/>
  <c r="D129" i="18"/>
  <c r="E129" i="18"/>
  <c r="G129" i="18"/>
  <c r="A130" i="18"/>
  <c r="C130" i="18"/>
  <c r="D130" i="18"/>
  <c r="E130" i="18"/>
  <c r="G130" i="18"/>
  <c r="A131" i="18"/>
  <c r="C131" i="18"/>
  <c r="D131" i="18"/>
  <c r="E131" i="18"/>
  <c r="G131" i="18"/>
  <c r="A132" i="18"/>
  <c r="C132" i="18"/>
  <c r="D132" i="18"/>
  <c r="E132" i="18"/>
  <c r="G132" i="18"/>
  <c r="A133" i="18"/>
  <c r="C133" i="18"/>
  <c r="D133" i="18"/>
  <c r="E133" i="18"/>
  <c r="G133" i="18"/>
  <c r="A134" i="18"/>
  <c r="C134" i="18"/>
  <c r="D134" i="18"/>
  <c r="E134" i="18"/>
  <c r="G134" i="18"/>
  <c r="A135" i="18"/>
  <c r="C135" i="18"/>
  <c r="D135" i="18"/>
  <c r="E135" i="18"/>
  <c r="G135" i="18"/>
  <c r="A136" i="18"/>
  <c r="C136" i="18"/>
  <c r="D136" i="18"/>
  <c r="E136" i="18"/>
  <c r="G136" i="18"/>
  <c r="A137" i="18"/>
  <c r="C137" i="18"/>
  <c r="D137" i="18"/>
  <c r="E137" i="18"/>
  <c r="G137" i="18"/>
  <c r="A138" i="18"/>
  <c r="C138" i="18"/>
  <c r="D138" i="18"/>
  <c r="E138" i="18"/>
  <c r="G138" i="18"/>
  <c r="A139" i="18"/>
  <c r="B139" i="18"/>
  <c r="C139" i="18"/>
  <c r="D139" i="18"/>
  <c r="E139" i="18"/>
  <c r="G139" i="18"/>
  <c r="A140" i="18"/>
  <c r="B140" i="18"/>
  <c r="C140" i="18"/>
  <c r="D140" i="18"/>
  <c r="E140" i="18"/>
  <c r="G140" i="18"/>
  <c r="A141" i="18"/>
  <c r="B141" i="18"/>
  <c r="C141" i="18"/>
  <c r="D141" i="18"/>
  <c r="E141" i="18"/>
  <c r="G141" i="18"/>
  <c r="A142" i="18"/>
  <c r="B142" i="18"/>
  <c r="C142" i="18"/>
  <c r="D142" i="18"/>
  <c r="E142" i="18"/>
  <c r="G142" i="18"/>
  <c r="A143" i="18"/>
  <c r="B143" i="18"/>
  <c r="C143" i="18"/>
  <c r="D143" i="18"/>
  <c r="E143" i="18"/>
  <c r="G143" i="18"/>
  <c r="A144" i="18"/>
  <c r="B144" i="18"/>
  <c r="C144" i="18"/>
  <c r="D144" i="18"/>
  <c r="E144" i="18"/>
  <c r="G144" i="18"/>
  <c r="A145" i="18"/>
  <c r="B145" i="18"/>
  <c r="C145" i="18"/>
  <c r="D145" i="18"/>
  <c r="E145" i="18"/>
  <c r="G145" i="18"/>
  <c r="A146" i="18"/>
  <c r="B146" i="18"/>
  <c r="C146" i="18"/>
  <c r="D146" i="18"/>
  <c r="E146" i="18"/>
  <c r="G146" i="18"/>
  <c r="A147" i="18"/>
  <c r="B147" i="18"/>
  <c r="C147" i="18"/>
  <c r="D147" i="18"/>
  <c r="E147" i="18"/>
  <c r="G147" i="18"/>
  <c r="A148" i="18"/>
  <c r="B148" i="18"/>
  <c r="C148" i="18"/>
  <c r="D148" i="18"/>
  <c r="E148" i="18"/>
  <c r="G148" i="18"/>
  <c r="A149" i="18"/>
  <c r="C149" i="18"/>
  <c r="D149" i="18"/>
  <c r="E149" i="18"/>
  <c r="G149" i="18"/>
  <c r="A150" i="18"/>
  <c r="B150" i="18"/>
  <c r="C150" i="18"/>
  <c r="D150" i="18"/>
  <c r="E150" i="18"/>
  <c r="G150" i="18"/>
  <c r="A151" i="18"/>
  <c r="B151" i="18"/>
  <c r="C151" i="18"/>
  <c r="D151" i="18"/>
  <c r="E151" i="18"/>
  <c r="G151" i="18"/>
  <c r="A152" i="18"/>
  <c r="B152" i="18"/>
  <c r="C152" i="18"/>
  <c r="D152" i="18"/>
  <c r="E152" i="18"/>
  <c r="G152" i="18"/>
  <c r="A153" i="18"/>
  <c r="B153" i="18"/>
  <c r="C153" i="18"/>
  <c r="D153" i="18"/>
  <c r="E153" i="18"/>
  <c r="G153" i="18"/>
  <c r="A154" i="18"/>
  <c r="B154" i="18"/>
  <c r="C154" i="18"/>
  <c r="D154" i="18"/>
  <c r="E154" i="18"/>
  <c r="G154" i="18"/>
  <c r="A155" i="18"/>
  <c r="B155" i="18"/>
  <c r="C155" i="18"/>
  <c r="D155" i="18"/>
  <c r="E155" i="18"/>
  <c r="G155" i="18"/>
  <c r="A156" i="18"/>
  <c r="B156" i="18"/>
  <c r="C156" i="18"/>
  <c r="D156" i="18"/>
  <c r="E156" i="18"/>
  <c r="G156" i="18"/>
  <c r="A157" i="18"/>
  <c r="B157" i="18"/>
  <c r="C157" i="18"/>
  <c r="D157" i="18"/>
  <c r="E157" i="18"/>
  <c r="G157" i="18"/>
  <c r="A158" i="18"/>
  <c r="B158" i="18"/>
  <c r="C158" i="18"/>
  <c r="D158" i="18"/>
  <c r="E158" i="18"/>
  <c r="G158" i="18"/>
  <c r="A159" i="18"/>
  <c r="B159" i="18"/>
  <c r="C159" i="18"/>
  <c r="D159" i="18"/>
  <c r="E159" i="18"/>
  <c r="G159" i="18"/>
  <c r="A160" i="18"/>
  <c r="B160" i="18"/>
  <c r="C160" i="18"/>
  <c r="D160" i="18"/>
  <c r="E160" i="18"/>
  <c r="G160" i="18"/>
  <c r="A161" i="18"/>
  <c r="B161" i="18"/>
  <c r="C161" i="18"/>
  <c r="D161" i="18"/>
  <c r="E161" i="18"/>
  <c r="G161" i="18"/>
  <c r="A162" i="18"/>
  <c r="B162" i="18"/>
  <c r="C162" i="18"/>
  <c r="D162" i="18"/>
  <c r="E162" i="18"/>
  <c r="G162" i="18"/>
  <c r="A163" i="18"/>
  <c r="C163" i="18"/>
  <c r="D163" i="18"/>
  <c r="E163" i="18"/>
  <c r="G163" i="18"/>
  <c r="A164" i="18"/>
  <c r="B164" i="18"/>
  <c r="C164" i="18"/>
  <c r="D164" i="18"/>
  <c r="E164" i="18"/>
  <c r="G164" i="18"/>
  <c r="A165" i="18"/>
  <c r="B165" i="18"/>
  <c r="C165" i="18"/>
  <c r="D165" i="18"/>
  <c r="E165" i="18"/>
  <c r="G165" i="18"/>
  <c r="A166" i="18"/>
  <c r="B166" i="18"/>
  <c r="C166" i="18"/>
  <c r="D166" i="18"/>
  <c r="E166" i="18"/>
  <c r="G166" i="18"/>
  <c r="A167" i="18"/>
  <c r="B167" i="18"/>
  <c r="C167" i="18"/>
  <c r="D167" i="18"/>
  <c r="E167" i="18"/>
  <c r="G167" i="18"/>
  <c r="A168" i="18"/>
  <c r="B168" i="18"/>
  <c r="C168" i="18"/>
  <c r="D168" i="18"/>
  <c r="E168" i="18"/>
  <c r="G168" i="18"/>
  <c r="A169" i="18"/>
  <c r="B169" i="18"/>
  <c r="C169" i="18"/>
  <c r="D169" i="18"/>
  <c r="E169" i="18"/>
  <c r="G169" i="18"/>
  <c r="A170" i="18"/>
  <c r="C170" i="18"/>
  <c r="D170" i="18"/>
  <c r="E170" i="18"/>
  <c r="G170" i="18"/>
  <c r="A171" i="18"/>
  <c r="B171" i="18"/>
  <c r="C171" i="18"/>
  <c r="D171" i="18"/>
  <c r="E171" i="18"/>
  <c r="G171" i="18"/>
  <c r="A172" i="18"/>
  <c r="C172" i="18"/>
  <c r="D172" i="18"/>
  <c r="E172" i="18"/>
  <c r="G172" i="18"/>
  <c r="A173" i="18"/>
  <c r="C173" i="18"/>
  <c r="D173" i="18"/>
  <c r="E173" i="18"/>
  <c r="G173" i="18"/>
  <c r="A174" i="18"/>
  <c r="C174" i="18"/>
  <c r="D174" i="18"/>
  <c r="E174" i="18"/>
  <c r="G174" i="18"/>
  <c r="A175" i="18"/>
  <c r="C175" i="18"/>
  <c r="D175" i="18"/>
  <c r="E175" i="18"/>
  <c r="G175" i="18"/>
  <c r="A176" i="18"/>
  <c r="C176" i="18"/>
  <c r="D176" i="18"/>
  <c r="E176" i="18"/>
  <c r="G176" i="18"/>
  <c r="A177" i="18"/>
  <c r="C177" i="18"/>
  <c r="D177" i="18"/>
  <c r="E177" i="18"/>
  <c r="G177" i="18"/>
  <c r="A178" i="18"/>
  <c r="C178" i="18"/>
  <c r="D178" i="18"/>
  <c r="E178" i="18"/>
  <c r="G178" i="18"/>
  <c r="A179" i="18"/>
  <c r="C179" i="18"/>
  <c r="D179" i="18"/>
  <c r="E179" i="18"/>
  <c r="G179" i="18"/>
  <c r="A180" i="18"/>
  <c r="B180" i="18"/>
  <c r="C180" i="18"/>
  <c r="D180" i="18"/>
  <c r="E180" i="18"/>
  <c r="G180" i="18"/>
  <c r="A181" i="18"/>
  <c r="B181" i="18"/>
  <c r="C181" i="18"/>
  <c r="D181" i="18"/>
  <c r="E181" i="18"/>
  <c r="G181" i="18"/>
  <c r="A182" i="18"/>
  <c r="B182" i="18"/>
  <c r="C182" i="18"/>
  <c r="D182" i="18"/>
  <c r="E182" i="18"/>
  <c r="G182" i="18"/>
  <c r="A183" i="18"/>
  <c r="B183" i="18"/>
  <c r="C183" i="18"/>
  <c r="D183" i="18"/>
  <c r="E183" i="18"/>
  <c r="G183" i="18"/>
  <c r="A184" i="18"/>
  <c r="C184" i="18"/>
  <c r="D184" i="18"/>
  <c r="E184" i="18"/>
  <c r="G184" i="18"/>
  <c r="A185" i="18"/>
  <c r="B185" i="18"/>
  <c r="C185" i="18"/>
  <c r="D185" i="18"/>
  <c r="E185" i="18"/>
  <c r="G185" i="18"/>
  <c r="A186" i="18"/>
  <c r="B186" i="18"/>
  <c r="C186" i="18"/>
  <c r="D186" i="18"/>
  <c r="E186" i="18"/>
  <c r="G186" i="18"/>
  <c r="A187" i="18"/>
  <c r="B187" i="18"/>
  <c r="C187" i="18"/>
  <c r="D187" i="18"/>
  <c r="E187" i="18"/>
  <c r="G187" i="18"/>
  <c r="A188" i="18"/>
  <c r="B188" i="18"/>
  <c r="C188" i="18"/>
  <c r="D188" i="18"/>
  <c r="E188" i="18"/>
  <c r="G188" i="18"/>
  <c r="A189" i="18"/>
  <c r="B189" i="18"/>
  <c r="C189" i="18"/>
  <c r="D189" i="18"/>
  <c r="E189" i="18"/>
  <c r="G189" i="18"/>
  <c r="A190" i="18"/>
  <c r="B190" i="18"/>
  <c r="C190" i="18"/>
  <c r="D190" i="18"/>
  <c r="E190" i="18"/>
  <c r="G190" i="18"/>
  <c r="A191" i="18"/>
  <c r="B191" i="18"/>
  <c r="C191" i="18"/>
  <c r="D191" i="18"/>
  <c r="E191" i="18"/>
  <c r="G191" i="18"/>
  <c r="A192" i="18"/>
  <c r="B192" i="18"/>
  <c r="C192" i="18"/>
  <c r="D192" i="18"/>
  <c r="E192" i="18"/>
  <c r="G192" i="18"/>
  <c r="A193" i="18"/>
  <c r="B193" i="18"/>
  <c r="C193" i="18"/>
  <c r="D193" i="18"/>
  <c r="E193" i="18"/>
  <c r="G193" i="18"/>
  <c r="A194" i="18"/>
  <c r="B194" i="18"/>
  <c r="C194" i="18"/>
  <c r="D194" i="18"/>
  <c r="E194" i="18"/>
  <c r="G194" i="18"/>
  <c r="A195" i="18"/>
  <c r="B195" i="18"/>
  <c r="C195" i="18"/>
  <c r="D195" i="18"/>
  <c r="E195" i="18"/>
  <c r="G195" i="18"/>
  <c r="A196" i="18"/>
  <c r="B196" i="18"/>
  <c r="C196" i="18"/>
  <c r="D196" i="18"/>
  <c r="E196" i="18"/>
  <c r="G196" i="18"/>
  <c r="A197" i="18"/>
  <c r="B197" i="18"/>
  <c r="C197" i="18"/>
  <c r="D197" i="18"/>
  <c r="E197" i="18"/>
  <c r="G197" i="18"/>
  <c r="A198" i="18"/>
  <c r="B198" i="18"/>
  <c r="C198" i="18"/>
  <c r="D198" i="18"/>
  <c r="E198" i="18"/>
  <c r="G198" i="18"/>
  <c r="A199" i="18"/>
  <c r="B199" i="18"/>
  <c r="C199" i="18"/>
  <c r="D199" i="18"/>
  <c r="E199" i="18"/>
  <c r="G199" i="18"/>
  <c r="A200" i="18"/>
  <c r="B200" i="18"/>
  <c r="C200" i="18"/>
  <c r="D200" i="18"/>
  <c r="E200" i="18"/>
  <c r="G200" i="18"/>
  <c r="A201" i="18"/>
  <c r="B201" i="18"/>
  <c r="C201" i="18"/>
  <c r="D201" i="18"/>
  <c r="E201" i="18"/>
  <c r="G201" i="18"/>
  <c r="A202" i="18"/>
  <c r="B202" i="18"/>
  <c r="C202" i="18"/>
  <c r="D202" i="18"/>
  <c r="E202" i="18"/>
  <c r="G202" i="18"/>
  <c r="A203" i="18"/>
  <c r="B203" i="18"/>
  <c r="C203" i="18"/>
  <c r="D203" i="18"/>
  <c r="E203" i="18"/>
  <c r="G203" i="18"/>
  <c r="A204" i="18"/>
  <c r="B204" i="18"/>
  <c r="C204" i="18"/>
  <c r="D204" i="18"/>
  <c r="E204" i="18"/>
  <c r="G204" i="18"/>
  <c r="A205" i="18"/>
  <c r="B205" i="18"/>
  <c r="C205" i="18"/>
  <c r="D205" i="18"/>
  <c r="E205" i="18"/>
  <c r="G205" i="18"/>
  <c r="A206" i="18"/>
  <c r="B206" i="18"/>
  <c r="C206" i="18"/>
  <c r="D206" i="18"/>
  <c r="E206" i="18"/>
  <c r="G206" i="18"/>
  <c r="A207" i="18"/>
  <c r="B207" i="18"/>
  <c r="C207" i="18"/>
  <c r="D207" i="18"/>
  <c r="E207" i="18"/>
  <c r="G207" i="18"/>
  <c r="A208" i="18"/>
  <c r="B208" i="18"/>
  <c r="C208" i="18"/>
  <c r="D208" i="18"/>
  <c r="E208" i="18"/>
  <c r="G208" i="18"/>
  <c r="A209" i="18"/>
  <c r="B209" i="18"/>
  <c r="C209" i="18"/>
  <c r="D209" i="18"/>
  <c r="E209" i="18"/>
  <c r="G209" i="18"/>
  <c r="A210" i="18"/>
  <c r="B210" i="18"/>
  <c r="C210" i="18"/>
  <c r="D210" i="18"/>
  <c r="E210" i="18"/>
  <c r="G210" i="18"/>
  <c r="A211" i="18"/>
  <c r="B211" i="18"/>
  <c r="C211" i="18"/>
  <c r="D211" i="18"/>
  <c r="E211" i="18"/>
  <c r="G211" i="18"/>
  <c r="A212" i="18"/>
  <c r="B212" i="18"/>
  <c r="C212" i="18"/>
  <c r="D212" i="18"/>
  <c r="E212" i="18"/>
  <c r="G212" i="18"/>
  <c r="A213" i="18"/>
  <c r="B213" i="18"/>
  <c r="C213" i="18"/>
  <c r="D213" i="18"/>
  <c r="E213" i="18"/>
  <c r="G213" i="18"/>
  <c r="A214" i="18"/>
  <c r="B214" i="18"/>
  <c r="C214" i="18"/>
  <c r="D214" i="18"/>
  <c r="E214" i="18"/>
  <c r="G214" i="18"/>
  <c r="A215" i="18"/>
  <c r="B215" i="18"/>
  <c r="C215" i="18"/>
  <c r="D215" i="18"/>
  <c r="E215" i="18"/>
  <c r="G215" i="18"/>
  <c r="A216" i="18"/>
  <c r="B216" i="18"/>
  <c r="C216" i="18"/>
  <c r="D216" i="18"/>
  <c r="E216" i="18"/>
  <c r="G216" i="18"/>
  <c r="A217" i="18"/>
  <c r="B217" i="18"/>
  <c r="C217" i="18"/>
  <c r="D217" i="18"/>
  <c r="E217" i="18"/>
  <c r="G217" i="18"/>
  <c r="A218" i="18"/>
  <c r="B218" i="18"/>
  <c r="C218" i="18"/>
  <c r="D218" i="18"/>
  <c r="E218" i="18"/>
  <c r="G218" i="18"/>
  <c r="A219" i="18"/>
  <c r="B219" i="18"/>
  <c r="C219" i="18"/>
  <c r="D219" i="18"/>
  <c r="E219" i="18"/>
  <c r="G219" i="18"/>
  <c r="A220" i="18"/>
  <c r="C220" i="18"/>
  <c r="D220" i="18"/>
  <c r="E220" i="18"/>
  <c r="G220" i="18"/>
  <c r="A221" i="18"/>
  <c r="C221" i="18"/>
  <c r="D221" i="18"/>
  <c r="E221" i="18"/>
  <c r="G221" i="18"/>
  <c r="A222" i="18"/>
  <c r="C222" i="18"/>
  <c r="D222" i="18"/>
  <c r="E222" i="18"/>
  <c r="G222" i="18"/>
  <c r="A223" i="18"/>
  <c r="C223" i="18"/>
  <c r="D223" i="18"/>
  <c r="E223" i="18"/>
  <c r="G223" i="18"/>
  <c r="A224" i="18"/>
  <c r="C224" i="18"/>
  <c r="D224" i="18"/>
  <c r="E224" i="18"/>
  <c r="G224" i="18"/>
  <c r="A225" i="18"/>
  <c r="C225" i="18"/>
  <c r="D225" i="18"/>
  <c r="E225" i="18"/>
  <c r="G225" i="18"/>
  <c r="A226" i="18"/>
  <c r="C226" i="18"/>
  <c r="D226" i="18"/>
  <c r="E226" i="18"/>
  <c r="G226" i="18"/>
  <c r="A227" i="18"/>
  <c r="C227" i="18"/>
  <c r="D227" i="18"/>
  <c r="E227" i="18"/>
  <c r="G227" i="18"/>
  <c r="A228" i="18"/>
  <c r="C228" i="18"/>
  <c r="D228" i="18"/>
  <c r="E228" i="18"/>
  <c r="G228" i="18"/>
  <c r="A229" i="18"/>
  <c r="C229" i="18"/>
  <c r="D229" i="18"/>
  <c r="E229" i="18"/>
  <c r="G229" i="18"/>
  <c r="A230" i="18"/>
  <c r="C230" i="18"/>
  <c r="D230" i="18"/>
  <c r="E230" i="18"/>
  <c r="G230" i="18"/>
  <c r="A231" i="18"/>
  <c r="C231" i="18"/>
  <c r="D231" i="18"/>
  <c r="E231" i="18"/>
  <c r="G231" i="18"/>
  <c r="A232" i="18"/>
  <c r="C232" i="18"/>
  <c r="D232" i="18"/>
  <c r="E232" i="18"/>
  <c r="G232" i="18"/>
  <c r="A233" i="18"/>
  <c r="C233" i="18"/>
  <c r="D233" i="18"/>
  <c r="E233" i="18"/>
  <c r="G233" i="18"/>
  <c r="A234" i="18"/>
  <c r="C234" i="18"/>
  <c r="D234" i="18"/>
  <c r="E234" i="18"/>
  <c r="G234" i="18"/>
  <c r="A235" i="18"/>
  <c r="C235" i="18"/>
  <c r="D235" i="18"/>
  <c r="E235" i="18"/>
  <c r="G235" i="18"/>
  <c r="A236" i="18"/>
  <c r="B236" i="18"/>
  <c r="C236" i="18"/>
  <c r="D236" i="18"/>
  <c r="E236" i="18"/>
  <c r="G236" i="18"/>
  <c r="A237" i="18"/>
  <c r="B237" i="18"/>
  <c r="C237" i="18"/>
  <c r="D237" i="18"/>
  <c r="E237" i="18"/>
  <c r="G237" i="18"/>
  <c r="A238" i="18"/>
  <c r="B238" i="18"/>
  <c r="C238" i="18"/>
  <c r="D238" i="18"/>
  <c r="E238" i="18"/>
  <c r="G238" i="18"/>
  <c r="A239" i="18"/>
  <c r="B239" i="18"/>
  <c r="C239" i="18"/>
  <c r="D239" i="18"/>
  <c r="E239" i="18"/>
  <c r="G239" i="18"/>
  <c r="A240" i="18"/>
  <c r="B240" i="18"/>
  <c r="C240" i="18"/>
  <c r="D240" i="18"/>
  <c r="E240" i="18"/>
  <c r="G240" i="18"/>
  <c r="A241" i="18"/>
  <c r="B241" i="18"/>
  <c r="C241" i="18"/>
  <c r="D241" i="18"/>
  <c r="E241" i="18"/>
  <c r="G241" i="18"/>
  <c r="A242" i="18"/>
  <c r="B242" i="18"/>
  <c r="C242" i="18"/>
  <c r="D242" i="18"/>
  <c r="E242" i="18"/>
  <c r="G242" i="18"/>
  <c r="A243" i="18"/>
  <c r="B243" i="18"/>
  <c r="C243" i="18"/>
  <c r="D243" i="18"/>
  <c r="E243" i="18"/>
  <c r="G243" i="18"/>
  <c r="A244" i="18"/>
  <c r="B244" i="18"/>
  <c r="C244" i="18"/>
  <c r="D244" i="18"/>
  <c r="E244" i="18"/>
  <c r="G244" i="18"/>
  <c r="A245" i="18"/>
  <c r="B245" i="18"/>
  <c r="C245" i="18"/>
  <c r="D245" i="18"/>
  <c r="E245" i="18"/>
  <c r="G245" i="18"/>
  <c r="A246" i="18"/>
  <c r="B246" i="18"/>
  <c r="C246" i="18"/>
  <c r="D246" i="18"/>
  <c r="E246" i="18"/>
  <c r="G246" i="18"/>
  <c r="A247" i="18"/>
  <c r="B247" i="18"/>
  <c r="C247" i="18"/>
  <c r="D247" i="18"/>
  <c r="E247" i="18"/>
  <c r="G247" i="18"/>
  <c r="A248" i="18"/>
  <c r="B248" i="18"/>
  <c r="C248" i="18"/>
  <c r="D248" i="18"/>
  <c r="E248" i="18"/>
  <c r="G248" i="18"/>
  <c r="A249" i="18"/>
  <c r="B249" i="18"/>
  <c r="C249" i="18"/>
  <c r="D249" i="18"/>
  <c r="E249" i="18"/>
  <c r="G249" i="18"/>
  <c r="A250" i="18"/>
  <c r="B250" i="18"/>
  <c r="C250" i="18"/>
  <c r="D250" i="18"/>
  <c r="E250" i="18"/>
  <c r="G250" i="18"/>
  <c r="A251" i="18"/>
  <c r="B251" i="18"/>
  <c r="C251" i="18"/>
  <c r="D251" i="18"/>
  <c r="E251" i="18"/>
  <c r="G251" i="18"/>
  <c r="A252" i="18"/>
  <c r="B252" i="18"/>
  <c r="C252" i="18"/>
  <c r="D252" i="18"/>
  <c r="E252" i="18"/>
  <c r="G252" i="18"/>
  <c r="A253" i="18"/>
  <c r="B253" i="18"/>
  <c r="C253" i="18"/>
  <c r="D253" i="18"/>
  <c r="E253" i="18"/>
  <c r="G253" i="18"/>
  <c r="A254" i="18"/>
  <c r="B254" i="18"/>
  <c r="C254" i="18"/>
  <c r="D254" i="18"/>
  <c r="E254" i="18"/>
  <c r="G254" i="18"/>
  <c r="A255" i="18"/>
  <c r="B255" i="18"/>
  <c r="C255" i="18"/>
  <c r="D255" i="18"/>
  <c r="E255" i="18"/>
  <c r="G255" i="18"/>
  <c r="A256" i="18"/>
  <c r="B256" i="18"/>
  <c r="C256" i="18"/>
  <c r="D256" i="18"/>
  <c r="E256" i="18"/>
  <c r="G256" i="18"/>
  <c r="A257" i="18"/>
  <c r="B257" i="18"/>
  <c r="C257" i="18"/>
  <c r="D257" i="18"/>
  <c r="E257" i="18"/>
  <c r="G257" i="18"/>
  <c r="A258" i="18"/>
  <c r="B258" i="18"/>
  <c r="C258" i="18"/>
  <c r="D258" i="18"/>
  <c r="E258" i="18"/>
  <c r="G258" i="18"/>
  <c r="A259" i="18"/>
  <c r="B259" i="18"/>
  <c r="C259" i="18"/>
  <c r="D259" i="18"/>
  <c r="E259" i="18"/>
  <c r="G259" i="18"/>
  <c r="A260" i="18"/>
  <c r="B260" i="18"/>
  <c r="C260" i="18"/>
  <c r="D260" i="18"/>
  <c r="E260" i="18"/>
  <c r="G260" i="18"/>
  <c r="A261" i="18"/>
  <c r="B261" i="18"/>
  <c r="C261" i="18"/>
  <c r="D261" i="18"/>
  <c r="E261" i="18"/>
  <c r="G261" i="18"/>
  <c r="A262" i="18"/>
  <c r="B262" i="18"/>
  <c r="C262" i="18"/>
  <c r="D262" i="18"/>
  <c r="E262" i="18"/>
  <c r="G262" i="18"/>
  <c r="A263" i="18"/>
  <c r="B263" i="18"/>
  <c r="C263" i="18"/>
  <c r="D263" i="18"/>
  <c r="E263" i="18"/>
  <c r="G263" i="18"/>
  <c r="A264" i="18"/>
  <c r="B264" i="18"/>
  <c r="C264" i="18"/>
  <c r="D264" i="18"/>
  <c r="E264" i="18"/>
  <c r="G264" i="18"/>
  <c r="A265" i="18"/>
  <c r="B265" i="18"/>
  <c r="C265" i="18"/>
  <c r="D265" i="18"/>
  <c r="E265" i="18"/>
  <c r="G265" i="18"/>
  <c r="A266" i="18"/>
  <c r="B266" i="18"/>
  <c r="C266" i="18"/>
  <c r="D266" i="18"/>
  <c r="E266" i="18"/>
  <c r="G266" i="18"/>
  <c r="A267" i="18"/>
  <c r="B267" i="18"/>
  <c r="C267" i="18"/>
  <c r="D267" i="18"/>
  <c r="E267" i="18"/>
  <c r="G267" i="18"/>
  <c r="A268" i="18"/>
  <c r="B268" i="18"/>
  <c r="C268" i="18"/>
  <c r="D268" i="18"/>
  <c r="E268" i="18"/>
  <c r="G268" i="18"/>
  <c r="A269" i="18"/>
  <c r="B269" i="18"/>
  <c r="C269" i="18"/>
  <c r="D269" i="18"/>
  <c r="E269" i="18"/>
  <c r="G269" i="18"/>
  <c r="A270" i="18"/>
  <c r="B270" i="18"/>
  <c r="C270" i="18"/>
  <c r="D270" i="18"/>
  <c r="E270" i="18"/>
  <c r="G270" i="18"/>
  <c r="A271" i="18"/>
  <c r="B271" i="18"/>
  <c r="C271" i="18"/>
  <c r="D271" i="18"/>
  <c r="E271" i="18"/>
  <c r="G271" i="18"/>
  <c r="A272" i="18"/>
  <c r="B272" i="18"/>
  <c r="C272" i="18"/>
  <c r="D272" i="18"/>
  <c r="E272" i="18"/>
  <c r="G272" i="18"/>
  <c r="A273" i="18"/>
  <c r="B273" i="18"/>
  <c r="C273" i="18"/>
  <c r="D273" i="18"/>
  <c r="E273" i="18"/>
  <c r="G273" i="18"/>
  <c r="A274" i="18"/>
  <c r="B274" i="18"/>
  <c r="C274" i="18"/>
  <c r="D274" i="18"/>
  <c r="E274" i="18"/>
  <c r="G274" i="18"/>
  <c r="A275" i="18"/>
  <c r="B275" i="18"/>
  <c r="C275" i="18"/>
  <c r="D275" i="18"/>
  <c r="E275" i="18"/>
  <c r="G275" i="18"/>
  <c r="A276" i="18"/>
  <c r="B276" i="18"/>
  <c r="C276" i="18"/>
  <c r="D276" i="18"/>
  <c r="E276" i="18"/>
  <c r="G276" i="18"/>
  <c r="A277" i="18"/>
  <c r="B277" i="18"/>
  <c r="C277" i="18"/>
  <c r="D277" i="18"/>
  <c r="E277" i="18"/>
  <c r="G277" i="18"/>
  <c r="A278" i="18"/>
  <c r="B278" i="18"/>
  <c r="C278" i="18"/>
  <c r="D278" i="18"/>
  <c r="E278" i="18"/>
  <c r="G278" i="18"/>
  <c r="A279" i="18"/>
  <c r="B279" i="18"/>
  <c r="C279" i="18"/>
  <c r="D279" i="18"/>
  <c r="E279" i="18"/>
  <c r="G279" i="18"/>
  <c r="A280" i="18"/>
  <c r="B280" i="18"/>
  <c r="C280" i="18"/>
  <c r="D280" i="18"/>
  <c r="E280" i="18"/>
  <c r="G280" i="18"/>
  <c r="A281" i="18"/>
  <c r="B281" i="18"/>
  <c r="C281" i="18"/>
  <c r="D281" i="18"/>
  <c r="E281" i="18"/>
  <c r="G281" i="18"/>
  <c r="A282" i="18"/>
  <c r="B282" i="18"/>
  <c r="C282" i="18"/>
  <c r="D282" i="18"/>
  <c r="E282" i="18"/>
  <c r="G282" i="18"/>
  <c r="A283" i="18"/>
  <c r="B283" i="18"/>
  <c r="C283" i="18"/>
  <c r="D283" i="18"/>
  <c r="E283" i="18"/>
  <c r="G283" i="18"/>
  <c r="A284" i="18"/>
  <c r="B284" i="18"/>
  <c r="C284" i="18"/>
  <c r="D284" i="18"/>
  <c r="E284" i="18"/>
  <c r="G284" i="18"/>
  <c r="A285" i="18"/>
  <c r="B285" i="18"/>
  <c r="C285" i="18"/>
  <c r="D285" i="18"/>
  <c r="E285" i="18"/>
  <c r="G285" i="18"/>
  <c r="A286" i="18"/>
  <c r="B286" i="18"/>
  <c r="C286" i="18"/>
  <c r="D286" i="18"/>
  <c r="E286" i="18"/>
  <c r="G286" i="18"/>
  <c r="A287" i="18"/>
  <c r="B287" i="18"/>
  <c r="C287" i="18"/>
  <c r="D287" i="18"/>
  <c r="E287" i="18"/>
  <c r="G287" i="18"/>
  <c r="A288" i="18"/>
  <c r="B288" i="18"/>
  <c r="C288" i="18"/>
  <c r="D288" i="18"/>
  <c r="E288" i="18"/>
  <c r="G288" i="18"/>
  <c r="A289" i="18"/>
  <c r="B289" i="18"/>
  <c r="C289" i="18"/>
  <c r="D289" i="18"/>
  <c r="E289" i="18"/>
  <c r="G289" i="18"/>
  <c r="A290" i="18"/>
  <c r="B290" i="18"/>
  <c r="C290" i="18"/>
  <c r="D290" i="18"/>
  <c r="E290" i="18"/>
  <c r="G290" i="18"/>
  <c r="A291" i="18"/>
  <c r="B291" i="18"/>
  <c r="C291" i="18"/>
  <c r="D291" i="18"/>
  <c r="E291" i="18"/>
  <c r="G291" i="18"/>
  <c r="A292" i="18"/>
  <c r="B292" i="18"/>
  <c r="C292" i="18"/>
  <c r="D292" i="18"/>
  <c r="E292" i="18"/>
  <c r="G292" i="18"/>
  <c r="A293" i="18"/>
  <c r="B293" i="18"/>
  <c r="C293" i="18"/>
  <c r="D293" i="18"/>
  <c r="E293" i="18"/>
  <c r="G293" i="18"/>
  <c r="A294" i="18"/>
  <c r="B294" i="18"/>
  <c r="C294" i="18"/>
  <c r="D294" i="18"/>
  <c r="E294" i="18"/>
  <c r="G294" i="18"/>
  <c r="A295" i="18"/>
  <c r="B295" i="18"/>
  <c r="C295" i="18"/>
  <c r="D295" i="18"/>
  <c r="E295" i="18"/>
  <c r="G295" i="18"/>
  <c r="A296" i="18"/>
  <c r="B296" i="18"/>
  <c r="C296" i="18"/>
  <c r="D296" i="18"/>
  <c r="E296" i="18"/>
  <c r="G296" i="18"/>
  <c r="A297" i="18"/>
  <c r="B297" i="18"/>
  <c r="C297" i="18"/>
  <c r="D297" i="18"/>
  <c r="E297" i="18"/>
  <c r="G297" i="18"/>
  <c r="A298" i="18"/>
  <c r="B298" i="18"/>
  <c r="C298" i="18"/>
  <c r="D298" i="18"/>
  <c r="E298" i="18"/>
  <c r="G298" i="18"/>
  <c r="A299" i="18"/>
  <c r="B299" i="18"/>
  <c r="C299" i="18"/>
  <c r="D299" i="18"/>
  <c r="E299" i="18"/>
  <c r="G299" i="18"/>
  <c r="A300" i="18"/>
  <c r="B300" i="18"/>
  <c r="C300" i="18"/>
  <c r="D300" i="18"/>
  <c r="E300" i="18"/>
  <c r="G300" i="18"/>
  <c r="A301" i="18"/>
  <c r="B301" i="18"/>
  <c r="C301" i="18"/>
  <c r="D301" i="18"/>
  <c r="E301" i="18"/>
  <c r="G301" i="18"/>
  <c r="A302" i="18"/>
  <c r="B302" i="18"/>
  <c r="C302" i="18"/>
  <c r="D302" i="18"/>
  <c r="E302" i="18"/>
  <c r="G302" i="18"/>
  <c r="A303" i="18"/>
  <c r="B303" i="18"/>
  <c r="C303" i="18"/>
  <c r="D303" i="18"/>
  <c r="E303" i="18"/>
  <c r="G303" i="18"/>
  <c r="A304" i="18"/>
  <c r="B304" i="18"/>
  <c r="C304" i="18"/>
  <c r="D304" i="18"/>
  <c r="E304" i="18"/>
  <c r="G304" i="18"/>
  <c r="A305" i="18"/>
  <c r="B305" i="18"/>
  <c r="C305" i="18"/>
  <c r="D305" i="18"/>
  <c r="E305" i="18"/>
  <c r="G305" i="18"/>
  <c r="A306" i="18"/>
  <c r="B306" i="18"/>
  <c r="C306" i="18"/>
  <c r="D306" i="18"/>
  <c r="E306" i="18"/>
  <c r="G306" i="18"/>
  <c r="A307" i="18"/>
  <c r="B307" i="18"/>
  <c r="C307" i="18"/>
  <c r="D307" i="18"/>
  <c r="E307" i="18"/>
  <c r="G307" i="18"/>
  <c r="A308" i="18"/>
  <c r="B308" i="18"/>
  <c r="C308" i="18"/>
  <c r="D308" i="18"/>
  <c r="E308" i="18"/>
  <c r="G308" i="18"/>
  <c r="A309" i="18"/>
  <c r="B309" i="18"/>
  <c r="C309" i="18"/>
  <c r="D309" i="18"/>
  <c r="E309" i="18"/>
  <c r="G309" i="18"/>
  <c r="A310" i="18"/>
  <c r="B310" i="18"/>
  <c r="C310" i="18"/>
  <c r="D310" i="18"/>
  <c r="E310" i="18"/>
  <c r="G310" i="18"/>
  <c r="A311" i="18"/>
  <c r="B311" i="18"/>
  <c r="C311" i="18"/>
  <c r="D311" i="18"/>
  <c r="E311" i="18"/>
  <c r="G311" i="18"/>
  <c r="A312" i="18"/>
  <c r="B312" i="18"/>
  <c r="C312" i="18"/>
  <c r="D312" i="18"/>
  <c r="E312" i="18"/>
  <c r="G312" i="18"/>
  <c r="A313" i="18"/>
  <c r="B313" i="18"/>
  <c r="C313" i="18"/>
  <c r="D313" i="18"/>
  <c r="E313" i="18"/>
  <c r="G313" i="18"/>
  <c r="A314" i="18"/>
  <c r="B314" i="18"/>
  <c r="C314" i="18"/>
  <c r="D314" i="18"/>
  <c r="E314" i="18"/>
  <c r="G314" i="18"/>
  <c r="A315" i="18"/>
  <c r="B315" i="18"/>
  <c r="C315" i="18"/>
  <c r="D315" i="18"/>
  <c r="E315" i="18"/>
  <c r="G315" i="18"/>
  <c r="A316" i="18"/>
  <c r="B316" i="18"/>
  <c r="C316" i="18"/>
  <c r="D316" i="18"/>
  <c r="E316" i="18"/>
  <c r="G316" i="18"/>
  <c r="A317" i="18"/>
  <c r="B317" i="18"/>
  <c r="C317" i="18"/>
  <c r="D317" i="18"/>
  <c r="E317" i="18"/>
  <c r="G317" i="18"/>
  <c r="A318" i="18"/>
  <c r="B318" i="18"/>
  <c r="C318" i="18"/>
  <c r="D318" i="18"/>
  <c r="E318" i="18"/>
  <c r="G318" i="18"/>
  <c r="A319" i="18"/>
  <c r="B319" i="18"/>
  <c r="C319" i="18"/>
  <c r="D319" i="18"/>
  <c r="E319" i="18"/>
  <c r="G319" i="18"/>
  <c r="A320" i="18"/>
  <c r="B320" i="18"/>
  <c r="C320" i="18"/>
  <c r="D320" i="18"/>
  <c r="E320" i="18"/>
  <c r="G320" i="18"/>
  <c r="A321" i="18"/>
  <c r="B321" i="18"/>
  <c r="C321" i="18"/>
  <c r="D321" i="18"/>
  <c r="E321" i="18"/>
  <c r="G321" i="18"/>
  <c r="A322" i="18"/>
  <c r="B322" i="18"/>
  <c r="C322" i="18"/>
  <c r="D322" i="18"/>
  <c r="E322" i="18"/>
  <c r="G322" i="18"/>
  <c r="A323" i="18"/>
  <c r="B323" i="18"/>
  <c r="C323" i="18"/>
  <c r="D323" i="18"/>
  <c r="E323" i="18"/>
  <c r="G323" i="18"/>
  <c r="A324" i="18"/>
  <c r="B324" i="18"/>
  <c r="C324" i="18"/>
  <c r="D324" i="18"/>
  <c r="E324" i="18"/>
  <c r="G324" i="18"/>
  <c r="A325" i="18"/>
  <c r="B325" i="18"/>
  <c r="C325" i="18"/>
  <c r="D325" i="18"/>
  <c r="E325" i="18"/>
  <c r="G325" i="18"/>
  <c r="A326" i="18"/>
  <c r="B326" i="18"/>
  <c r="C326" i="18"/>
  <c r="D326" i="18"/>
  <c r="E326" i="18"/>
  <c r="G326" i="18"/>
  <c r="A327" i="18"/>
  <c r="B327" i="18"/>
  <c r="C327" i="18"/>
  <c r="D327" i="18"/>
  <c r="E327" i="18"/>
  <c r="G327" i="18"/>
  <c r="A328" i="18"/>
  <c r="B328" i="18"/>
  <c r="C328" i="18"/>
  <c r="D328" i="18"/>
  <c r="E328" i="18"/>
  <c r="G328" i="18"/>
  <c r="A329" i="18"/>
  <c r="B329" i="18"/>
  <c r="C329" i="18"/>
  <c r="D329" i="18"/>
  <c r="E329" i="18"/>
  <c r="G329" i="18"/>
  <c r="A330" i="18"/>
  <c r="B330" i="18"/>
  <c r="C330" i="18"/>
  <c r="D330" i="18"/>
  <c r="E330" i="18"/>
  <c r="G330" i="18"/>
  <c r="A331" i="18"/>
  <c r="B331" i="18"/>
  <c r="C331" i="18"/>
  <c r="D331" i="18"/>
  <c r="E331" i="18"/>
  <c r="G331" i="18"/>
  <c r="A332" i="18"/>
  <c r="C332" i="18"/>
  <c r="D332" i="18"/>
  <c r="E332" i="18"/>
  <c r="G332" i="18"/>
  <c r="A333" i="18"/>
  <c r="B333" i="18"/>
  <c r="C333" i="18"/>
  <c r="D333" i="18"/>
  <c r="E333" i="18"/>
  <c r="G333" i="18"/>
  <c r="A334" i="18"/>
  <c r="B334" i="18"/>
  <c r="C334" i="18"/>
  <c r="D334" i="18"/>
  <c r="E334" i="18"/>
  <c r="G334" i="18"/>
  <c r="A335" i="18"/>
  <c r="B335" i="18"/>
  <c r="C335" i="18"/>
  <c r="D335" i="18"/>
  <c r="E335" i="18"/>
  <c r="G335" i="18"/>
  <c r="A336" i="18"/>
  <c r="B336" i="18"/>
  <c r="C336" i="18"/>
  <c r="D336" i="18"/>
  <c r="E336" i="18"/>
  <c r="G336" i="18"/>
  <c r="A337" i="18"/>
  <c r="B337" i="18"/>
  <c r="C337" i="18"/>
  <c r="D337" i="18"/>
  <c r="E337" i="18"/>
  <c r="G337" i="18"/>
  <c r="A338" i="18"/>
  <c r="B338" i="18"/>
  <c r="C338" i="18"/>
  <c r="D338" i="18"/>
  <c r="E338" i="18"/>
  <c r="G338" i="18"/>
  <c r="A339" i="18"/>
  <c r="B339" i="18"/>
  <c r="C339" i="18"/>
  <c r="D339" i="18"/>
  <c r="E339" i="18"/>
  <c r="G339" i="18"/>
  <c r="A340" i="18"/>
  <c r="B340" i="18"/>
  <c r="C340" i="18"/>
  <c r="D340" i="18"/>
  <c r="E340" i="18"/>
  <c r="G340" i="18"/>
  <c r="A341" i="18"/>
  <c r="B341" i="18"/>
  <c r="C341" i="18"/>
  <c r="D341" i="18"/>
  <c r="E341" i="18"/>
  <c r="G341" i="18"/>
  <c r="A342" i="18"/>
  <c r="B342" i="18"/>
  <c r="C342" i="18"/>
  <c r="D342" i="18"/>
  <c r="E342" i="18"/>
  <c r="G342" i="18"/>
  <c r="A343" i="18"/>
  <c r="B343" i="18"/>
  <c r="C343" i="18"/>
  <c r="D343" i="18"/>
  <c r="E343" i="18"/>
  <c r="G343" i="18"/>
  <c r="A344" i="18"/>
  <c r="B344" i="18"/>
  <c r="C344" i="18"/>
  <c r="D344" i="18"/>
  <c r="E344" i="18"/>
  <c r="G344" i="18"/>
  <c r="A345" i="18"/>
  <c r="B345" i="18"/>
  <c r="C345" i="18"/>
  <c r="D345" i="18"/>
  <c r="E345" i="18"/>
  <c r="G345" i="18"/>
  <c r="A346" i="18"/>
  <c r="B346" i="18"/>
  <c r="C346" i="18"/>
  <c r="D346" i="18"/>
  <c r="E346" i="18"/>
  <c r="G346" i="18"/>
  <c r="A347" i="18"/>
  <c r="B347" i="18"/>
  <c r="C347" i="18"/>
  <c r="D347" i="18"/>
  <c r="E347" i="18"/>
  <c r="G347" i="18"/>
  <c r="A348" i="18"/>
  <c r="B348" i="18"/>
  <c r="C348" i="18"/>
  <c r="D348" i="18"/>
  <c r="E348" i="18"/>
  <c r="G348" i="18"/>
  <c r="A349" i="18"/>
  <c r="B349" i="18"/>
  <c r="C349" i="18"/>
  <c r="D349" i="18"/>
  <c r="E349" i="18"/>
  <c r="G349" i="18"/>
  <c r="A350" i="18"/>
  <c r="B350" i="18"/>
  <c r="C350" i="18"/>
  <c r="D350" i="18"/>
  <c r="E350" i="18"/>
  <c r="G350" i="18"/>
  <c r="A351" i="18"/>
  <c r="B351" i="18"/>
  <c r="C351" i="18"/>
  <c r="D351" i="18"/>
  <c r="E351" i="18"/>
  <c r="G351" i="18"/>
  <c r="A352" i="18"/>
  <c r="B352" i="18"/>
  <c r="C352" i="18"/>
  <c r="D352" i="18"/>
  <c r="E352" i="18"/>
  <c r="G352" i="18"/>
  <c r="A353" i="18"/>
  <c r="B353" i="18"/>
  <c r="C353" i="18"/>
  <c r="D353" i="18"/>
  <c r="E353" i="18"/>
  <c r="G353" i="18"/>
  <c r="A354" i="18"/>
  <c r="B354" i="18"/>
  <c r="C354" i="18"/>
  <c r="D354" i="18"/>
  <c r="E354" i="18"/>
  <c r="G354" i="18"/>
  <c r="A355" i="18"/>
  <c r="B355" i="18"/>
  <c r="C355" i="18"/>
  <c r="D355" i="18"/>
  <c r="E355" i="18"/>
  <c r="G355" i="18"/>
  <c r="A356" i="18"/>
  <c r="B356" i="18"/>
  <c r="C356" i="18"/>
  <c r="D356" i="18"/>
  <c r="E356" i="18"/>
  <c r="G356" i="18"/>
  <c r="A357" i="18"/>
  <c r="B357" i="18"/>
  <c r="C357" i="18"/>
  <c r="D357" i="18"/>
  <c r="E357" i="18"/>
  <c r="G357" i="18"/>
  <c r="A358" i="18"/>
  <c r="B358" i="18"/>
  <c r="C358" i="18"/>
  <c r="D358" i="18"/>
  <c r="E358" i="18"/>
  <c r="G358" i="18"/>
  <c r="A359" i="18"/>
  <c r="B359" i="18"/>
  <c r="C359" i="18"/>
  <c r="D359" i="18"/>
  <c r="E359" i="18"/>
  <c r="G359" i="18"/>
  <c r="A360" i="18"/>
  <c r="B360" i="18"/>
  <c r="C360" i="18"/>
  <c r="D360" i="18"/>
  <c r="E360" i="18"/>
  <c r="G360" i="18"/>
  <c r="A361" i="18"/>
  <c r="B361" i="18"/>
  <c r="C361" i="18"/>
  <c r="D361" i="18"/>
  <c r="E361" i="18"/>
  <c r="G361" i="18"/>
  <c r="A362" i="18"/>
  <c r="B362" i="18"/>
  <c r="C362" i="18"/>
  <c r="D362" i="18"/>
  <c r="E362" i="18"/>
  <c r="G362" i="18"/>
  <c r="A363" i="18"/>
  <c r="B363" i="18"/>
  <c r="C363" i="18"/>
  <c r="D363" i="18"/>
  <c r="E363" i="18"/>
  <c r="G363" i="18"/>
  <c r="A364" i="18"/>
  <c r="B364" i="18"/>
  <c r="C364" i="18"/>
  <c r="D364" i="18"/>
  <c r="E364" i="18"/>
  <c r="G364" i="18"/>
  <c r="A365" i="18"/>
  <c r="B365" i="18"/>
  <c r="C365" i="18"/>
  <c r="D365" i="18"/>
  <c r="E365" i="18"/>
  <c r="G365" i="18"/>
  <c r="A366" i="18"/>
  <c r="B366" i="18"/>
  <c r="C366" i="18"/>
  <c r="D366" i="18"/>
  <c r="E366" i="18"/>
  <c r="G366" i="18"/>
  <c r="A367" i="18"/>
  <c r="B367" i="18"/>
  <c r="C367" i="18"/>
  <c r="D367" i="18"/>
  <c r="E367" i="18"/>
  <c r="G367" i="18"/>
  <c r="A368" i="18"/>
  <c r="B368" i="18"/>
  <c r="C368" i="18"/>
  <c r="D368" i="18"/>
  <c r="E368" i="18"/>
  <c r="G368" i="18"/>
  <c r="A369" i="18"/>
  <c r="B369" i="18"/>
  <c r="C369" i="18"/>
  <c r="D369" i="18"/>
  <c r="E369" i="18"/>
  <c r="G369" i="18"/>
  <c r="A370" i="18"/>
  <c r="B370" i="18"/>
  <c r="C370" i="18"/>
  <c r="D370" i="18"/>
  <c r="E370" i="18"/>
  <c r="G370" i="18"/>
  <c r="A371" i="18"/>
  <c r="B371" i="18"/>
  <c r="C371" i="18"/>
  <c r="D371" i="18"/>
  <c r="E371" i="18"/>
  <c r="G371" i="18"/>
  <c r="A372" i="18"/>
  <c r="B372" i="18"/>
  <c r="C372" i="18"/>
  <c r="D372" i="18"/>
  <c r="E372" i="18"/>
  <c r="G372" i="18"/>
  <c r="A373" i="18"/>
  <c r="B373" i="18"/>
  <c r="C373" i="18"/>
  <c r="D373" i="18"/>
  <c r="E373" i="18"/>
  <c r="G373" i="18"/>
  <c r="A374" i="18"/>
  <c r="B374" i="18"/>
  <c r="C374" i="18"/>
  <c r="D374" i="18"/>
  <c r="E374" i="18"/>
  <c r="G374" i="18"/>
  <c r="A375" i="18"/>
  <c r="B375" i="18"/>
  <c r="C375" i="18"/>
  <c r="D375" i="18"/>
  <c r="E375" i="18"/>
  <c r="G375" i="18"/>
  <c r="A376" i="18"/>
  <c r="B376" i="18"/>
  <c r="C376" i="18"/>
  <c r="D376" i="18"/>
  <c r="E376" i="18"/>
  <c r="G376" i="18"/>
  <c r="A377" i="18"/>
  <c r="B377" i="18"/>
  <c r="C377" i="18"/>
  <c r="D377" i="18"/>
  <c r="E377" i="18"/>
  <c r="G377" i="18"/>
  <c r="A378" i="18"/>
  <c r="B378" i="18"/>
  <c r="C378" i="18"/>
  <c r="D378" i="18"/>
  <c r="E378" i="18"/>
  <c r="G378" i="18"/>
  <c r="A379" i="18"/>
  <c r="B379" i="18"/>
  <c r="C379" i="18"/>
  <c r="D379" i="18"/>
  <c r="E379" i="18"/>
  <c r="G379" i="18"/>
  <c r="A380" i="18"/>
  <c r="B380" i="18"/>
  <c r="C380" i="18"/>
  <c r="D380" i="18"/>
  <c r="E380" i="18"/>
  <c r="G380" i="18"/>
  <c r="A381" i="18"/>
  <c r="B381" i="18"/>
  <c r="C381" i="18"/>
  <c r="D381" i="18"/>
  <c r="E381" i="18"/>
  <c r="G381" i="18"/>
  <c r="A382" i="18"/>
  <c r="B382" i="18"/>
  <c r="C382" i="18"/>
  <c r="D382" i="18"/>
  <c r="E382" i="18"/>
  <c r="G382" i="18"/>
  <c r="A383" i="18"/>
  <c r="B383" i="18"/>
  <c r="C383" i="18"/>
  <c r="D383" i="18"/>
  <c r="E383" i="18"/>
  <c r="G383" i="18"/>
  <c r="A384" i="18"/>
  <c r="B384" i="18"/>
  <c r="C384" i="18"/>
  <c r="D384" i="18"/>
  <c r="E384" i="18"/>
  <c r="G384" i="18"/>
  <c r="A385" i="18"/>
  <c r="B385" i="18"/>
  <c r="C385" i="18"/>
  <c r="D385" i="18"/>
  <c r="E385" i="18"/>
  <c r="G385" i="18"/>
  <c r="A386" i="18"/>
  <c r="B386" i="18"/>
  <c r="C386" i="18"/>
  <c r="D386" i="18"/>
  <c r="E386" i="18"/>
  <c r="G386" i="18"/>
  <c r="A387" i="18"/>
  <c r="B387" i="18"/>
  <c r="C387" i="18"/>
  <c r="D387" i="18"/>
  <c r="E387" i="18"/>
  <c r="G387" i="18"/>
  <c r="A388" i="18"/>
  <c r="B388" i="18"/>
  <c r="C388" i="18"/>
  <c r="D388" i="18"/>
  <c r="E388" i="18"/>
  <c r="G388" i="18"/>
  <c r="A389" i="18"/>
  <c r="B389" i="18"/>
  <c r="C389" i="18"/>
  <c r="D389" i="18"/>
  <c r="E389" i="18"/>
  <c r="G389" i="18"/>
  <c r="A390" i="18"/>
  <c r="B390" i="18"/>
  <c r="C390" i="18"/>
  <c r="D390" i="18"/>
  <c r="E390" i="18"/>
  <c r="G390" i="18"/>
  <c r="A391" i="18"/>
  <c r="B391" i="18"/>
  <c r="C391" i="18"/>
  <c r="D391" i="18"/>
  <c r="E391" i="18"/>
  <c r="G391" i="18"/>
  <c r="A392" i="18"/>
  <c r="B392" i="18"/>
  <c r="C392" i="18"/>
  <c r="D392" i="18"/>
  <c r="E392" i="18"/>
  <c r="G392" i="18"/>
  <c r="A393" i="18"/>
  <c r="B393" i="18"/>
  <c r="C393" i="18"/>
  <c r="D393" i="18"/>
  <c r="E393" i="18"/>
  <c r="G393" i="18"/>
  <c r="A394" i="18"/>
  <c r="B394" i="18"/>
  <c r="C394" i="18"/>
  <c r="D394" i="18"/>
  <c r="E394" i="18"/>
  <c r="G394" i="18"/>
  <c r="A395" i="18"/>
  <c r="B395" i="18"/>
  <c r="C395" i="18"/>
  <c r="D395" i="18"/>
  <c r="E395" i="18"/>
  <c r="G395" i="18"/>
  <c r="A396" i="18"/>
  <c r="B396" i="18"/>
  <c r="C396" i="18"/>
  <c r="D396" i="18"/>
  <c r="E396" i="18"/>
  <c r="G396" i="18"/>
  <c r="A397" i="18"/>
  <c r="B397" i="18"/>
  <c r="C397" i="18"/>
  <c r="D397" i="18"/>
  <c r="E397" i="18"/>
  <c r="G397" i="18"/>
  <c r="A398" i="18"/>
  <c r="C398" i="18"/>
  <c r="D398" i="18"/>
  <c r="E398" i="18"/>
  <c r="G398" i="18"/>
  <c r="A399" i="18"/>
  <c r="B399" i="18"/>
  <c r="C399" i="18"/>
  <c r="D399" i="18"/>
  <c r="E399" i="18"/>
  <c r="G399" i="18"/>
  <c r="A400" i="18"/>
  <c r="B400" i="18"/>
  <c r="C400" i="18"/>
  <c r="D400" i="18"/>
  <c r="E400" i="18"/>
  <c r="G400" i="18"/>
  <c r="A401" i="18"/>
  <c r="B401" i="18"/>
  <c r="C401" i="18"/>
  <c r="D401" i="18"/>
  <c r="E401" i="18"/>
  <c r="G401" i="18"/>
  <c r="A402" i="18"/>
  <c r="B402" i="18"/>
  <c r="C402" i="18"/>
  <c r="D402" i="18"/>
  <c r="E402" i="18"/>
  <c r="G402" i="18"/>
  <c r="A403" i="18"/>
  <c r="B403" i="18"/>
  <c r="C403" i="18"/>
  <c r="D403" i="18"/>
  <c r="E403" i="18"/>
  <c r="G403" i="18"/>
  <c r="A404" i="18"/>
  <c r="B404" i="18"/>
  <c r="C404" i="18"/>
  <c r="D404" i="18"/>
  <c r="E404" i="18"/>
  <c r="G404" i="18"/>
  <c r="A405" i="18"/>
  <c r="B405" i="18"/>
  <c r="C405" i="18"/>
  <c r="D405" i="18"/>
  <c r="E405" i="18"/>
  <c r="G405" i="18"/>
  <c r="A406" i="18"/>
  <c r="B406" i="18"/>
  <c r="C406" i="18"/>
  <c r="D406" i="18"/>
  <c r="E406" i="18"/>
  <c r="G406" i="18"/>
  <c r="A407" i="18"/>
  <c r="B407" i="18"/>
  <c r="C407" i="18"/>
  <c r="D407" i="18"/>
  <c r="E407" i="18"/>
  <c r="G407" i="18"/>
  <c r="A408" i="18"/>
  <c r="B408" i="18"/>
  <c r="C408" i="18"/>
  <c r="D408" i="18"/>
  <c r="E408" i="18"/>
  <c r="G408" i="18"/>
  <c r="A409" i="18"/>
  <c r="B409" i="18"/>
  <c r="C409" i="18"/>
  <c r="D409" i="18"/>
  <c r="E409" i="18"/>
  <c r="G409" i="18"/>
  <c r="A410" i="18"/>
  <c r="B410" i="18"/>
  <c r="C410" i="18"/>
  <c r="D410" i="18"/>
  <c r="E410" i="18"/>
  <c r="G410" i="18"/>
  <c r="A411" i="18"/>
  <c r="B411" i="18"/>
  <c r="C411" i="18"/>
  <c r="D411" i="18"/>
  <c r="E411" i="18"/>
  <c r="G411" i="18"/>
  <c r="A412" i="18"/>
  <c r="B412" i="18"/>
  <c r="C412" i="18"/>
  <c r="D412" i="18"/>
  <c r="E412" i="18"/>
  <c r="G412" i="18"/>
  <c r="A413" i="18"/>
  <c r="B413" i="18"/>
  <c r="C413" i="18"/>
  <c r="D413" i="18"/>
  <c r="E413" i="18"/>
  <c r="G413" i="18"/>
  <c r="A414" i="18"/>
  <c r="B414" i="18"/>
  <c r="C414" i="18"/>
  <c r="D414" i="18"/>
  <c r="E414" i="18"/>
  <c r="G414" i="18"/>
  <c r="A415" i="18"/>
  <c r="B415" i="18"/>
  <c r="C415" i="18"/>
  <c r="D415" i="18"/>
  <c r="E415" i="18"/>
  <c r="G415" i="18"/>
  <c r="A416" i="18"/>
  <c r="B416" i="18"/>
  <c r="C416" i="18"/>
  <c r="D416" i="18"/>
  <c r="E416" i="18"/>
  <c r="G416" i="18"/>
  <c r="A417" i="18"/>
  <c r="B417" i="18"/>
  <c r="C417" i="18"/>
  <c r="D417" i="18"/>
  <c r="E417" i="18"/>
  <c r="G417" i="18"/>
  <c r="A418" i="18"/>
  <c r="B418" i="18"/>
  <c r="C418" i="18"/>
  <c r="D418" i="18"/>
  <c r="E418" i="18"/>
  <c r="G418" i="18"/>
  <c r="A419" i="18"/>
  <c r="B419" i="18"/>
  <c r="C419" i="18"/>
  <c r="D419" i="18"/>
  <c r="E419" i="18"/>
  <c r="G419" i="18"/>
  <c r="A420" i="18"/>
  <c r="B420" i="18"/>
  <c r="C420" i="18"/>
  <c r="D420" i="18"/>
  <c r="E420" i="18"/>
  <c r="G420" i="18"/>
  <c r="A421" i="18"/>
  <c r="B421" i="18"/>
  <c r="C421" i="18"/>
  <c r="D421" i="18"/>
  <c r="E421" i="18"/>
  <c r="G421" i="18"/>
  <c r="A422" i="18"/>
  <c r="B422" i="18"/>
  <c r="C422" i="18"/>
  <c r="D422" i="18"/>
  <c r="E422" i="18"/>
  <c r="G422" i="18"/>
  <c r="A423" i="18"/>
  <c r="B423" i="18"/>
  <c r="C423" i="18"/>
  <c r="D423" i="18"/>
  <c r="E423" i="18"/>
  <c r="G423" i="18"/>
  <c r="A424" i="18"/>
  <c r="B424" i="18"/>
  <c r="C424" i="18"/>
  <c r="D424" i="18"/>
  <c r="E424" i="18"/>
  <c r="G424" i="18"/>
  <c r="A425" i="18"/>
  <c r="B425" i="18"/>
  <c r="C425" i="18"/>
  <c r="D425" i="18"/>
  <c r="E425" i="18"/>
  <c r="G425" i="18"/>
  <c r="A426" i="18"/>
  <c r="B426" i="18"/>
  <c r="C426" i="18"/>
  <c r="D426" i="18"/>
  <c r="E426" i="18"/>
  <c r="G426" i="18"/>
  <c r="A427" i="18"/>
  <c r="B427" i="18"/>
  <c r="C427" i="18"/>
  <c r="D427" i="18"/>
  <c r="E427" i="18"/>
  <c r="G427" i="18"/>
  <c r="A428" i="18"/>
  <c r="B428" i="18"/>
  <c r="C428" i="18"/>
  <c r="D428" i="18"/>
  <c r="E428" i="18"/>
  <c r="G428" i="18"/>
  <c r="A429" i="18"/>
  <c r="B429" i="18"/>
  <c r="C429" i="18"/>
  <c r="D429" i="18"/>
  <c r="E429" i="18"/>
  <c r="G429" i="18"/>
  <c r="A430" i="18"/>
  <c r="B430" i="18"/>
  <c r="C430" i="18"/>
  <c r="D430" i="18"/>
  <c r="E430" i="18"/>
  <c r="G430" i="18"/>
  <c r="A431" i="18"/>
  <c r="B431" i="18"/>
  <c r="C431" i="18"/>
  <c r="D431" i="18"/>
  <c r="E431" i="18"/>
  <c r="G431" i="18"/>
  <c r="A432" i="18"/>
  <c r="B432" i="18"/>
  <c r="C432" i="18"/>
  <c r="D432" i="18"/>
  <c r="E432" i="18"/>
  <c r="G432" i="18"/>
  <c r="F209" i="5" l="1"/>
  <c r="D1" i="5" l="1"/>
  <c r="F392" i="5" l="1"/>
  <c r="I395" i="5" l="1"/>
  <c r="I394" i="5"/>
  <c r="I393" i="5"/>
  <c r="I392" i="5"/>
  <c r="H175" i="2" l="1"/>
  <c r="D13" i="1"/>
  <c r="F418" i="5"/>
  <c r="C3" i="2"/>
  <c r="B8" i="1"/>
  <c r="F485" i="5" l="1"/>
  <c r="F393" i="5" l="1"/>
  <c r="F394" i="5"/>
  <c r="F395" i="5"/>
  <c r="F396" i="5"/>
  <c r="F397" i="5"/>
  <c r="F398" i="5"/>
  <c r="F399" i="5"/>
  <c r="F400" i="5"/>
  <c r="F401" i="5"/>
  <c r="F402" i="5"/>
  <c r="F403" i="5"/>
  <c r="F404" i="5"/>
  <c r="F405" i="5"/>
  <c r="F406" i="5"/>
  <c r="F407" i="5"/>
  <c r="F408" i="5"/>
  <c r="F409" i="5"/>
  <c r="F410" i="5"/>
  <c r="F411" i="5"/>
  <c r="F412" i="5"/>
  <c r="F413" i="5"/>
  <c r="F414" i="5"/>
  <c r="F421" i="5"/>
  <c r="F470" i="5" l="1"/>
  <c r="F471" i="5"/>
  <c r="F472" i="5"/>
  <c r="F473" i="5"/>
  <c r="F474" i="5"/>
  <c r="F475" i="5"/>
  <c r="F476" i="5"/>
  <c r="F477" i="5"/>
  <c r="F478" i="5"/>
  <c r="F479" i="5"/>
  <c r="F480" i="5"/>
  <c r="F481" i="5"/>
  <c r="F482" i="5"/>
  <c r="F483" i="5"/>
  <c r="F469" i="5"/>
  <c r="F188" i="5"/>
  <c r="F425" i="5"/>
  <c r="F424" i="5"/>
  <c r="F423" i="5"/>
  <c r="F422" i="5"/>
  <c r="F420" i="5"/>
  <c r="F417" i="5"/>
  <c r="F416" i="5"/>
  <c r="F415" i="5"/>
  <c r="F391" i="5"/>
  <c r="F390" i="5"/>
  <c r="F389" i="5"/>
  <c r="F426" i="5" l="1"/>
  <c r="C59" i="19" s="1"/>
  <c r="B388" i="5" l="1"/>
  <c r="Y3" i="13"/>
  <c r="R3" i="13"/>
  <c r="S3" i="13"/>
  <c r="T3" i="13"/>
  <c r="U3" i="13"/>
  <c r="V3" i="13"/>
  <c r="W3" i="13"/>
  <c r="X3" i="13"/>
  <c r="Q3" i="13"/>
  <c r="B194" i="5"/>
  <c r="F194" i="5" s="1"/>
  <c r="F205" i="5"/>
  <c r="B207" i="5"/>
  <c r="F207" i="5" s="1"/>
  <c r="B201" i="5" l="1"/>
  <c r="B200" i="5"/>
  <c r="F200" i="5" l="1"/>
  <c r="D9" i="1"/>
  <c r="F201" i="5"/>
  <c r="F189" i="5"/>
  <c r="F190" i="5"/>
  <c r="F191" i="5"/>
  <c r="F192" i="5"/>
  <c r="F193" i="5"/>
  <c r="F213" i="5"/>
  <c r="F214" i="5"/>
  <c r="F311" i="5" l="1"/>
  <c r="F312" i="5"/>
  <c r="F313" i="5"/>
  <c r="F314" i="5"/>
  <c r="F315" i="5"/>
  <c r="F316" i="5"/>
  <c r="F317" i="5"/>
  <c r="F318" i="5"/>
  <c r="F319" i="5"/>
  <c r="F320" i="5"/>
  <c r="F321" i="5"/>
  <c r="F322" i="5"/>
  <c r="F323" i="5"/>
  <c r="F324" i="5"/>
  <c r="F325" i="5"/>
  <c r="F326" i="5"/>
  <c r="F327" i="5"/>
  <c r="F328" i="5"/>
  <c r="F329" i="5"/>
  <c r="F330" i="5"/>
  <c r="F331" i="5"/>
  <c r="F332" i="5"/>
  <c r="F333" i="5"/>
  <c r="F334" i="5"/>
  <c r="F335" i="5"/>
  <c r="F310" i="5"/>
  <c r="F247" i="5"/>
  <c r="F248" i="5"/>
  <c r="F249" i="5"/>
  <c r="F250" i="5"/>
  <c r="F251" i="5"/>
  <c r="F252" i="5"/>
  <c r="F253" i="5"/>
  <c r="F254" i="5"/>
  <c r="F255" i="5"/>
  <c r="F256" i="5"/>
  <c r="F257" i="5"/>
  <c r="F258" i="5"/>
  <c r="F246" i="5"/>
  <c r="F143" i="5"/>
  <c r="F144" i="5"/>
  <c r="F145" i="5"/>
  <c r="F146" i="5"/>
  <c r="F147" i="5"/>
  <c r="F148" i="5"/>
  <c r="F149" i="5"/>
  <c r="F150" i="5"/>
  <c r="F151" i="5"/>
  <c r="F152" i="5"/>
  <c r="F153" i="5"/>
  <c r="F154" i="5"/>
  <c r="F155" i="5"/>
  <c r="F156" i="5"/>
  <c r="F142" i="5"/>
  <c r="F339" i="5" l="1"/>
  <c r="F262" i="5"/>
  <c r="F159" i="5"/>
  <c r="B141" i="5" s="1"/>
  <c r="B245" i="5" l="1"/>
  <c r="F265" i="5"/>
  <c r="F219" i="5"/>
  <c r="F281" i="5" l="1"/>
  <c r="F286"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H21" i="2" l="1"/>
  <c r="H22" i="2"/>
  <c r="H23" i="2"/>
  <c r="H24" i="2"/>
  <c r="H25" i="2"/>
  <c r="H228" i="2"/>
  <c r="G70" i="6" l="1"/>
  <c r="C67" i="19" s="1"/>
  <c r="F21" i="1" s="1"/>
  <c r="W2" i="13" l="1"/>
  <c r="V2" i="13"/>
  <c r="S2" i="13"/>
  <c r="R2" i="13"/>
  <c r="Y2" i="13"/>
  <c r="X2" i="13"/>
  <c r="U2" i="13"/>
  <c r="T2" i="13"/>
  <c r="Q2" i="13"/>
  <c r="S1" i="13" l="1"/>
  <c r="F206" i="5" l="1"/>
  <c r="F216" i="5" s="1"/>
  <c r="D10" i="1"/>
  <c r="D8" i="1" s="1"/>
  <c r="D14" i="1" s="1"/>
  <c r="B187" i="5" l="1"/>
  <c r="F237" i="5" l="1"/>
  <c r="F236" i="5"/>
  <c r="F238" i="5"/>
  <c r="F239" i="5"/>
  <c r="C1" i="2" l="1"/>
  <c r="F362" i="5" l="1"/>
  <c r="F363" i="5"/>
  <c r="F364" i="5"/>
  <c r="F301" i="5"/>
  <c r="F287" i="5"/>
  <c r="F288" i="5"/>
  <c r="F241" i="5"/>
  <c r="F28" i="5" l="1"/>
  <c r="C12" i="19" s="1"/>
  <c r="H31" i="2" l="1"/>
  <c r="F48" i="5" l="1"/>
  <c r="C24" i="19" s="1"/>
  <c r="F47" i="5"/>
  <c r="C23" i="19" s="1"/>
  <c r="F46" i="5"/>
  <c r="C26" i="19" s="1"/>
  <c r="F45" i="5"/>
  <c r="C25" i="19" s="1"/>
  <c r="F54" i="5"/>
  <c r="F8" i="1" l="1"/>
  <c r="F461" i="5"/>
  <c r="F240" i="5" l="1"/>
  <c r="H101" i="2" l="1"/>
  <c r="F429" i="5" l="1"/>
  <c r="F430" i="5"/>
  <c r="F431" i="5"/>
  <c r="F432" i="5"/>
  <c r="F433" i="5"/>
  <c r="F305" i="5"/>
  <c r="D3" i="5" l="1"/>
  <c r="D2" i="5"/>
  <c r="C2" i="2"/>
  <c r="F438" i="5" l="1"/>
  <c r="C66" i="19" s="1"/>
  <c r="F302" i="5"/>
  <c r="F290" i="5"/>
  <c r="F291" i="5"/>
  <c r="F292" i="5"/>
  <c r="F277" i="5"/>
  <c r="F278" i="5"/>
  <c r="F121" i="5"/>
  <c r="F113" i="5"/>
  <c r="F385" i="5" l="1"/>
  <c r="C11" i="19" s="1"/>
  <c r="F266" i="5"/>
  <c r="H183" i="2"/>
  <c r="H115" i="2"/>
  <c r="H39" i="2"/>
  <c r="F443" i="5" l="1"/>
  <c r="F444" i="5"/>
  <c r="F445" i="5"/>
  <c r="F446" i="5"/>
  <c r="F447" i="5"/>
  <c r="F448" i="5"/>
  <c r="F449" i="5"/>
  <c r="F450" i="5"/>
  <c r="F451" i="5"/>
  <c r="F452" i="5"/>
  <c r="F453" i="5"/>
  <c r="F454" i="5"/>
  <c r="F455" i="5"/>
  <c r="F456" i="5"/>
  <c r="F457" i="5"/>
  <c r="F458" i="5"/>
  <c r="F459" i="5"/>
  <c r="F460" i="5"/>
  <c r="F442" i="5"/>
  <c r="F466" i="5" l="1"/>
  <c r="P74" i="6"/>
  <c r="B309" i="5" l="1"/>
  <c r="C64" i="19"/>
  <c r="B441" i="5"/>
  <c r="F235" i="5"/>
  <c r="F234" i="5"/>
  <c r="H319" i="2" l="1"/>
  <c r="C60" i="19" s="1"/>
  <c r="H320" i="2" l="1"/>
  <c r="C61" i="19" s="1"/>
  <c r="H336" i="2"/>
  <c r="H337" i="2"/>
  <c r="H338" i="2" l="1"/>
  <c r="H321" i="2"/>
  <c r="C62" i="19" s="1"/>
  <c r="H339" i="2" l="1"/>
  <c r="H340" i="2" s="1"/>
  <c r="H82" i="2"/>
  <c r="H79" i="2"/>
  <c r="H80" i="2"/>
  <c r="H81" i="2"/>
  <c r="H78" i="2"/>
  <c r="C69" i="19" l="1"/>
  <c r="B323" i="2"/>
  <c r="F22" i="1"/>
  <c r="H243" i="2" l="1"/>
  <c r="H268" i="2" s="1"/>
  <c r="H291" i="2" l="1"/>
  <c r="F164" i="5"/>
  <c r="C28" i="19"/>
  <c r="P86" i="6"/>
  <c r="P84" i="6"/>
  <c r="P82" i="6"/>
  <c r="P80" i="6"/>
  <c r="P78" i="6"/>
  <c r="P76" i="6"/>
  <c r="F437" i="5"/>
  <c r="F242" i="5"/>
  <c r="F436" i="5"/>
  <c r="F435" i="5"/>
  <c r="F434" i="5"/>
  <c r="F383" i="5"/>
  <c r="F382" i="5"/>
  <c r="F381" i="5"/>
  <c r="F380" i="5"/>
  <c r="F379" i="5"/>
  <c r="F378" i="5"/>
  <c r="F377" i="5"/>
  <c r="F376" i="5"/>
  <c r="F375" i="5"/>
  <c r="F374" i="5"/>
  <c r="F373" i="5"/>
  <c r="F372" i="5"/>
  <c r="F371" i="5"/>
  <c r="F370" i="5"/>
  <c r="F369" i="5"/>
  <c r="F368" i="5"/>
  <c r="F367" i="5"/>
  <c r="F366" i="5"/>
  <c r="F365" i="5"/>
  <c r="F361" i="5"/>
  <c r="F360" i="5"/>
  <c r="F359" i="5"/>
  <c r="F358" i="5"/>
  <c r="F357" i="5"/>
  <c r="F356" i="5"/>
  <c r="F355" i="5"/>
  <c r="F354" i="5"/>
  <c r="F353" i="5"/>
  <c r="F352" i="5"/>
  <c r="F351" i="5"/>
  <c r="F350" i="5"/>
  <c r="F349" i="5"/>
  <c r="F348" i="5"/>
  <c r="F347" i="5"/>
  <c r="F346" i="5"/>
  <c r="F345" i="5"/>
  <c r="F344" i="5"/>
  <c r="F343" i="5"/>
  <c r="F342" i="5"/>
  <c r="F304" i="5"/>
  <c r="F303" i="5"/>
  <c r="F300" i="5"/>
  <c r="F298" i="5"/>
  <c r="F297" i="5"/>
  <c r="F296" i="5"/>
  <c r="F295" i="5"/>
  <c r="F294" i="5"/>
  <c r="F293" i="5"/>
  <c r="F289" i="5"/>
  <c r="F276" i="5"/>
  <c r="F275" i="5"/>
  <c r="F274" i="5"/>
  <c r="F273" i="5"/>
  <c r="F272" i="5"/>
  <c r="F271" i="5"/>
  <c r="F270" i="5"/>
  <c r="F269" i="5"/>
  <c r="F268" i="5"/>
  <c r="F267" i="5"/>
  <c r="F233" i="5"/>
  <c r="F232" i="5"/>
  <c r="F231" i="5"/>
  <c r="F230" i="5"/>
  <c r="F229" i="5"/>
  <c r="F228" i="5"/>
  <c r="F227" i="5"/>
  <c r="F226" i="5"/>
  <c r="F225" i="5"/>
  <c r="F224" i="5"/>
  <c r="F223" i="5"/>
  <c r="F222" i="5"/>
  <c r="F221" i="5"/>
  <c r="F220" i="5"/>
  <c r="F183" i="5"/>
  <c r="F182" i="5"/>
  <c r="F181" i="5"/>
  <c r="F180" i="5"/>
  <c r="F179" i="5"/>
  <c r="F178" i="5"/>
  <c r="F177" i="5"/>
  <c r="F176" i="5"/>
  <c r="F175" i="5"/>
  <c r="F174" i="5"/>
  <c r="F173" i="5"/>
  <c r="F172" i="5"/>
  <c r="F171" i="5"/>
  <c r="F170" i="5"/>
  <c r="F169" i="5"/>
  <c r="F168" i="5"/>
  <c r="F167" i="5"/>
  <c r="F166" i="5"/>
  <c r="F165" i="5"/>
  <c r="F163" i="5"/>
  <c r="F138" i="5"/>
  <c r="F137" i="5"/>
  <c r="F136" i="5"/>
  <c r="F135" i="5"/>
  <c r="F134" i="5"/>
  <c r="F133" i="5"/>
  <c r="F132" i="5"/>
  <c r="F131" i="5"/>
  <c r="F130" i="5"/>
  <c r="F129" i="5"/>
  <c r="F128" i="5"/>
  <c r="F127" i="5"/>
  <c r="F126" i="5"/>
  <c r="F125" i="5"/>
  <c r="F124" i="5"/>
  <c r="F123" i="5"/>
  <c r="F122" i="5"/>
  <c r="F120" i="5"/>
  <c r="F119" i="5"/>
  <c r="F118" i="5"/>
  <c r="F117" i="5"/>
  <c r="F116" i="5"/>
  <c r="F115" i="5"/>
  <c r="F114" i="5"/>
  <c r="F112" i="5"/>
  <c r="F111" i="5"/>
  <c r="F110" i="5"/>
  <c r="F109" i="5"/>
  <c r="F108" i="5"/>
  <c r="F107" i="5"/>
  <c r="F106" i="5"/>
  <c r="F105" i="5"/>
  <c r="F104" i="5"/>
  <c r="F103" i="5"/>
  <c r="F102" i="5"/>
  <c r="F101" i="5"/>
  <c r="F100" i="5"/>
  <c r="F99" i="5"/>
  <c r="F98" i="5"/>
  <c r="F97" i="5"/>
  <c r="F9" i="1"/>
  <c r="F44" i="5"/>
  <c r="C17" i="19" s="1"/>
  <c r="F43" i="5"/>
  <c r="C18" i="19" s="1"/>
  <c r="F41" i="5"/>
  <c r="C22" i="19" s="1"/>
  <c r="F40" i="5"/>
  <c r="C21" i="19" s="1"/>
  <c r="F39" i="5"/>
  <c r="C19" i="19" s="1"/>
  <c r="F38" i="5"/>
  <c r="C20" i="19" s="1"/>
  <c r="F33" i="5"/>
  <c r="C15" i="19" s="1"/>
  <c r="F32" i="5"/>
  <c r="C14" i="19" s="1"/>
  <c r="F27" i="5"/>
  <c r="F26" i="5"/>
  <c r="F25" i="5"/>
  <c r="F24" i="5"/>
  <c r="F23" i="5"/>
  <c r="F22" i="5"/>
  <c r="F21" i="5"/>
  <c r="F20" i="5"/>
  <c r="F19" i="5"/>
  <c r="F18" i="5"/>
  <c r="F17" i="5"/>
  <c r="F16" i="5"/>
  <c r="F15" i="5"/>
  <c r="F14" i="5"/>
  <c r="F13" i="5"/>
  <c r="F12" i="5"/>
  <c r="F11" i="5"/>
  <c r="F10" i="5"/>
  <c r="F9" i="5"/>
  <c r="F8" i="5"/>
  <c r="F7" i="5"/>
  <c r="C10" i="19" s="1"/>
  <c r="F17" i="1" l="1"/>
  <c r="C50" i="19"/>
  <c r="C9" i="19"/>
  <c r="F16" i="1" s="1"/>
  <c r="F29" i="5"/>
  <c r="F439" i="5"/>
  <c r="B428" i="5" s="1"/>
  <c r="F307" i="5"/>
  <c r="C45" i="19" s="1"/>
  <c r="P88" i="6"/>
  <c r="C30" i="19" s="1"/>
  <c r="F15" i="1" s="1"/>
  <c r="H292" i="2"/>
  <c r="H269" i="2"/>
  <c r="C51" i="19" s="1"/>
  <c r="F386" i="5"/>
  <c r="F243" i="5"/>
  <c r="C41" i="19" s="1"/>
  <c r="F35" i="5"/>
  <c r="B31" i="5" s="1"/>
  <c r="F12" i="1"/>
  <c r="F13" i="1"/>
  <c r="F42" i="5"/>
  <c r="C27" i="19" s="1"/>
  <c r="F11" i="1" s="1"/>
  <c r="F10" i="1"/>
  <c r="B341" i="5" l="1"/>
  <c r="C54" i="19"/>
  <c r="F20" i="1" s="1"/>
  <c r="F18" i="1"/>
  <c r="H293" i="2"/>
  <c r="C55" i="19"/>
  <c r="B218" i="5"/>
  <c r="H270" i="2"/>
  <c r="C52" i="19" s="1"/>
  <c r="B42" i="5"/>
  <c r="F55" i="5"/>
  <c r="B6" i="5"/>
  <c r="B264" i="5"/>
  <c r="A10" i="20" l="1" a="1"/>
  <c r="C56" i="19"/>
  <c r="F56" i="5"/>
  <c r="H160" i="2"/>
  <c r="H87" i="2"/>
  <c r="H85" i="2"/>
  <c r="H107" i="2"/>
  <c r="H157" i="2"/>
  <c r="H158" i="2"/>
  <c r="A10" i="20" l="1"/>
  <c r="H70" i="20"/>
  <c r="H71" i="20" s="1"/>
  <c r="H72" i="20" s="1"/>
  <c r="B37" i="5"/>
  <c r="H226" i="2"/>
  <c r="H225" i="2"/>
  <c r="H170" i="2" l="1"/>
  <c r="C42" i="19" s="1"/>
  <c r="H238" i="2"/>
  <c r="H84" i="2"/>
  <c r="C68" i="19" s="1"/>
  <c r="H83" i="2"/>
  <c r="H77" i="2"/>
  <c r="H76" i="2"/>
  <c r="H20" i="2"/>
  <c r="H19" i="2"/>
  <c r="H18" i="2"/>
  <c r="H17" i="2"/>
  <c r="H16" i="2"/>
  <c r="H15" i="2"/>
  <c r="H14" i="2"/>
  <c r="H13" i="2"/>
  <c r="H12" i="2"/>
  <c r="H11" i="2"/>
  <c r="H10" i="2"/>
  <c r="H9" i="2"/>
  <c r="H8" i="2"/>
  <c r="H6" i="2"/>
  <c r="C46" i="19" l="1"/>
  <c r="H26" i="2"/>
  <c r="H171" i="2"/>
  <c r="H239" i="2"/>
  <c r="C33" i="19" l="1"/>
  <c r="H172" i="2"/>
  <c r="C44" i="19" s="1"/>
  <c r="C43" i="19"/>
  <c r="H240" i="2"/>
  <c r="C48" i="19" s="1"/>
  <c r="C47" i="19"/>
  <c r="H27" i="2"/>
  <c r="C34" i="19" s="1"/>
  <c r="H28" i="2" l="1"/>
  <c r="C35" i="19" s="1"/>
  <c r="F59" i="5" l="1"/>
  <c r="F139" i="5" s="1"/>
  <c r="C32" i="19" s="1"/>
  <c r="B58" i="5" l="1"/>
  <c r="F487" i="5" l="1"/>
  <c r="B468" i="5" s="1"/>
  <c r="F162" i="5"/>
  <c r="F185" i="5" s="1"/>
  <c r="B161" i="5" l="1"/>
  <c r="C37" i="19"/>
  <c r="F489" i="5"/>
  <c r="H102" i="2"/>
  <c r="C38" i="19" s="1"/>
  <c r="H103" i="2" l="1"/>
  <c r="C39" i="19" s="1"/>
  <c r="H104" i="2" l="1"/>
  <c r="C40" i="19" s="1"/>
  <c r="F19" i="1" l="1"/>
  <c r="C71" i="19"/>
  <c r="B17" i="1" s="1"/>
  <c r="H342" i="2"/>
  <c r="B18"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tc={A219C05B-C764-4352-A9BD-195F6D576382}</author>
    <author>tc={A4F931B9-0967-467F-B093-BF9F84805966}</author>
    <author>tc={DCD75B6F-4AB5-411A-AA47-65ACE0223E2B}</author>
    <author>tc={7C0A7016-B069-4983-AC87-A9C9F5235E9F}</author>
  </authors>
  <commentList>
    <comment ref="D9" authorId="0" shapeId="0" xr:uid="{00000000-0006-0000-0300-000001000000}">
      <text>
        <t xml:space="preserve">[Threaded comment]
Your version of Excel allows you to read this threaded comment; however, any edits to it will get removed if the file is opened in a newer version of Excel. Learn more: https://go.microsoft.com/fwlink/?linkid=870924
Comment:
    MINIMUM CHARGE IF FLAT RATE IS LESS THAN MINIMUM OPTION
</t>
      </text>
    </comment>
    <comment ref="D188" authorId="1" shapeId="0" xr:uid="{00000000-0006-0000-0300-00000200000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
      </text>
    </comment>
    <comment ref="D200" authorId="2" shapeId="0" xr:uid="{00000000-0006-0000-0300-000003000000}">
      <text>
        <t>[Threaded comment]
Your version of Excel allows you to read this threaded comment; however, any edits to it will get removed if the file is opened in a newer version of Excel. Learn more: https://go.microsoft.com/fwlink/?linkid=870924
Comment:
    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
      </text>
    </comment>
    <comment ref="D201" authorId="3" shapeId="0" xr:uid="{00000000-0006-0000-0300-000004000000}">
      <text>
        <t>[Threaded comment]
Your version of Excel allows you to read this threaded comment; however, any edits to it will get removed if the file is opened in a newer version of Excel. Learn more: https://go.microsoft.com/fwlink/?linkid=870924
Comment:
      This unit includes (1 cable and up to 2 multiports) or #2 and 3 Multiports only) if lashed at the same time.  (Can be used for (2 Copper Cables up to 200pr)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Strock, Terry</author>
    <author>Allen, Danielle</author>
    <author>Jones, Chris R.</author>
    <author>tc={44B01994-5FB1-4C70-9D3E-70DBCAD16252}</author>
  </authors>
  <commentList>
    <comment ref="Q1" authorId="0" shapeId="0" xr:uid="{00000000-0006-0000-0600-000001000000}">
      <text>
        <r>
          <rPr>
            <b/>
            <sz val="9"/>
            <color indexed="81"/>
            <rFont val="Tahoma"/>
            <family val="2"/>
          </rPr>
          <t>Strock, Terry:</t>
        </r>
        <r>
          <rPr>
            <sz val="9"/>
            <color indexed="81"/>
            <rFont val="Tahoma"/>
            <family val="2"/>
          </rPr>
          <t xml:space="preserve">
This is the adder to cover additional MP's not covered by unit 140 or 141</t>
        </r>
      </text>
    </comment>
    <comment ref="D6" authorId="1" shapeId="0" xr:uid="{19294903-643D-4933-BF8D-82ED62FD5D86}">
      <text>
        <r>
          <rPr>
            <b/>
            <sz val="9"/>
            <color indexed="81"/>
            <rFont val="Tahoma"/>
            <family val="2"/>
          </rPr>
          <t>Allen, Danielle:</t>
        </r>
        <r>
          <rPr>
            <sz val="9"/>
            <color indexed="81"/>
            <rFont val="Tahoma"/>
            <family val="2"/>
          </rPr>
          <t xml:space="preserve">
ONLY UTILIZE FOR 2" OR 4" CONDUIT</t>
        </r>
      </text>
    </comment>
    <comment ref="F6" authorId="1" shapeId="0" xr:uid="{00000000-0006-0000-0600-000002000000}">
      <text>
        <r>
          <rPr>
            <b/>
            <sz val="9"/>
            <color indexed="81"/>
            <rFont val="Tahoma"/>
            <family val="2"/>
          </rPr>
          <t>Allen, Danielle:</t>
        </r>
        <r>
          <rPr>
            <sz val="9"/>
            <color indexed="81"/>
            <rFont val="Tahoma"/>
            <family val="2"/>
          </rPr>
          <t xml:space="preserve">
VALUES FROM 0 TO 4</t>
        </r>
      </text>
    </comment>
    <comment ref="G6" authorId="1" shapeId="0" xr:uid="{00000000-0006-0000-0600-000003000000}">
      <text>
        <r>
          <rPr>
            <b/>
            <sz val="9"/>
            <color indexed="81"/>
            <rFont val="Tahoma"/>
            <family val="2"/>
          </rPr>
          <t>Allen, Danielle:</t>
        </r>
        <r>
          <rPr>
            <sz val="9"/>
            <color indexed="81"/>
            <rFont val="Tahoma"/>
            <family val="2"/>
          </rPr>
          <t xml:space="preserve">
VALUE OF 1 OR 2</t>
        </r>
      </text>
    </comment>
    <comment ref="H6" authorId="2" shapeId="0" xr:uid="{2AE1815C-8E24-4E52-A402-3E7551D24707}">
      <text>
        <r>
          <rPr>
            <b/>
            <sz val="9"/>
            <color indexed="81"/>
            <rFont val="Tahoma"/>
            <family val="2"/>
          </rPr>
          <t>Jones, Chris R.:</t>
        </r>
        <r>
          <rPr>
            <sz val="9"/>
            <color indexed="81"/>
            <rFont val="Tahoma"/>
            <family val="2"/>
          </rPr>
          <t xml:space="preserve">
INPUT 1 FOR 3RD CONDUIT OR 2 FOR 4TH CONDUIT</t>
        </r>
      </text>
    </comment>
    <comment ref="I6" authorId="2" shapeId="0" xr:uid="{EC95F8D1-0D8A-4872-908F-2F8D88E3BD07}">
      <text>
        <r>
          <rPr>
            <b/>
            <sz val="9"/>
            <color indexed="81"/>
            <rFont val="Tahoma"/>
            <family val="2"/>
          </rPr>
          <t xml:space="preserve">Jones, Chris </t>
        </r>
        <r>
          <rPr>
            <sz val="9"/>
            <color indexed="81"/>
            <rFont val="Tahoma"/>
            <family val="2"/>
          </rPr>
          <t xml:space="preserve"> 
INPUT 1  FOR THE 5TH CONDUIT</t>
        </r>
      </text>
    </comment>
    <comment ref="J6" authorId="0" shapeId="0" xr:uid="{00000000-0006-0000-0600-000005000000}">
      <text>
        <r>
          <rPr>
            <b/>
            <sz val="9"/>
            <color indexed="81"/>
            <rFont val="Tahoma"/>
            <family val="2"/>
          </rPr>
          <t>Strock, Terry:</t>
        </r>
        <r>
          <rPr>
            <sz val="9"/>
            <color indexed="81"/>
            <rFont val="Tahoma"/>
            <family val="2"/>
          </rPr>
          <t xml:space="preserve">
</t>
        </r>
        <r>
          <rPr>
            <sz val="10"/>
            <color indexed="81"/>
            <rFont val="Tahoma"/>
            <family val="2"/>
          </rPr>
          <t>If span is all MPs you get 3 MPs before needing an adder for additional MPs</t>
        </r>
      </text>
    </comment>
    <comment ref="K6" authorId="0" shapeId="0" xr:uid="{00000000-0006-0000-0600-000006000000}">
      <text>
        <r>
          <rPr>
            <b/>
            <sz val="9"/>
            <color indexed="81"/>
            <rFont val="Tahoma"/>
            <family val="2"/>
          </rPr>
          <t>Strock, Terry:</t>
        </r>
        <r>
          <rPr>
            <sz val="9"/>
            <color indexed="81"/>
            <rFont val="Tahoma"/>
            <family val="2"/>
          </rPr>
          <t xml:space="preserve">
If MPs only use unit 146 for the first MP</t>
        </r>
      </text>
    </comment>
    <comment ref="L6" authorId="0" shapeId="0" xr:uid="{00000000-0006-0000-0600-000007000000}">
      <text>
        <r>
          <rPr>
            <b/>
            <sz val="9"/>
            <color indexed="81"/>
            <rFont val="Tahoma"/>
            <family val="2"/>
          </rPr>
          <t>Strock, Terry:</t>
        </r>
        <r>
          <rPr>
            <sz val="9"/>
            <color indexed="81"/>
            <rFont val="Tahoma"/>
            <family val="2"/>
          </rPr>
          <t xml:space="preserve">
Use if more than 1 cable in a span.</t>
        </r>
      </text>
    </comment>
    <comment ref="M6" authorId="0" shapeId="0" xr:uid="{00000000-0006-0000-0600-000008000000}">
      <text>
        <r>
          <rPr>
            <b/>
            <sz val="9"/>
            <color indexed="81"/>
            <rFont val="Tahoma"/>
            <family val="2"/>
          </rPr>
          <t>Strock, Terry:
Use this unit for MP 2 and 3 in spans with MPs only</t>
        </r>
      </text>
    </comment>
    <comment ref="AM64" authorId="3" shapeId="0" xr:uid="{00000000-0006-0000-0600-000009000000}">
      <text>
        <t>[Threaded comment]
Your version of Excel allows you to read this threaded comment; however, any edits to it will get removed if the file is opened in a newer version of Excel. Learn more: https://go.microsoft.com/fwlink/?linkid=870924
Comment:
    3 RAISES (TV AND 2LMS) RESAG 2</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<sst xmlns="http://schemas.openxmlformats.org/spreadsheetml/2006/main" count="3272" uniqueCount="1315">
  <si>
    <t>RSB WORKBOOK</t>
  </si>
  <si>
    <t>CUSTOMER NAME</t>
  </si>
  <si>
    <t>LUMOS</t>
  </si>
  <si>
    <t>ENGINEER</t>
  </si>
  <si>
    <t>CUSTOMER LOCATION</t>
  </si>
  <si>
    <t>DATE</t>
  </si>
  <si>
    <t>MARKET</t>
  </si>
  <si>
    <t>Project #</t>
  </si>
  <si>
    <t>Permits Due Date</t>
  </si>
  <si>
    <t>CAPITAL BUDGET #</t>
  </si>
  <si>
    <t>Planning Guide #</t>
  </si>
  <si>
    <t>Cost</t>
  </si>
  <si>
    <t>Days</t>
  </si>
  <si>
    <t>New Aerial Fiber Cable Placement</t>
  </si>
  <si>
    <t>Municipal</t>
  </si>
  <si>
    <t>Total Overlash</t>
  </si>
  <si>
    <t>RR</t>
  </si>
  <si>
    <t>Planned Completion</t>
  </si>
  <si>
    <t>Easement</t>
  </si>
  <si>
    <t>HLE</t>
  </si>
  <si>
    <t>Total Existing Conduit Footage</t>
  </si>
  <si>
    <t>Pole</t>
  </si>
  <si>
    <t>Detailed</t>
  </si>
  <si>
    <t>Conduit</t>
  </si>
  <si>
    <t>Job Package</t>
  </si>
  <si>
    <t>Other</t>
  </si>
  <si>
    <t>Variance Approved Dates</t>
  </si>
  <si>
    <t>Traffic Control</t>
  </si>
  <si>
    <t>HLE to Detailed Est</t>
  </si>
  <si>
    <t>Engineering</t>
  </si>
  <si>
    <t>Detailed Est to JP</t>
  </si>
  <si>
    <t>Drafting</t>
  </si>
  <si>
    <t>Total Including Equ.</t>
  </si>
  <si>
    <t>Permitting</t>
  </si>
  <si>
    <t>Construction</t>
  </si>
  <si>
    <t>ON NET</t>
  </si>
  <si>
    <t>QTY</t>
  </si>
  <si>
    <t xml:space="preserve">NEAR NET </t>
  </si>
  <si>
    <t>Splicing</t>
  </si>
  <si>
    <t>SFU Residential-ON</t>
  </si>
  <si>
    <t>SFU Residential-NN</t>
  </si>
  <si>
    <t>Access Equipment</t>
  </si>
  <si>
    <t>MDU Residential-ON</t>
  </si>
  <si>
    <t>MDU Residential-NN</t>
  </si>
  <si>
    <t>LCP Equipment</t>
  </si>
  <si>
    <t>Business-ON</t>
  </si>
  <si>
    <t>Business-NN</t>
  </si>
  <si>
    <t xml:space="preserve">   Vacant Lots-ON</t>
  </si>
  <si>
    <t xml:space="preserve">   Vacant Lots-NN</t>
  </si>
  <si>
    <t>TOTAL ON NET:</t>
  </si>
  <si>
    <t>TOTAL NEAR NET:</t>
  </si>
  <si>
    <t>LIST OF PERMITS - EASEMENTS - IRU SPLICING NEEDED</t>
  </si>
  <si>
    <t>NAME</t>
  </si>
  <si>
    <t>DESCRIPTION</t>
  </si>
  <si>
    <t>DUE</t>
  </si>
  <si>
    <t>SENT</t>
  </si>
  <si>
    <t>APPROVED</t>
  </si>
  <si>
    <t>COMMENTS</t>
  </si>
  <si>
    <t>*** BELOW IS FOR ADMIN USE ONLY***</t>
  </si>
  <si>
    <t>JP Approval Date:</t>
  </si>
  <si>
    <t>Approved By:</t>
  </si>
  <si>
    <t>Date sent to Construction:</t>
  </si>
  <si>
    <t>Construction Complete:</t>
  </si>
  <si>
    <t>Miss Utility Polygon:</t>
  </si>
  <si>
    <t>PASTE LOCATION MAP HERE</t>
  </si>
  <si>
    <t>Tax</t>
  </si>
  <si>
    <t>Provisioning</t>
  </si>
  <si>
    <t>Task Name</t>
  </si>
  <si>
    <t>QUANTITY</t>
  </si>
  <si>
    <t>ACTUAL QUANITY</t>
  </si>
  <si>
    <t>REEL NUMBER</t>
  </si>
  <si>
    <t>ITEM #</t>
  </si>
  <si>
    <t>COST</t>
  </si>
  <si>
    <t>TOTAL</t>
  </si>
  <si>
    <t>POLE MATERIAL</t>
  </si>
  <si>
    <t>O.POLES</t>
  </si>
  <si>
    <t>POLE30C3</t>
  </si>
  <si>
    <t>Pole 30' CL3</t>
  </si>
  <si>
    <t>POLE30C4</t>
  </si>
  <si>
    <t>Pole 30  CL4</t>
  </si>
  <si>
    <t>POLE30C5</t>
  </si>
  <si>
    <t>Pole 30  CL5</t>
  </si>
  <si>
    <t>POLE35C4</t>
  </si>
  <si>
    <t>Pole 35 CL4</t>
  </si>
  <si>
    <t>POLE35C5</t>
  </si>
  <si>
    <t>Pole 35 CL5</t>
  </si>
  <si>
    <t>POLE40C2</t>
  </si>
  <si>
    <t>Pole 40' CL2</t>
  </si>
  <si>
    <t>POLE40C3</t>
  </si>
  <si>
    <t>Pole 40 CL3</t>
  </si>
  <si>
    <t>POLE40C4</t>
  </si>
  <si>
    <t>Pole 40' CL4</t>
  </si>
  <si>
    <t>POLE40C5</t>
  </si>
  <si>
    <t>Pole 40' CL5</t>
  </si>
  <si>
    <t>POLE45C1</t>
  </si>
  <si>
    <t>Pole 45' CL1 Not stocked item, Contact Purchasing for Price/Availability</t>
  </si>
  <si>
    <t>POLE45C2</t>
  </si>
  <si>
    <t>Pole 45' CL2 Not stocked item, Contact Purchasing for Price/Availability</t>
  </si>
  <si>
    <t>POLE45C3</t>
  </si>
  <si>
    <t>Pole 45' CL3</t>
  </si>
  <si>
    <t>POLE45C4</t>
  </si>
  <si>
    <t>Pole 45' CL4</t>
  </si>
  <si>
    <t>POLE50C2</t>
  </si>
  <si>
    <t xml:space="preserve">Pole 50' CL2 </t>
  </si>
  <si>
    <t>POLE55C1</t>
  </si>
  <si>
    <t>Pole 55' CL1 Not stocked item, Contact Purchasing for Price/Availability</t>
  </si>
  <si>
    <t>POLE55C2</t>
  </si>
  <si>
    <t>Pole  55' CL2</t>
  </si>
  <si>
    <t>MISC.</t>
  </si>
  <si>
    <t>SUB-TOTAL - O.POLES</t>
  </si>
  <si>
    <t>PROVISIONING - POLE MATERIAL</t>
  </si>
  <si>
    <t>TOTAL - O.POLES</t>
  </si>
  <si>
    <t>&lt;----Click the + to Expand or Collapse the "POLE MATERIAL" Section</t>
  </si>
  <si>
    <t>AERIAL FIBER ASSET MATERIAL</t>
  </si>
  <si>
    <t>O.FBR.AERL</t>
  </si>
  <si>
    <t>FIBCOMFIG8</t>
  </si>
  <si>
    <t>FIBER - COMMSCOPE FIGURE 8 M-006-MN-8W-F06NS/25G/109 (RDF)</t>
  </si>
  <si>
    <t>FIBGEN48ARMR</t>
  </si>
  <si>
    <t>048 Loose Tube PN D-048-LA-8W-F12NS; 048ZUC-T4122D20; AT3CEH2YT-048</t>
  </si>
  <si>
    <t>FIBGEN72ARMR</t>
  </si>
  <si>
    <t>FIBGEN96ARMR</t>
  </si>
  <si>
    <t>096 Loose Tube PN D-096-LA-8W-F12NS; 096ZUC-T4122D20; AT3CEH2YT-096</t>
  </si>
  <si>
    <t>FIBGEN144RIB</t>
  </si>
  <si>
    <t>144 Ribbon FIber PN 144EC5-14100D53</t>
  </si>
  <si>
    <t>FIBOFS192LTARMR</t>
  </si>
  <si>
    <r>
      <t>FIBER OFS AT3</t>
    </r>
    <r>
      <rPr>
        <sz val="10"/>
        <rFont val="Calibri"/>
        <family val="2"/>
      </rPr>
      <t>CEH2YT-192-FORTEX NON-DIELECTRIC LIGHT ARMOR</t>
    </r>
  </si>
  <si>
    <t>FIBGEN288RIB</t>
  </si>
  <si>
    <t>288 Ribbon FIber PN 288EV5-14100D53</t>
  </si>
  <si>
    <t>FIBGEN432RIB</t>
  </si>
  <si>
    <t>432 Ribbon Fiber OFS AT-3CE84SX-432; COR 432EV5-14100D53; STL RA0432FSN06TFBUUS</t>
  </si>
  <si>
    <t>AERIAL CABLE ASSET MATERIAL</t>
  </si>
  <si>
    <t>CBLFS2522</t>
  </si>
  <si>
    <t>CABLE F.S. 25-22</t>
  </si>
  <si>
    <t>CBLFSKIN10024</t>
  </si>
  <si>
    <t>CABLE FOAM SKIN 100-24</t>
  </si>
  <si>
    <t>CBLFSKIN120024</t>
  </si>
  <si>
    <t>CABLE FOAM SKIN 1200-24</t>
  </si>
  <si>
    <t>CBLFSKIN1224</t>
  </si>
  <si>
    <t>CABLE FOAM SKIN 12-24</t>
  </si>
  <si>
    <t>CBLFSKIN180024</t>
  </si>
  <si>
    <t>CABLE FOAM SKIN 1800-24</t>
  </si>
  <si>
    <t>CBLFSKIN20024</t>
  </si>
  <si>
    <t>CABLE FOAM SKIN 200-24</t>
  </si>
  <si>
    <t>CBLFSKIN2524</t>
  </si>
  <si>
    <t>CABLE FOAM SKIN 25-24</t>
  </si>
  <si>
    <t>CBLFSKIN30024</t>
  </si>
  <si>
    <t>CABLE FOAM SKIN 300-24</t>
  </si>
  <si>
    <t>CBLFSKIN40024</t>
  </si>
  <si>
    <t>CABLE FOAM SKIN 400-24</t>
  </si>
  <si>
    <t>CBLFSKIN5022</t>
  </si>
  <si>
    <t>CABLE FOAM SKIN 50-22</t>
  </si>
  <si>
    <t>CBLFSKIN5024</t>
  </si>
  <si>
    <t>CABLE FOAM SKIN 50-24</t>
  </si>
  <si>
    <t>CBLFSKIN60024</t>
  </si>
  <si>
    <t>CABLE FOAM SKIN 600-24</t>
  </si>
  <si>
    <t>CBLFSKIN622</t>
  </si>
  <si>
    <t>CABLE FOAM SKIN 6-22</t>
  </si>
  <si>
    <t>CBLFSKIN624</t>
  </si>
  <si>
    <t>CABLE FOAM SKIN 6-24</t>
  </si>
  <si>
    <t>CBLFSKIN90024</t>
  </si>
  <si>
    <t>CABLE FOAM SKIN 900-24</t>
  </si>
  <si>
    <t>CBLRDW622</t>
  </si>
  <si>
    <t>RDW 6-22   #10-006-17 IMRDW 109 MESSENGER FIG 8</t>
  </si>
  <si>
    <t>CCTSPLCASE4X25</t>
  </si>
  <si>
    <t>CASE SPL 4X25 8000624 W/BOND</t>
  </si>
  <si>
    <t>CCTSPLCASE65X28</t>
  </si>
  <si>
    <t>CASE SPL 6.5X28 8000626 W/BOND</t>
  </si>
  <si>
    <t>CCTSPLCASE65X38</t>
  </si>
  <si>
    <t>CASE SPL 6.5X38 8000634 W/BOND</t>
  </si>
  <si>
    <t>CCTSPLCASE95X28</t>
  </si>
  <si>
    <t>CASE SPL 9.5X28 8000630 W/BOND</t>
  </si>
  <si>
    <t>CCTSPLCASE95X38</t>
  </si>
  <si>
    <t>CASE SPL 9.5X38 8000635 W/BOND</t>
  </si>
  <si>
    <t>CCTSPLCASE95X45</t>
  </si>
  <si>
    <t>CASE SPL 9.5X45 8006176 W/BOND</t>
  </si>
  <si>
    <t>CCTREDDI95X284</t>
  </si>
  <si>
    <t>CLOS REDDI 9.5X28.4 8006175&amp;74</t>
  </si>
  <si>
    <t>CCTREDDI95X385</t>
  </si>
  <si>
    <t>CLOS REDDI 9.5X38.5 8006181</t>
  </si>
  <si>
    <t>CCTCLSR2BB</t>
  </si>
  <si>
    <t>CLOSURE 2BB SC/DC</t>
  </si>
  <si>
    <t>CCTCLSR3BB</t>
  </si>
  <si>
    <t>CLOSURE 3BB SC/DC</t>
  </si>
  <si>
    <t>CCTCLSR5BB</t>
  </si>
  <si>
    <t>CLOSURE 5BB BB5X26-SB/2SC-LHS</t>
  </si>
  <si>
    <t>CCT2X29AERCLSR</t>
  </si>
  <si>
    <t>CLOSURE AERIAL SLIC  2" X 29" 3M SLIC 2X29</t>
  </si>
  <si>
    <t>CCT3X33AERCLSR</t>
  </si>
  <si>
    <t>CLOSURE AERIAL SLIC 3" X 33" CSL333</t>
  </si>
  <si>
    <t>CCT5X33AERCLSR</t>
  </si>
  <si>
    <t>CLOSURE AERIAL SLIC 5" X 33" CSL533</t>
  </si>
  <si>
    <t>CCT7X33AERCLSR</t>
  </si>
  <si>
    <t>CLOSURE AERIAL SLIC 7" X 33" CSL733</t>
  </si>
  <si>
    <t>CCT9X36AERCLSR</t>
  </si>
  <si>
    <t>CLOSURE AERIAL SLIC 9" X 36" CSL936</t>
  </si>
  <si>
    <t>CCTTERM2X19SLIC</t>
  </si>
  <si>
    <t>SLIC 2.2X19 CLOSURE SLIC22X19SES</t>
  </si>
  <si>
    <t>CCT3X28TERM</t>
  </si>
  <si>
    <t>SLIC TERMINAL W/10PR BLK 3X28 W/SPIRAL END - 328-PI-10/SES</t>
  </si>
  <si>
    <t>CCT5X30TERM</t>
  </si>
  <si>
    <t>SLIC TERMINAL W/10PR BLK 5X30 W/SPIRAL END - 530-PI-10/SES</t>
  </si>
  <si>
    <t>AERIAL FIBER SUPPORT PARTS</t>
  </si>
  <si>
    <t>SPLSNOSHOE12IN</t>
  </si>
  <si>
    <t>SNO-SHOE PLASTIC 12" PN FIS12M</t>
  </si>
  <si>
    <t>SPLSNOSHOE16</t>
  </si>
  <si>
    <t>SNO-SHOE PLASTIC 16" use for 144 fiber count or larger</t>
  </si>
  <si>
    <t>HDW10INANCHOR</t>
  </si>
  <si>
    <t>10" SCREW ANCHOR</t>
  </si>
  <si>
    <t>HDWANCH12HLX</t>
  </si>
  <si>
    <t>ANCHOR 12" HELIX C102-5206</t>
  </si>
  <si>
    <t>HDWANCH8HLX</t>
  </si>
  <si>
    <t>ANCHOR 8" HELIX C102-5204</t>
  </si>
  <si>
    <t>HDWTRPLEYENUT</t>
  </si>
  <si>
    <t>TRIPLEYE EYENUT 12585</t>
  </si>
  <si>
    <t>HDWANCHRD1X7</t>
  </si>
  <si>
    <t>ANCHOR ROD 1" X 7' 12334P</t>
  </si>
  <si>
    <t>AERIAL CLEAR VIEW DROP SINGLE ENDED</t>
  </si>
  <si>
    <t>FDPCORCLRCRVOPT75</t>
  </si>
  <si>
    <t>FLEX DROP 75'</t>
  </si>
  <si>
    <t>FDPCORCLRCRVOPT600</t>
  </si>
  <si>
    <t>FLEX DROP 600'</t>
  </si>
  <si>
    <t>AERIAL MULTI PORT</t>
  </si>
  <si>
    <t>HDWWRSTRND14GRN</t>
  </si>
  <si>
    <t>WIRE #14 STRANDED TRACER GREEN</t>
  </si>
  <si>
    <t>FIJSCA</t>
  </si>
  <si>
    <t>FIBER PIGTAIL 12 FIBER SCAPC RBD9-SA3M</t>
  </si>
  <si>
    <t>HDWAHD28PT</t>
  </si>
  <si>
    <t>AERIAL MOUNTING BRACKET 2-8 PT MOB-KT-AHD 2-8 PORTS</t>
  </si>
  <si>
    <t>HDWAHD12PT</t>
  </si>
  <si>
    <t>AERIAL MOUNTING BRACKET 12 PT MOB-KT-AHD-12 PORTS</t>
  </si>
  <si>
    <t>SPLMLTERMBOX</t>
  </si>
  <si>
    <t>MULTILINK TERM BOX 12"X20"X8" RNB-12208-1SL-C-PG-Y-S</t>
  </si>
  <si>
    <t>STRSTRAND516EHS</t>
  </si>
  <si>
    <t>STRAND 5/16 EHSD</t>
  </si>
  <si>
    <t>STRSTRAND14EHS</t>
  </si>
  <si>
    <t>STRAND 1/4" EHS (6.6M)</t>
  </si>
  <si>
    <t>STRSTRAND16M</t>
  </si>
  <si>
    <t>STRAND 16M  7/16UTL</t>
  </si>
  <si>
    <t>HDWSIDEFITPX34A</t>
  </si>
  <si>
    <t>POLE PLATE SIDEWALK GUY PJ1501</t>
  </si>
  <si>
    <t>HDWGGRDYLW7</t>
  </si>
  <si>
    <t>GUY GUARD YELLOW PVC X 7'0 G5517</t>
  </si>
  <si>
    <t>HDWLUMOAERCBLTAG</t>
  </si>
  <si>
    <t>LUMOS AERIAL CABLE WRAP TAG</t>
  </si>
  <si>
    <t>SPLTIITERM24PTSCCON</t>
  </si>
  <si>
    <t>TII 24 PORT SC-UPC TERMINAL PANEL PN FET3G-24RSCN00</t>
  </si>
  <si>
    <t>SPLSCAPCSMFCON</t>
  </si>
  <si>
    <t>CONNECTOR SCAPC SPLICE ON F/ 250UM &amp; 900UM 4PK</t>
  </si>
  <si>
    <t>SPLTII48FGRFET4G</t>
  </si>
  <si>
    <t>TII 48 PORT OUTDOOR ENCLOSURE</t>
  </si>
  <si>
    <t>TOTAL - O.FBR.AERL</t>
  </si>
  <si>
    <t>PROVISIONING - O.FBR.AERL</t>
  </si>
  <si>
    <t>&lt;----Click the + to Expand or Collapse the "AERIAL FIBER ASSET MATERIAL" Section</t>
  </si>
  <si>
    <t>UNDERGROUND ASSET MATERIAL</t>
  </si>
  <si>
    <t>O.FBR.UNDG</t>
  </si>
  <si>
    <t>UNDERGROUND CABLE ASSET MATERIAL</t>
  </si>
  <si>
    <t>PEDCAD6</t>
  </si>
  <si>
    <t>PEDESTAL CAD-6</t>
  </si>
  <si>
    <t>PEDCAD8</t>
  </si>
  <si>
    <t>PEDESTAL CAD-8</t>
  </si>
  <si>
    <t>PEDOFPOBD7</t>
  </si>
  <si>
    <t>PEDESTAL OPFO-BD7</t>
  </si>
  <si>
    <t>PEDUP1248</t>
  </si>
  <si>
    <t>PEDESTAL UP1248</t>
  </si>
  <si>
    <t>HDWPOSTPDSTL42</t>
  </si>
  <si>
    <t>POST PEDESTAL 42" S1342</t>
  </si>
  <si>
    <t>PEDFTTHPRFRM10</t>
  </si>
  <si>
    <t>PEDESTAL- FTTH- PRO10FSNGURB 10" PROFORM - EMERSON *INSIDE THE LEC ONLY*</t>
  </si>
  <si>
    <t>UNDERGROUND CLEAR VIEW DROP SINGLE ENDED</t>
  </si>
  <si>
    <t>Flex drop 75'</t>
  </si>
  <si>
    <t>UNDERGROUND MULTI PORT</t>
  </si>
  <si>
    <t>SPLTIIDEMARC24PTSCAPCADPT</t>
  </si>
  <si>
    <t>TII 24 PORT SC-APC TERMINAL PANEL PN FET3G-24RSCN00</t>
  </si>
  <si>
    <t>SUB-TOTAL - O.FBR.UNDG</t>
  </si>
  <si>
    <t>PROVISIONING - FIBER UNDERGROUND</t>
  </si>
  <si>
    <t>TOTAL - O.FBR.UNDG</t>
  </si>
  <si>
    <t>&lt;----Click the + to Expand or Collapse the "UNDERGROUND ASSET MATERIAL" Section</t>
  </si>
  <si>
    <t>BURIED FIBER ASSET MATERIAL</t>
  </si>
  <si>
    <t>O.FBR.BURD</t>
  </si>
  <si>
    <t>BURIED CABLE ASSET MATERIAL</t>
  </si>
  <si>
    <t>BURIED CLEAR VIEW DROP SINGLE ENDED</t>
  </si>
  <si>
    <t>BURIED MULTI PORT</t>
  </si>
  <si>
    <t>TOTAL - O.FBR.BURD</t>
  </si>
  <si>
    <t>PROVISIONING - BURIED FIBER</t>
  </si>
  <si>
    <t>&lt;----Click the + to Expand or Collapse the "BURIED FIBER ASSET MATERIAL" Section</t>
  </si>
  <si>
    <t>CONDUIT ASSET MATERIAL</t>
  </si>
  <si>
    <t>O.CONDUIT</t>
  </si>
  <si>
    <t>INDGEN125</t>
  </si>
  <si>
    <t>INNERDUCT 1.25" ARNCO SDR 13.5</t>
  </si>
  <si>
    <t>INDGEN34</t>
  </si>
  <si>
    <r>
      <t xml:space="preserve">3/4" /SDR-13.5 /Regular /Straight Ribs; </t>
    </r>
    <r>
      <rPr>
        <b/>
        <sz val="10"/>
        <rFont val="Calibri"/>
        <family val="2"/>
        <scheme val="minor"/>
      </rPr>
      <t>Not stocked/standard item, lead time may be needed</t>
    </r>
  </si>
  <si>
    <t>IND1SUB</t>
  </si>
  <si>
    <r>
      <t xml:space="preserve">1" /SDR-13.5 /Regular /Straight Ribs /Orange /Orange /Silico; </t>
    </r>
    <r>
      <rPr>
        <b/>
        <sz val="10"/>
        <rFont val="Calibri"/>
        <family val="2"/>
        <scheme val="minor"/>
      </rPr>
      <t>Not stocked/standard item, lead time may be needed</t>
    </r>
  </si>
  <si>
    <t>INDGEN15</t>
  </si>
  <si>
    <r>
      <t xml:space="preserve">INNERDUCT-1.5" SDR 13.5 SMOOTH; </t>
    </r>
    <r>
      <rPr>
        <b/>
        <sz val="10"/>
        <rFont val="Calibri"/>
        <family val="2"/>
        <scheme val="minor"/>
      </rPr>
      <t>Not stocked/standard item, lead time may be needed</t>
    </r>
  </si>
  <si>
    <t>INDGEN2</t>
  </si>
  <si>
    <t>INNERDUCT-2" SDR 13.5 SMOOTH (ROLL PIPE)</t>
  </si>
  <si>
    <t>INDSMOOTH4</t>
  </si>
  <si>
    <r>
      <t xml:space="preserve">INNERDUCT-4" SDR 13.5 SMOOTH (ROLL PIPE) </t>
    </r>
    <r>
      <rPr>
        <b/>
        <sz val="10"/>
        <rFont val="Calibri"/>
        <family val="2"/>
        <scheme val="minor"/>
      </rPr>
      <t>Not stocked/standard item, lead time may be needed</t>
    </r>
  </si>
  <si>
    <t>INDGEN4SDR11</t>
  </si>
  <si>
    <t>IND125ORGBLUGREN</t>
  </si>
  <si>
    <r>
      <t xml:space="preserve">3 COLOR INNERDUCT; </t>
    </r>
    <r>
      <rPr>
        <b/>
        <sz val="10"/>
        <rFont val="Calibri"/>
        <family val="2"/>
        <scheme val="minor"/>
      </rPr>
      <t>Not stocked/standard item, lead time may be needed</t>
    </r>
  </si>
  <si>
    <t>INDGENMICRO85</t>
  </si>
  <si>
    <t>MicroDuct /8.5 mm OD/6 mm ID /Listed/Straight Ribs/ Natural /Natural /Durathane (Riser) Silicore /Empty /Ink Jet /Listed Print /Wood /WRLD 24x18x12 /2,500 PN 10013574</t>
  </si>
  <si>
    <t>INDMAXCELL2</t>
  </si>
  <si>
    <r>
      <t xml:space="preserve">INNERDUCT MAXCELL 2" 3 CELL MXC2003YLXXXX - NON-DETECTABLE; </t>
    </r>
    <r>
      <rPr>
        <b/>
        <sz val="10"/>
        <rFont val="Calibri"/>
        <family val="2"/>
        <scheme val="minor"/>
      </rPr>
      <t>Not stocked/standard item, lead time may be needed</t>
    </r>
  </si>
  <si>
    <t>CND4INPVC</t>
  </si>
  <si>
    <t>CONDUIT 4" PVC SCHEDULE 40 CPV400 ***Order in 10' Lengths***</t>
  </si>
  <si>
    <t>SPLROUTEMARKER</t>
  </si>
  <si>
    <t>FIBER ROUTE MARKER SIGN</t>
  </si>
  <si>
    <t>HDWLACBALL3M</t>
  </si>
  <si>
    <t>PBXGENDRPBX</t>
  </si>
  <si>
    <t>PBXGEN13X24X18</t>
  </si>
  <si>
    <t>PBXGEN17X30X24</t>
  </si>
  <si>
    <t>PBXGEN17X30X24GRN</t>
  </si>
  <si>
    <t>PBXGEN24X36X24</t>
  </si>
  <si>
    <t>PBXGEN30X48X24</t>
  </si>
  <si>
    <t xml:space="preserve">HDWCHASWGBRKT </t>
  </si>
  <si>
    <t>SWING ARM KIT FOR PULL BOXES, Fiber Tap Butterfly Plate Kit w/Swing Bracket PN BR00453K</t>
  </si>
  <si>
    <t>CNDSWP4IN3690</t>
  </si>
  <si>
    <t>CONDUIT SWEEPS 4" PVC 36" 90*R PN UA9FNB</t>
  </si>
  <si>
    <t>TOTAL - O.CONDUIT</t>
  </si>
  <si>
    <t>PROVISIONING - CONDUIT MATERIAL</t>
  </si>
  <si>
    <t>&lt;----Click the + to Expand or Collapse the "CONDUIT ASSET MATERIAL" Section</t>
  </si>
  <si>
    <t>AERIAL SPLICING MATERIAL</t>
  </si>
  <si>
    <t>SPLLGSTR216TRY</t>
  </si>
  <si>
    <t>LGSTR216 TRAY LITGRIP RIBBON LONG</t>
  </si>
  <si>
    <t>SPLHEATSHRINK60MM</t>
  </si>
  <si>
    <t>SPLHEATSHRINK42MRIBBON</t>
  </si>
  <si>
    <t xml:space="preserve">42MM HEAT SHRINK FOR RIBBON FIBER </t>
  </si>
  <si>
    <t>SPLTRAY80805110CYT</t>
  </si>
  <si>
    <t>SPLICE TRAY 80805110 COYOTE - OLD CLOSURES</t>
  </si>
  <si>
    <t>SPLCLSRCYT40</t>
  </si>
  <si>
    <t>CLOSURE COYOTE 6" 8006540</t>
  </si>
  <si>
    <t>SPLCOMFOSC450B6CASE</t>
  </si>
  <si>
    <t>TYCO B CASE ONLY FOSC450-B6-6-NT-0-B3V 058514-000</t>
  </si>
  <si>
    <t>SPLCOMFOSC12RIBTRY</t>
  </si>
  <si>
    <t>TYCO A/B SPLICETRAY ONLY FOSC ACC-A/B-TRAY-12-RBN 709972-000</t>
  </si>
  <si>
    <t>SPLCOMFOSC450D6CASE</t>
  </si>
  <si>
    <t>TYCO D CASE ONLY FOSC450-D6-6-NT-0-D3V c32954-000</t>
  </si>
  <si>
    <t>SPLCOMFOSCRIBTRAYKIT</t>
  </si>
  <si>
    <t xml:space="preserve"> TYCO D SPLICE TRAY ONLY FOSC ACC-5-TRAY-RIBN-24 061064-000</t>
  </si>
  <si>
    <t>SPLCRNUCA4046CLOS</t>
  </si>
  <si>
    <t xml:space="preserve">CORNING RDF MULTIPORT CLOSURE </t>
  </si>
  <si>
    <t>SPLGROM8003989</t>
  </si>
  <si>
    <t>GROMMET 4 HOLE FLAT DROP ONLY</t>
  </si>
  <si>
    <t>SPLGROM8003796</t>
  </si>
  <si>
    <t>GROMMET 12 HOLE FLAT DROP ONLY</t>
  </si>
  <si>
    <t>SPLPANCONLDCSCAPC</t>
  </si>
  <si>
    <t>PANEL CONN LDC-CP1P-6C SCAPC CORNING</t>
  </si>
  <si>
    <t>SPLFIBRCLOSSLIC530</t>
  </si>
  <si>
    <t>CLOSURE FIBERE SLIC 530 4 PORT SLFT-530-D-1-04-1</t>
  </si>
  <si>
    <t xml:space="preserve">SUB-TOTAL - O.FBR.AERL - SPLICING </t>
  </si>
  <si>
    <t>TOTAL - O.FBR.AERL - SPLICING (LUMOS MATERIAL)</t>
  </si>
  <si>
    <t>&lt;----Click the + to Expand or Collapse the "AERIAL SPLICING MATERIAL" Section</t>
  </si>
  <si>
    <t>BURIED SPLICING MATERIAL</t>
  </si>
  <si>
    <t xml:space="preserve"> TYCO D SPLICE TRAY ONLY FOSC ACC-D-TRAY-RIBN-24 061064-000</t>
  </si>
  <si>
    <t>MISC</t>
  </si>
  <si>
    <t>SPLCHNG5NPRI</t>
  </si>
  <si>
    <t>SPLCHNG5NSEC</t>
  </si>
  <si>
    <t>SUB-TOTAL - O.FBR.BURD - SPLICING (LUMOS MATERIAL)</t>
  </si>
  <si>
    <t>PROVISIONING - SPLICING (LUMOS MATERIAL)</t>
  </si>
  <si>
    <t>TOTAL - O.FBR.BURD - SPLICING (LUMOS MATERIAL)</t>
  </si>
  <si>
    <t>&lt;----Click the + to Expand or Collapse the "BURIED SPLICING MATERIAL" Section</t>
  </si>
  <si>
    <t>LCP / EQUIPMENT</t>
  </si>
  <si>
    <t>S.D.EQ</t>
  </si>
  <si>
    <t>MISC FTTH LCP PARTS</t>
  </si>
  <si>
    <t>SPLFANOUTASEMSCAPCORB</t>
  </si>
  <si>
    <t>FANOUT ASSEMBLY SC/APC ORBITAL 300543022</t>
  </si>
  <si>
    <t>SPLFANOUT6</t>
  </si>
  <si>
    <t>FANOUT ASMBLY SC/APC ORBITAL6' COMCODE 301015673</t>
  </si>
  <si>
    <t>SPLCOUPMOD1X32ORB</t>
  </si>
  <si>
    <t>OFS ORBITAL SPLITTER</t>
  </si>
  <si>
    <t>SPLFDHCPLRMOD</t>
  </si>
  <si>
    <t>OPTITECT FDH COUPLER MODULE   ( GEN 1)</t>
  </si>
  <si>
    <t>SPLTFLST72</t>
  </si>
  <si>
    <t>TERMINAL FIBER LST1U-072/7 105 335 871</t>
  </si>
  <si>
    <t>SPLFIBRTERM288</t>
  </si>
  <si>
    <t>TERMINAL FIBER 288 SCAPC ADC LSX-LL-1242-A-SPL</t>
  </si>
  <si>
    <t>SPL12PIGTAIL</t>
  </si>
  <si>
    <t>FIBER PIGTAIL 12 FIBER SC/UPC ***use inventory until exhausted***</t>
  </si>
  <si>
    <t>SPLTFLST144</t>
  </si>
  <si>
    <t>TERMINAL FIBER LST1U-144/9 107 535 569</t>
  </si>
  <si>
    <t>ONT EQUIPMENT</t>
  </si>
  <si>
    <t>ONTADTTA372</t>
  </si>
  <si>
    <t>ADTRAN BUSINESS ONT</t>
  </si>
  <si>
    <t>ONTADT1GMICRO</t>
  </si>
  <si>
    <t>MICRO ONT (RESIDENTIAL), ADTRANN TA411 1G + POTS MICRO ONT PN 1287787F1</t>
  </si>
  <si>
    <t>SUB-TOTAL -  EQUIPMENT  (LUMOS MATERIAL)</t>
  </si>
  <si>
    <t>PROVISIONING -EQUIPMENT  (LUMOS MATERIAL)</t>
  </si>
  <si>
    <t>TOTAL -  EQUIPMENT  (LUMOS MATERIAL)</t>
  </si>
  <si>
    <t>&lt;----Click the + to Expand or Collapse the "LCP / EQUIPMENT" Section</t>
  </si>
  <si>
    <t>Sheet Total</t>
  </si>
  <si>
    <t>-</t>
  </si>
  <si>
    <t>Solid Rock Adder</t>
  </si>
  <si>
    <t>UNIT</t>
  </si>
  <si>
    <t>UNIT DESCRIPTION</t>
  </si>
  <si>
    <t>UNIT COST</t>
  </si>
  <si>
    <t>ENGINEERING</t>
  </si>
  <si>
    <t>PROJECT PLANNING / DESIGN - COMPANY LABOR</t>
  </si>
  <si>
    <t>PROJECT PLANNING / DESIGN - CONTRACT LABOR</t>
  </si>
  <si>
    <t>CONTRACTOR MINIMUM AERIAL/BURIED/UNDERGROUND CHARGE</t>
  </si>
  <si>
    <t>CONTRACTOR - FLAT RATE - AERIAL - PER LINEAR FOOT 0-1 MILE</t>
  </si>
  <si>
    <t>CONTRACTOR - FLAT RATE - AERIAL - PER LINEAR FOOT 1-2 MILE</t>
  </si>
  <si>
    <t>CONTRACTOR - FLAT RATE - AERIAL - PER LINEAR FOOT 2-5 MILE</t>
  </si>
  <si>
    <t>CONTRACTOR - FLAT RATE - BURIED/UNDERGROUND - PER LINEAR FOOT 0-1 MILE</t>
  </si>
  <si>
    <t>CONTRACTOR - FLAT RATE - BURIED/UNDERGROUND - PER LINEAR FOOT 1-2 MILE</t>
  </si>
  <si>
    <t>CONTRACTOR - FLAT RATE - BURIED/UNDERGROUND - PER LINEAR FOOT 2-5 MILE</t>
  </si>
  <si>
    <t>CONTRACTOR - DESIGN OVER 5 MILES - PER BID</t>
  </si>
  <si>
    <t>CONTRACTOR - MAJOR REDESIGN COST - PER FOOT</t>
  </si>
  <si>
    <t>CONTRACTOR - PE STAMP - PLUS 15% OF COST</t>
  </si>
  <si>
    <t>CONTRACTOR - OSP OFFICE ESTIMATE</t>
  </si>
  <si>
    <t>CONTRACTOR - OSP DETAILED FIELD ESTIMATE</t>
  </si>
  <si>
    <t>CONTRACTOR - CAP RING - SHORT HAUL - LONG HAUL - FIELD ESTIMATE</t>
  </si>
  <si>
    <t>CONTRACTOR - PROJECT MANAGEMENT</t>
  </si>
  <si>
    <t>CONTRACTOR - OSP ENGINEER</t>
  </si>
  <si>
    <t>CONTRACTOR - ASSOCIATE ENGINEER</t>
  </si>
  <si>
    <t>CONTRACTOR - ENGINEER ASSISTANT</t>
  </si>
  <si>
    <t>CONTRACTOR - ENGINEERING ADMIN</t>
  </si>
  <si>
    <t>CONTRACTOR - ENGINEERING ADMIN ASSISTANT</t>
  </si>
  <si>
    <t>LUMOS LABOR - JOB COORDINATION - PROJECT MANAGEMENT</t>
  </si>
  <si>
    <t>&lt;----Click the + to Expand or Collapse the "ENGINEERING" Section</t>
  </si>
  <si>
    <t>DRAFTING</t>
  </si>
  <si>
    <t>CONTRACTOR - CAD INPUT / MAPPING (M4)</t>
  </si>
  <si>
    <t>COMPANY LABOR - CAD INPUT/ MAPPING (M4)</t>
  </si>
  <si>
    <t>CONTRACTOR - M4 - POSTING TIME</t>
  </si>
  <si>
    <t>&lt;----Click the + to Expand or Collapse the "DRAFTING" Section</t>
  </si>
  <si>
    <t>PERMITTING</t>
  </si>
  <si>
    <t>EASEMENTS / ACQUISITION - COMPANY LABOR</t>
  </si>
  <si>
    <t>EASEMENTS / ACQUISITION - CONTRACT LABOR</t>
  </si>
  <si>
    <t>CONTRACTOR - NEGOTIATION OF EASEMENT BEYOND FIRST ATTEMPT</t>
  </si>
  <si>
    <t>CONTRACTOR - NEGOTIATION OF BUILDING LICENSE AGREEMENTS</t>
  </si>
  <si>
    <t>EASEMENT FEES</t>
  </si>
  <si>
    <t>PERMITS / AUTHORIZATION - COMPANY LABOR</t>
  </si>
  <si>
    <t>PERMITS / AUTHORIZATION - CONTRACT LABOR</t>
  </si>
  <si>
    <t>ADMINISTRATION PERMITING TIME - COMPANY LABOR</t>
  </si>
  <si>
    <t>ADMINISTRATION PERMITING TIME - CONTRACT LABOR</t>
  </si>
  <si>
    <t>CONTRACTOR - SPECIALIZED PERMITS</t>
  </si>
  <si>
    <t>PERMIT FEES - DOT</t>
  </si>
  <si>
    <t>PERMIT FEES - MUNICIPAL</t>
  </si>
  <si>
    <t>PERMIT FEES - RR</t>
  </si>
  <si>
    <t>PERMIT FEES - POLE</t>
  </si>
  <si>
    <t>PERMIT FEES - CONDUIT</t>
  </si>
  <si>
    <t>PERMIT FEES - OTHER</t>
  </si>
  <si>
    <t>PERMIT FEES - TRAFFIC CONTROL (ENGINEERING DESIGN)</t>
  </si>
  <si>
    <t>&lt;----Click the + to Expand or Collapse the "PERMITTING" Section</t>
  </si>
  <si>
    <t>PLACE POLE - 30 TO 35 FT.</t>
  </si>
  <si>
    <t>PLACE POLE 40 TO 45 FT</t>
  </si>
  <si>
    <t>PLACE POLE - 50 TO 55 FT.</t>
  </si>
  <si>
    <t>PLACE POLE 60 AND ABOVE FT</t>
  </si>
  <si>
    <t>PLACE STUB POLE</t>
  </si>
  <si>
    <t>REMOVE POLE 20 TO 35 FT.</t>
  </si>
  <si>
    <t>REMOVE POLE 40 TO 45 FT.</t>
  </si>
  <si>
    <t>REMOVE POLE 50 TO 55 FT.</t>
  </si>
  <si>
    <t>REMOVE POLE 60 AND ABOVE FT</t>
  </si>
  <si>
    <t>REMOVE STUB POLE</t>
  </si>
  <si>
    <t>ADDITIONAL CHARGE POLE SET IN POWER</t>
  </si>
  <si>
    <t>HAND SET POLE</t>
  </si>
  <si>
    <t xml:space="preserve">RESTORE PAVEMENT AT POLE PLACE </t>
  </si>
  <si>
    <t>REPLACE PAVEMENT AT POLE REMOVAL</t>
  </si>
  <si>
    <t>STENCIL POLE/PED</t>
  </si>
  <si>
    <t>REMOVE POLE STENCIL</t>
  </si>
  <si>
    <t>Place 8" Helix Anchor</t>
  </si>
  <si>
    <t>Place 10" Helix Anchor</t>
  </si>
  <si>
    <t>Place 12" Helix Anchor (Standard Anchor Size)</t>
  </si>
  <si>
    <t>Place Screw Anchor</t>
  </si>
  <si>
    <t>Place Exp. 3/4" x 7' Rod (Rarely Used)</t>
  </si>
  <si>
    <t>Place Exp. 3/4" x 9' Rod (Rarely Used)</t>
  </si>
  <si>
    <t>Place Exp. 1" x 10' Rod (Rarely Used)</t>
  </si>
  <si>
    <t>Place Exp. 1 1/4" x 10' Rod (Rarely Used)</t>
  </si>
  <si>
    <t>Place Aux. Eye / Anchor Rod (Rarely Used)</t>
  </si>
  <si>
    <t>Remove Aux. Eye / Anchor Rod</t>
  </si>
  <si>
    <t>Place Rock Anchor</t>
  </si>
  <si>
    <t>Remove Rock Anchor</t>
  </si>
  <si>
    <t>Remove Anchor Rod</t>
  </si>
  <si>
    <t>Remove Helix Anc. 4" , 6" , 8"</t>
  </si>
  <si>
    <t>Rock Removal Pole / Anchor Hole (Adder for 100-120 &amp; 175-200)</t>
  </si>
  <si>
    <t>Hand Dig Pole/Anchor</t>
  </si>
  <si>
    <t>Hand Set Pole/Push Brace</t>
  </si>
  <si>
    <t>Set Push Brace</t>
  </si>
  <si>
    <t>Place 6M Down Guy (Guy Shield included)</t>
  </si>
  <si>
    <t>Place 10M Down Guy (Guy Shield included)</t>
  </si>
  <si>
    <t>Place 16M Down Guy (Guy Shield included)</t>
  </si>
  <si>
    <t>Place 26M Down Guy (Guy Shield included)</t>
  </si>
  <si>
    <t>Place 6M Span Guy</t>
  </si>
  <si>
    <t>Place 10M Span Guy</t>
  </si>
  <si>
    <t>Place 16M Span Guy</t>
  </si>
  <si>
    <t>Place Sidewalk Guy</t>
  </si>
  <si>
    <t>Remove Down Guy</t>
  </si>
  <si>
    <t>Remove Span Guy</t>
  </si>
  <si>
    <t>Remove Sidewalk Guy Attachment</t>
  </si>
  <si>
    <t>Transfer Down Guy</t>
  </si>
  <si>
    <t>Transfer Span Guy</t>
  </si>
  <si>
    <t>Transfer Sidewalk Guy Attachment</t>
  </si>
  <si>
    <t>Place Guy Shield</t>
  </si>
  <si>
    <t>Remove Guy Shield</t>
  </si>
  <si>
    <t>Transfer Guy Shield</t>
  </si>
  <si>
    <t>Place Extension Arm For Cable</t>
  </si>
  <si>
    <t>Place Vertical Ground (including 1 Ground Rod and 1 Strand Bond)</t>
  </si>
  <si>
    <t>Place Aerial Ground (per Strand Bond)</t>
  </si>
  <si>
    <t>Place Cable Attachment (Wood Pole)</t>
  </si>
  <si>
    <t>Remove Cable Attachment (Wood Pole)</t>
  </si>
  <si>
    <t>Transfer Cable Attachment (Wood Pole)</t>
  </si>
  <si>
    <t>Transfer Repeater/Doubler (Wood Pole)</t>
  </si>
  <si>
    <t>Place Cable Attachment (Metal/Conc. Pole)</t>
  </si>
  <si>
    <t>Remove Cable Attachment (Metal/Conc. Pole)</t>
  </si>
  <si>
    <t>Transfer Cable Attachment (Metal/Conc. Pole)</t>
  </si>
  <si>
    <t>Transfer Cable Attach. D.E.</t>
  </si>
  <si>
    <t>Transfer Cable Attach. Double D.E.</t>
  </si>
  <si>
    <t>Place Cable "U" Guard</t>
  </si>
  <si>
    <t>Remove Cable "U" Guard</t>
  </si>
  <si>
    <t>Transfer Cable "U" Guard</t>
  </si>
  <si>
    <t>Place Strand (6M) (Includes Cable Attachment Wood Pole)</t>
  </si>
  <si>
    <t>Place Strand (10M) (Includes Cable Attachment Wood Pole)</t>
  </si>
  <si>
    <t>Place Strand (16M) (Includes Cable Attachment Wood Pole)</t>
  </si>
  <si>
    <t>Place Strand (26M) (Includes Cable Attachment Wood Pole)</t>
  </si>
  <si>
    <t>New Strand Cut to Existing</t>
  </si>
  <si>
    <t>Remove Strand (6M)</t>
  </si>
  <si>
    <t>Remove Strand (10M)</t>
  </si>
  <si>
    <t>Remove Strand (16M)</t>
  </si>
  <si>
    <t>Remove Strand (26M)</t>
  </si>
  <si>
    <t>Straighten Pole</t>
  </si>
  <si>
    <t>Right - Of - Way Clearing                                                                                  HOURLY</t>
  </si>
  <si>
    <t>Cut/trim trees w/ Bucket Truck                                                                     HOURLY</t>
  </si>
  <si>
    <t>Cut/trim trees w/ Bucket Truck &amp; Chipper                                                 HOURLY</t>
  </si>
  <si>
    <t>Remove large trees 8" or larger at per tree basis                                    HOURLY</t>
  </si>
  <si>
    <t>PLACE POLE - 25 TO 40 FT.</t>
  </si>
  <si>
    <t>PLACE POLE - 45 TO 55 FT.</t>
  </si>
  <si>
    <t>PLACE POLE - &gt; 55 FT</t>
  </si>
  <si>
    <t>REMOVE POLE 30 TO 40 FT.</t>
  </si>
  <si>
    <t>REMOVE POLE 45 TO 55 FT.</t>
  </si>
  <si>
    <t>PLACE STRAND (PRE-APPROVED)</t>
  </si>
  <si>
    <t>ROCK REMOVAL POLE   CU FT PRICE</t>
  </si>
  <si>
    <t>HAND DIG POLE</t>
  </si>
  <si>
    <t>PLACE ANCHOR AND GUYS</t>
  </si>
  <si>
    <t>RE-SAG LINE   (PER SPAN) 6 ATTACHMENTS SPANS BOTH DIRECTIONS</t>
  </si>
  <si>
    <t xml:space="preserve">Hand Set Push Brace </t>
  </si>
  <si>
    <t>Place Aerial Cable (4 to 30 Fiber) (Cable Handling and Figure Eighting included)</t>
  </si>
  <si>
    <t>Place Aerial RDF or ADSS  (6-24 Fiber) (Includes Cable Attachment to Wood Pole)</t>
  </si>
  <si>
    <t>Place Aerial Cable (36 to 72 Fiber) (Cable Handling and Figure eighting included)</t>
  </si>
  <si>
    <t>Place Aerial Cable (96 to 288 Fiber) (Cable Handling and Figure eighting included)</t>
  </si>
  <si>
    <t>O.CBL.AERL</t>
  </si>
  <si>
    <t>Place Aerial Cable (12 to 200 Copper)</t>
  </si>
  <si>
    <t>Place Aerial RDW (6 to 12 Copper) (Includes Cable Attachment to Wood Pole)</t>
  </si>
  <si>
    <t>Place Aerial Cable (300 to 600)</t>
  </si>
  <si>
    <t>Place Aerial Cable (900 to 1200)</t>
  </si>
  <si>
    <t>Place Aerial Cable (1300 to 1800)</t>
  </si>
  <si>
    <t>De-lash/Re-lash Fiber/Copper Facility (Combined Unit)</t>
  </si>
  <si>
    <t>Remove Aerial Cable - All Fiber (Junk)</t>
  </si>
  <si>
    <t>Remove Aerial Cable - 12 to 600 Copper (Junk)</t>
  </si>
  <si>
    <t>Remove Aerial Cable 900 to 1800 (Junk)</t>
  </si>
  <si>
    <t>Remove Aerial Cable - All Fiber (Salvage)</t>
  </si>
  <si>
    <t>Place Aerial Ca. to Ex. Ca. or Strand (Overlash All Cable Sizes)</t>
  </si>
  <si>
    <t>Place Crossover Clamp</t>
  </si>
  <si>
    <t>Lower Cable Attachment</t>
  </si>
  <si>
    <t>Raise Cable Attachment</t>
  </si>
  <si>
    <t>Resag span</t>
  </si>
  <si>
    <t>Change A-Bolt to B-Bolt</t>
  </si>
  <si>
    <t>Place Bolt Extension</t>
  </si>
  <si>
    <t>Place "B" Support Bracket</t>
  </si>
  <si>
    <r>
      <rPr>
        <b/>
        <sz val="9"/>
        <rFont val="Calibri"/>
        <family val="2"/>
        <scheme val="minor"/>
      </rPr>
      <t>PLACE AERIAL FIBER</t>
    </r>
    <r>
      <rPr>
        <sz val="9"/>
        <rFont val="Calibri"/>
        <family val="2"/>
        <scheme val="minor"/>
      </rPr>
      <t xml:space="preserve"> PER S&amp;N CONTRACT - NEW CONSTRUCTION    </t>
    </r>
  </si>
  <si>
    <t>Place ADSS Fiber 24 count TTH or Equivalent</t>
  </si>
  <si>
    <t>Place ADSS fiber 48 count</t>
  </si>
  <si>
    <t>Place ADSS fiber &gt; 48 count</t>
  </si>
  <si>
    <t>POLE TRANSFER OF ATTACHMENTS</t>
  </si>
  <si>
    <t>PLACE AERIAL FIBER PER S&amp;N CONTRACT  - OVERLASH                                                                   ( can be used for (1) copper cable up to 200pr)</t>
  </si>
  <si>
    <t>ROW Clearing   (per linear ft)</t>
  </si>
  <si>
    <t>Place ADSS Fiber 96 &amp; 144 count (composit rate)</t>
  </si>
  <si>
    <t>Place ADSS Fiber 288 &amp; above (composit rate)</t>
  </si>
  <si>
    <t>Wreck out fiber (junk)</t>
  </si>
  <si>
    <t>Wreck out Fiber (salveage)</t>
  </si>
  <si>
    <t>Delash / Relash fiber</t>
  </si>
  <si>
    <r>
      <rPr>
        <b/>
        <sz val="9"/>
        <rFont val="Calibri"/>
        <family val="2"/>
        <scheme val="minor"/>
      </rPr>
      <t>NEW Aerial Composit (FTTP)</t>
    </r>
    <r>
      <rPr>
        <sz val="9"/>
        <rFont val="Calibri"/>
        <family val="2"/>
        <scheme val="minor"/>
      </rPr>
      <t xml:space="preserve">          </t>
    </r>
  </si>
  <si>
    <r>
      <rPr>
        <b/>
        <sz val="9"/>
        <rFont val="Calibri"/>
        <family val="2"/>
        <scheme val="minor"/>
      </rPr>
      <t>OVER LASH on Existing strand/cable Composit (FTTP</t>
    </r>
    <r>
      <rPr>
        <sz val="9"/>
        <rFont val="Calibri"/>
        <family val="2"/>
        <scheme val="minor"/>
      </rPr>
      <t xml:space="preserve">)    </t>
    </r>
  </si>
  <si>
    <t>Place Anchor (stand alone unit when not in conjucntuon with 140 or 141)</t>
  </si>
  <si>
    <t>Place, Remove or Transfer Down Guy                                                                                     (stand alone unit when not in conjuction with 140 or 141)</t>
  </si>
  <si>
    <t>REMOVE STRAND OR RDW   (ALL SIZES)</t>
  </si>
  <si>
    <t>Overlash single Multiport only</t>
  </si>
  <si>
    <t>Overlash Additional Multiports (used with units 140 and 141)</t>
  </si>
  <si>
    <t>PLACE RDF WIRE  or selfsupporting multiport</t>
  </si>
  <si>
    <t>Place or Transfer Riser on Pole (unit 200 for hand-dig as required)</t>
  </si>
  <si>
    <t>Mount CORNING  Multiport to Strand or in Pedestal, all sizes</t>
  </si>
  <si>
    <t>Place LCP OR MDU BOX  Pole or Ground</t>
  </si>
  <si>
    <t xml:space="preserve">Wreckout cables (junk) per strand </t>
  </si>
  <si>
    <t>ROW Clearing  for cable placement (PATH) (Pre-Approved) (per linear ft)</t>
  </si>
  <si>
    <t>O.CBL.UNDG</t>
  </si>
  <si>
    <t>Remove Underground Cable - All Fiber (Junk)</t>
  </si>
  <si>
    <t>Remove Underground Cable - 12 to 600 (Junk)</t>
  </si>
  <si>
    <t>Remove Underground Cable - 900 to 1800 (Junk)</t>
  </si>
  <si>
    <t>Remove Underground Cable - 2100 to 3600 (Junk)</t>
  </si>
  <si>
    <t>Remove Underground Cable - 12 to 600 (Salvage)</t>
  </si>
  <si>
    <t>Remove Underground Cable - 900 to 1800 (Salvage)</t>
  </si>
  <si>
    <t>Place  1 Inner-Duct in Existing Conduit</t>
  </si>
  <si>
    <t>Place 2 Inner-Ducts in Existing Conduit</t>
  </si>
  <si>
    <t>Place Additional Inner-Ducts ( Same Operation ) ea.</t>
  </si>
  <si>
    <t>Pull Multiport or Drop in Conduit (Conduit length)</t>
  </si>
  <si>
    <t>Place Cable on Riser Pole</t>
  </si>
  <si>
    <t>Hand Dig and Place Cable in Existing Pedestal</t>
  </si>
  <si>
    <t>Place Pedestal (Any Size)</t>
  </si>
  <si>
    <t>Place Ground Rod</t>
  </si>
  <si>
    <t>Remove Pedestal (All Size)</t>
  </si>
  <si>
    <t>Rod &amp; Clean Conduit (Truck)</t>
  </si>
  <si>
    <t>Rod &amp; Clean Conduit (Manual)</t>
  </si>
  <si>
    <t>PULL FIBER IN EXISTING CONDUIT</t>
  </si>
  <si>
    <t>PULL ADDITIONAL FIBER IN EXISTING CONDUIT</t>
  </si>
  <si>
    <t>Remove Cable From Conduit</t>
  </si>
  <si>
    <t>Place Ground Wire</t>
  </si>
  <si>
    <t>Place Tracer Wire</t>
  </si>
  <si>
    <t>Pull Fiber in Conduit</t>
  </si>
  <si>
    <t>804A</t>
  </si>
  <si>
    <t>Pull Additional Fibers in Conduit ea.</t>
  </si>
  <si>
    <t>PULL FIBER IN CONDUIT (ADDITIONAL FIBER, NOT INCLUDED IN UNIT 200)</t>
  </si>
  <si>
    <t>Place Hand Hole when not in conjuction with unit 200 (Urban)</t>
  </si>
  <si>
    <t>Place Hand Hole when not in conjuction with unit 200 (Rural)</t>
  </si>
  <si>
    <t>Place 1 Inner-Duct in Existing Conduit</t>
  </si>
  <si>
    <t>PLACE 2 INNER-DUCTS IN EXISTING CONDUIT</t>
  </si>
  <si>
    <t>PLACE ADDITIONAL INNER-DUCTS ( SAME OPEARATION ) up to 2 ducts.</t>
  </si>
  <si>
    <t>Concrete Encase conduit  (Per ft)</t>
  </si>
  <si>
    <t>ROD &amp; CLEAN CONDUIT (TRUCK)</t>
  </si>
  <si>
    <t>ROD &amp; CLEAN CONDUIT (MANUAL)</t>
  </si>
  <si>
    <t>REMOVE UNDERGROUND CABLE from Conduit</t>
  </si>
  <si>
    <t>Building Entrance</t>
  </si>
  <si>
    <t>PLACE ADDITIONAL MULTIPORTS IN DUCT (AFTER FIRST CABLE)</t>
  </si>
  <si>
    <t>Trench 12" to 18" Depth (1st cable or empty conduit included)</t>
  </si>
  <si>
    <t>Trench 18" to 24" Depth (1st cable or empty conduit included)</t>
  </si>
  <si>
    <t>Trench 24" to 36"  Depth (1st cable or empty conduit included)</t>
  </si>
  <si>
    <t>Backhoe 24" to 36" Depth (1st cable or empty conduit included)</t>
  </si>
  <si>
    <t>Backhoe 42" to 60" Depth (1st cable of empty conduit included)</t>
  </si>
  <si>
    <t>Place Cond. in Trench (All Size PVC and 4" HDPE)</t>
  </si>
  <si>
    <t>Place Cond. In Trench (HDPE 1" to 2")</t>
  </si>
  <si>
    <t>Place Cond. in Trench (All Size Split)</t>
  </si>
  <si>
    <t>Place Cond. in Trench ( All size GIP)</t>
  </si>
  <si>
    <t>Concrete Encase Cond. (Exhibit I)</t>
  </si>
  <si>
    <t>Plow Drop, Cable 12-18" Depth</t>
  </si>
  <si>
    <t>Plow 3/4" Conduit 18" Depth</t>
  </si>
  <si>
    <t>Cut &amp; Remove Asphalt     SQ FT</t>
  </si>
  <si>
    <t>Lab./Mat.</t>
  </si>
  <si>
    <t>Replace Asphalt         SQ FT</t>
  </si>
  <si>
    <t>Non- Directional Bore 4" (40' Maximum Distance) (includes conduit placement in bore)</t>
  </si>
  <si>
    <t>Cut &amp; Remove Concrete          CU FT</t>
  </si>
  <si>
    <t>Replace Concrete Street (includes doweling, expansion joints and caulking if required)  SQ FT</t>
  </si>
  <si>
    <t>Replace Sidewalk                        BID</t>
  </si>
  <si>
    <t>LABOR /MAT.</t>
  </si>
  <si>
    <t>Replace Driveway Apron           BID</t>
  </si>
  <si>
    <t>LABOR/MAT.</t>
  </si>
  <si>
    <t xml:space="preserve">Place Hand Hole (30" X 48" X 24")  ( gravel included) </t>
  </si>
  <si>
    <t xml:space="preserve">Place Hand Hole (17" X 30") (gravel included) </t>
  </si>
  <si>
    <t>Place Hand Hole "Flower Pot"  (12" X 17")  (gravel included)</t>
  </si>
  <si>
    <t>Place Wall Mount Terminal / MP Box</t>
  </si>
  <si>
    <t>*Rock Removal*                       CU FT</t>
  </si>
  <si>
    <t>Place 21A Stone                  TON</t>
  </si>
  <si>
    <t xml:space="preserve">Place Splice Box </t>
  </si>
  <si>
    <t>Place Manhole (Pre-Cast Concrete)</t>
  </si>
  <si>
    <t>Build Manhole (Pour in Place)             BID</t>
  </si>
  <si>
    <t>BID</t>
  </si>
  <si>
    <t xml:space="preserve">Make Conduit Entrance in Manhole </t>
  </si>
  <si>
    <t>Place Rigid 4" Cond. in/on Bldg.</t>
  </si>
  <si>
    <t>Bldg. Entrance</t>
  </si>
  <si>
    <t>Cut over buried drop</t>
  </si>
  <si>
    <t>Hand trench buried fiber or copper drop</t>
  </si>
  <si>
    <t>Place nid ( buried drop )</t>
  </si>
  <si>
    <r>
      <rPr>
        <b/>
        <sz val="9"/>
        <rFont val="Calibri"/>
        <family val="2"/>
        <scheme val="minor"/>
      </rPr>
      <t>BURIED COMPOSITE (UP TO 2 - 1.5" CONDUITS)</t>
    </r>
    <r>
      <rPr>
        <sz val="9"/>
        <rFont val="Calibri"/>
        <family val="2"/>
        <scheme val="minor"/>
      </rPr>
      <t xml:space="preserve">                                                                                                                 Buried method for fiber  to include directional boring, including the placement of up to (2) 1.25"or 1.5" conduits, hand holes, pedestals, ground rods, gravel, fiber cable, tracer wire, traffic control, marker post, and pull string if required. Price does not include pulling of fiber in an existing conduit.  Note: This unit includes the restoration of concrete or asphalt potholes up to 36" x 36". Ant restoration requirments in addition to these parameters required by the Lumos representative or jurisdiction authorities will be approved as pass through of cost + 5%</t>
    </r>
  </si>
  <si>
    <t>PLACE ADDITIONAL DUCTS (SAME OPERATION) PER DUCT</t>
  </si>
  <si>
    <t>Open Cut in Asphalt / Concrete</t>
  </si>
  <si>
    <t>Special Handling of Fiber</t>
  </si>
  <si>
    <t>Open Trench or Plow</t>
  </si>
  <si>
    <t>Chunk / Semi Rock Adder must be pre-approved  (only for required footage)</t>
  </si>
  <si>
    <t>Hard / Solid Rock Adder must be pre-approved  (requires use of hammer or rock bit)</t>
  </si>
  <si>
    <t>PLACE 21A STONE  (Per Ton)</t>
  </si>
  <si>
    <t>LABEL NEW PED</t>
  </si>
  <si>
    <t>Place HH (12" x 17" Flower Pot) when not in conjuction with unit 200</t>
  </si>
  <si>
    <t>In Room Set-up @ Panel 1-48 Fibers</t>
  </si>
  <si>
    <t>In Room Set-up @ Panel 49 - ≥ Fibers</t>
  </si>
  <si>
    <t>Mount/Label FDP with Coupling Panels (Rack/Wall/WIC)</t>
  </si>
  <si>
    <t>Install Grounding Closure</t>
  </si>
  <si>
    <t>Install Fan Out Kit (6 Fiber)</t>
  </si>
  <si>
    <t>Install Fan Out Kit (12 Fiber)</t>
  </si>
  <si>
    <t>Install Unicam Connector (900um Cabling)</t>
  </si>
  <si>
    <t>Install Unicam Connector (2mm - 3mm Cabling)</t>
  </si>
  <si>
    <t>Hard Splice Termination</t>
  </si>
  <si>
    <t>Install Closure - One (1) Cable</t>
  </si>
  <si>
    <t>Install Closure  - Two (2) Cables</t>
  </si>
  <si>
    <t>Cut In Loop/Ring Cut (Closure Install Included)</t>
  </si>
  <si>
    <t>Add/Prep One (1) Additional Cable to Closure</t>
  </si>
  <si>
    <t>Remove One (1) Cable from Closure</t>
  </si>
  <si>
    <t>Install One (1) Multiport to Closure</t>
  </si>
  <si>
    <t>Remove One (1) Multiport from Closure</t>
  </si>
  <si>
    <t>Change Out Existing Closure (Non-Preform)</t>
  </si>
  <si>
    <t>Change Out Existing Closure (Preform: End Plate Setup Included)</t>
  </si>
  <si>
    <t>Replace/Re-Cut End Plate for Existing Preform Closure</t>
  </si>
  <si>
    <t>Minimum Trip Charge (one per job; adder when units are below this amount)</t>
  </si>
  <si>
    <t>Fusion Splice (Testing Included): 1 - 36 Fibers</t>
  </si>
  <si>
    <t>Fusion Splice (Testing Included): 37 - 96 Fibers</t>
  </si>
  <si>
    <t>Fusion Splice (Testing Included): 97 - ≥ Fibers</t>
  </si>
  <si>
    <t>FTTP Fusion Splice (Testing Included)</t>
  </si>
  <si>
    <t>Install Mechanical Splice</t>
  </si>
  <si>
    <t>Lower Aerial Cable/Closure/Loop from Strand (Bucket Truck)</t>
  </si>
  <si>
    <t>Raise Aerial Cable/Closure/Loop on Strand (Bucket Truck)</t>
  </si>
  <si>
    <t>OTDR: Per Trace (Hard-Copy Printout on Request)</t>
  </si>
  <si>
    <t>OTDR: Non-Fusion Event  (Hard-Copy Printout on Request)</t>
  </si>
  <si>
    <t>Test Reel Cable - Per Fiber (Hardcopy Printout upon Request)</t>
  </si>
  <si>
    <t>Return Trip Fee - CLEC (Per Incidence)</t>
  </si>
  <si>
    <t>Return Trip Fee - FTTP (Per Incidence)</t>
  </si>
  <si>
    <t>Manhole Set-Up</t>
  </si>
  <si>
    <t>Hourly Rate Per Fiber Splicer: Daily</t>
  </si>
  <si>
    <t>Hourly Rate Per Fiber Splicer: Premium (MOP Window)</t>
  </si>
  <si>
    <t>Emergency Call Out: Splicer with Truck/Tools</t>
  </si>
  <si>
    <t>Traffic Control Laborer</t>
  </si>
  <si>
    <t>Place Aerial Fiber SLIC Closure Accessible (Bucket Truck)</t>
  </si>
  <si>
    <t>Place Aerial Fiber SLIC Closure Non Accessible (Ladder)</t>
  </si>
  <si>
    <t>Place Fiber Closure (For RDF)</t>
  </si>
  <si>
    <t>AERIAL COPPER SPLICING LABOR</t>
  </si>
  <si>
    <t>MISC. COPPER SPLICING LABOR</t>
  </si>
  <si>
    <t>Place Simplex Jumper</t>
  </si>
  <si>
    <t>Place Duplex Jumper</t>
  </si>
  <si>
    <t>CLOSURE - 1 CABLE</t>
  </si>
  <si>
    <t>CLOSURE - 2 CABLE</t>
  </si>
  <si>
    <t>CLOSURE - RING CUT</t>
  </si>
  <si>
    <t>Add/Prep One (1) Additional Cable or Multi-Port to Closure</t>
  </si>
  <si>
    <t>ADD FOC 3+/MP</t>
  </si>
  <si>
    <t>Fiber Termination &amp; Splcing in FDP (Loose Tube): 1 - 24 Fibers</t>
  </si>
  <si>
    <t>Fiber Termination &amp; Splcing in FDP (Loose Tube): 25-72 Fibers</t>
  </si>
  <si>
    <t>Fiber Termination &amp; Splcing in FDP (Loose Tube): 73-144 Fibers</t>
  </si>
  <si>
    <t>Fiber Termination &amp; Splcing in FDP (Loose Tube): 145 + Fibers</t>
  </si>
  <si>
    <t>Splice Ribbon Fiber 1-288</t>
  </si>
  <si>
    <t>Splice Ribbon Fiber 289-432</t>
  </si>
  <si>
    <t>Splice Ribbon Fiber 432 +</t>
  </si>
  <si>
    <t>Install and Test Splitter</t>
  </si>
  <si>
    <t>Misc. Material Cost +12%</t>
  </si>
  <si>
    <t>Raise Install and Ground Closure</t>
  </si>
  <si>
    <t>Prep FDP 1-72</t>
  </si>
  <si>
    <t>Prep FDP 72-288</t>
  </si>
  <si>
    <t>Mount, Label, Install adapter panels in FDP</t>
  </si>
  <si>
    <t>FTTP UNIT PRICING</t>
  </si>
  <si>
    <t xml:space="preserve">Composite any method Buried FTTP @ 24" depth 1 duct - includes cable, multiport, conduit, pedestals, handhole and flower pot placement </t>
  </si>
  <si>
    <t>800A</t>
  </si>
  <si>
    <t>Composite any method Buried FTTP @ 24" depth 2 ducts - includes cable, multiports, conduit, pedestals, handhole and flower pots placement</t>
  </si>
  <si>
    <t>800B</t>
  </si>
  <si>
    <t>Composite any method Buried FTTP @ 24" depth 3 ducts - includes cable, multiports, conduit, pedestals, handhole and flower pots placement</t>
  </si>
  <si>
    <t>800C</t>
  </si>
  <si>
    <t>Composite any method Buried FTTP @ 24" depth 4 ducts - includes cable, multiports, conduit, pedestals, handhole and flower pots placement</t>
  </si>
  <si>
    <t>800D</t>
  </si>
  <si>
    <t>Composite any method Buried FTTP @ 24" depth 5 ducts -  includes cable, multiports, conduit, pedestals, handhole and flower pots placement</t>
  </si>
  <si>
    <t>Rock Adder</t>
  </si>
  <si>
    <t>Additional Fiber Aerial Multiport (This is an adder for 420, 425 and 430) First multiport or cable will be one of those units then this unit will be used per each additional multiport placed.</t>
  </si>
  <si>
    <t>Mount Multi Port Tap to Strand</t>
  </si>
  <si>
    <t>Pull Additional Fibers in Conduit (Same Operation) ea.</t>
  </si>
  <si>
    <t>Place/Remove or Transfer Fiber Term/LCP (Pole or Handhole installation)</t>
  </si>
  <si>
    <t>TOTAL - FTTH UNIT PRICING</t>
  </si>
  <si>
    <t>&lt;----Click the + to Expand or Collapse the "FTTP UNIT PRICING" Section</t>
  </si>
  <si>
    <t>Lineman Regular Time</t>
  </si>
  <si>
    <t>Lineman Overtime</t>
  </si>
  <si>
    <t>Equipment Operator Regular Time</t>
  </si>
  <si>
    <t>Equipment Operator Overtime</t>
  </si>
  <si>
    <t>Groundman / Laborer / Flagger Regular Time</t>
  </si>
  <si>
    <t>Groundman / Laborer / Flagger Overtime</t>
  </si>
  <si>
    <t>Line truck</t>
  </si>
  <si>
    <t>Bucket truck</t>
  </si>
  <si>
    <t>Pickup</t>
  </si>
  <si>
    <t>Trailer; Cable /Pole / Equipment</t>
  </si>
  <si>
    <t xml:space="preserve">Backhoe  </t>
  </si>
  <si>
    <t>Cable Plow</t>
  </si>
  <si>
    <t>Drop Plow</t>
  </si>
  <si>
    <t>Utility Truck</t>
  </si>
  <si>
    <t>Directional Boring Machine</t>
  </si>
  <si>
    <t>Splicer w/ pick-up, ladder &amp; tools</t>
  </si>
  <si>
    <t>Splicer w/ bucket truck &amp; tools</t>
  </si>
  <si>
    <t>Chipper</t>
  </si>
  <si>
    <t>Chainsaw</t>
  </si>
  <si>
    <t>Tractor</t>
  </si>
  <si>
    <t>Total - MISCELLANEOUS LABOR</t>
  </si>
  <si>
    <t>Miscellaneous Material Cost +% to inlcude taxes, is applicable, and applied in accordance with section 14 of the Agreement, and freight</t>
  </si>
  <si>
    <t>In-House Copper Splicing</t>
  </si>
  <si>
    <t>TOTAL LABOR COST</t>
  </si>
  <si>
    <t>LOCATION</t>
  </si>
  <si>
    <t>MetaSolv #</t>
  </si>
  <si>
    <t>DDID #</t>
  </si>
  <si>
    <t>CODE</t>
  </si>
  <si>
    <t>AMOUNT</t>
  </si>
  <si>
    <t>PROJECT PLANNING / DESIGN</t>
  </si>
  <si>
    <t>Project Planning / Design - Contract Labor</t>
  </si>
  <si>
    <t>Project Planning / Design - Company Labor</t>
  </si>
  <si>
    <t>Misc. Copper Splicing Labor</t>
  </si>
  <si>
    <t>Job Coordination/Lumos Labor</t>
  </si>
  <si>
    <t>JOB PRINTS / DRAFTING</t>
  </si>
  <si>
    <t>Job Prints / Mapping - Contract Labor</t>
  </si>
  <si>
    <t>Job Prints/ Mapping - Company Labor</t>
  </si>
  <si>
    <t>PERMITS AND AUTHORIZATION</t>
  </si>
  <si>
    <t>Permits / Authorization - Contract Labor</t>
  </si>
  <si>
    <t>Permits / Authorization - Company Labor</t>
  </si>
  <si>
    <t>Easements / Acquisition - Contract Labor</t>
  </si>
  <si>
    <t>Easements / Acquisition - Company Labor</t>
  </si>
  <si>
    <t>Administration Permitting Time - Company Labor</t>
  </si>
  <si>
    <t>Administration Permitting Time - Contract Labor</t>
  </si>
  <si>
    <t>Easement Fees</t>
  </si>
  <si>
    <t>Permit Fees</t>
  </si>
  <si>
    <t>PROJECT PLANNING / CONSTRUCTION / ADMIN</t>
  </si>
  <si>
    <t>TRAFFIC CONTROL</t>
  </si>
  <si>
    <t>PLACE POLE</t>
  </si>
  <si>
    <t>Contractor Labor</t>
  </si>
  <si>
    <t>Material - Pole</t>
  </si>
  <si>
    <t>Provisioning - Pole Material</t>
  </si>
  <si>
    <t>Total + Tax - Pole Material</t>
  </si>
  <si>
    <t>PLACE CABLE</t>
  </si>
  <si>
    <t>Contractor Labor - Aerial Fiber</t>
  </si>
  <si>
    <t>Material - Aerial Fiber</t>
  </si>
  <si>
    <t>Provisioning - Aerial Material</t>
  </si>
  <si>
    <t>Total + Tax - Aerial Material</t>
  </si>
  <si>
    <t>Contractor Labor - Underground</t>
  </si>
  <si>
    <t>Material - Underground</t>
  </si>
  <si>
    <t>Provisioning - Underground Material</t>
  </si>
  <si>
    <t>Total + Tax - Underground Material</t>
  </si>
  <si>
    <t>Contractor Labor - Buried</t>
  </si>
  <si>
    <t>Material - Buried</t>
  </si>
  <si>
    <t>Provisioning - Buried Material</t>
  </si>
  <si>
    <t>Total + Tax - Buried Material</t>
  </si>
  <si>
    <t>PLACE CONDUIT</t>
  </si>
  <si>
    <t>Material - Buried Fiber</t>
  </si>
  <si>
    <t>Provisioning - Conduit Material</t>
  </si>
  <si>
    <t>Total + Tax - Conduit Material</t>
  </si>
  <si>
    <t>AFO SPLICE</t>
  </si>
  <si>
    <t>Lumos Labor - Splice Aerial Fiber</t>
  </si>
  <si>
    <t>Provisioning - Aerial Splicing Material</t>
  </si>
  <si>
    <t>Total + Tax - Aerial Splicing Material</t>
  </si>
  <si>
    <t>ONE COMM SPLICE</t>
  </si>
  <si>
    <t>Lumos Labor - Splice Underground Fiber</t>
  </si>
  <si>
    <t>Material - Underground Fiber</t>
  </si>
  <si>
    <t>Provisioning - Underground Splicing  Material</t>
  </si>
  <si>
    <t>Total + Tax - Underground Splicing Material</t>
  </si>
  <si>
    <t>MISCELLANEOUS LABOR</t>
  </si>
  <si>
    <t>ACCESS EQUIPMENT</t>
  </si>
  <si>
    <t>PLACE FTTP EQUIP</t>
  </si>
  <si>
    <t>HLE ACCESS EQUIP.</t>
  </si>
  <si>
    <t>DROPS</t>
  </si>
  <si>
    <t>ONT'S</t>
  </si>
  <si>
    <t>TOTAL ACCESS EQUIPMENT</t>
  </si>
  <si>
    <t>TOTAL JOB COST</t>
  </si>
  <si>
    <t>Method</t>
  </si>
  <si>
    <t>New Conduit</t>
  </si>
  <si>
    <t>Aerial</t>
  </si>
  <si>
    <t>Existing Conduit</t>
  </si>
  <si>
    <t>Cable Size</t>
  </si>
  <si>
    <t>SEG 1</t>
  </si>
  <si>
    <t>SEG 2</t>
  </si>
  <si>
    <t>SEG 3</t>
  </si>
  <si>
    <t>SEG 4</t>
  </si>
  <si>
    <t>SEG 5</t>
  </si>
  <si>
    <t>SEG 6</t>
  </si>
  <si>
    <t>SEG 7</t>
  </si>
  <si>
    <t>SEG 8</t>
  </si>
  <si>
    <t>SEG 9</t>
  </si>
  <si>
    <t>SEG 10</t>
  </si>
  <si>
    <t>SEG 11</t>
  </si>
  <si>
    <t>SEG 12</t>
  </si>
  <si>
    <t>SEG 13</t>
  </si>
  <si>
    <t>SEG 14</t>
  </si>
  <si>
    <t>SEG 15</t>
  </si>
  <si>
    <t>SEG 16</t>
  </si>
  <si>
    <t>SEG 17</t>
  </si>
  <si>
    <t>SEG 18</t>
  </si>
  <si>
    <t>SEG 19</t>
  </si>
  <si>
    <t>SEG 20</t>
  </si>
  <si>
    <t>SEG 21</t>
  </si>
  <si>
    <t>SEG 22</t>
  </si>
  <si>
    <t>SEG 23</t>
  </si>
  <si>
    <t>SEG 24</t>
  </si>
  <si>
    <t>SEG 25</t>
  </si>
  <si>
    <t>START</t>
  </si>
  <si>
    <t>END</t>
  </si>
  <si>
    <t>CABLE SIZE</t>
  </si>
  <si>
    <t>SPAN</t>
  </si>
  <si>
    <t>STORAGE</t>
  </si>
  <si>
    <t>RISER</t>
  </si>
  <si>
    <t>UNIT 140
NEW AERIAL</t>
  </si>
  <si>
    <t>UNIT 141
OVERLASH</t>
  </si>
  <si>
    <t>UNIT 146
OL MP ONLY</t>
  </si>
  <si>
    <t>UNIT 148 PLACE RDF or SELFSUPPORT MP TAIL</t>
  </si>
  <si>
    <t>TOTAL FOOTAGE UNIT 147</t>
  </si>
  <si>
    <t xml:space="preserve">UNIT 220  </t>
  </si>
  <si>
    <t xml:space="preserve">UNIT 210 </t>
  </si>
  <si>
    <t>UNIT 200</t>
  </si>
  <si>
    <t>UNIT 5</t>
  </si>
  <si>
    <t>TOTAL FOOTAGES</t>
  </si>
  <si>
    <t>TOTAL SPAN * NUMBER MP</t>
  </si>
  <si>
    <t>SPAN FOOTAGE</t>
  </si>
  <si>
    <t>NUMBER OF MP PER SPAN</t>
  </si>
  <si>
    <t>CABLE ONLY OR WITH MP TAILS</t>
  </si>
  <si>
    <t>MPS 2            AND 3</t>
  </si>
  <si>
    <t>USE FOR 1ST MP</t>
  </si>
  <si>
    <t>THESE COUNTS ARE AFTER SUBTRACTING 2 MP'S THAT WOULD BE INCLUDED WITH NEW BUILD OR OVBER LASH.  OR AFTER THE FIRST MP ONLY OVERLASH.    COUNTING ONLY UNIT 127</t>
  </si>
  <si>
    <t>JOB PRINT PAGE #</t>
  </si>
  <si>
    <t>Construction Note Letter Job Print</t>
  </si>
  <si>
    <t>NON-STANDARD CONDUIT SIZE</t>
  </si>
  <si>
    <t>IS THIS A PARALLELING DROP CONDUIT?</t>
  </si>
  <si>
    <t>CABLES THIS SPAN</t>
  </si>
  <si>
    <t>NEW CONDUIT THIS SPAN ONLY (UP TO 2)</t>
  </si>
  <si>
    <t>*ADDITIONAL* 
NEW CONDUIT 
3RD &amp; 4TH CONDUIT
(UP TO 2)</t>
  </si>
  <si>
    <t>*ADDITIONAL* 
NEW CONDUIT
5TH CONDUIT 
(UP TO 1)</t>
  </si>
  <si>
    <t xml:space="preserve">NEW AERIAL Cable INCLUDES 2 MP TAILS </t>
  </si>
  <si>
    <t>OVERLASH CABLE INCLUDES 2 MP TAILS</t>
  </si>
  <si>
    <t>OVERLASH 2ND CABLE</t>
  </si>
  <si>
    <t>OVERLASH MPS ONLY (USE FOR MP 2 AND 3)</t>
  </si>
  <si>
    <t>OVERLASH MP TAIL ONLY              1ST  MP TAIL</t>
  </si>
  <si>
    <t>SELF SUPPORT MP TAILS OR RDF</t>
  </si>
  <si>
    <t>1 MP</t>
  </si>
  <si>
    <t>2 MP'S</t>
  </si>
  <si>
    <t>3 MP'S</t>
  </si>
  <si>
    <t>4 MP'S</t>
  </si>
  <si>
    <t>5 MP'S</t>
  </si>
  <si>
    <t>6 MP'S</t>
  </si>
  <si>
    <t>7 MP'S</t>
  </si>
  <si>
    <t>8 MP'S</t>
  </si>
  <si>
    <t>9 MP'S</t>
  </si>
  <si>
    <t>PULL IN EXISTING CONDUIT</t>
  </si>
  <si>
    <t>PULL ADDITIONAL FIBER                           (AFTER 2ND FIBER)</t>
  </si>
  <si>
    <t>NEW BURIED (INCLUDES UP TO 2 CONDUITS)</t>
  </si>
  <si>
    <t>*ADDITIONAL* NEW BURIED (INCLUDES 3RD AND 4TH CONDUITS)</t>
  </si>
  <si>
    <t>*ADDITIONAL* NEW BURIED (5TH CONDUIT)</t>
  </si>
  <si>
    <t>CONDUIT MATERIAL QUANTITY TO BE ORDERED</t>
  </si>
  <si>
    <t>FULL ADDRESS 
(Upper Case)</t>
  </si>
  <si>
    <t>CITY</t>
  </si>
  <si>
    <t>STATE</t>
  </si>
  <si>
    <t>ZIP CODE</t>
  </si>
  <si>
    <t>Unit Number</t>
  </si>
  <si>
    <t>HOUSE TYPE</t>
  </si>
  <si>
    <t>Drop Type</t>
  </si>
  <si>
    <t>Servicable (Y/N)</t>
  </si>
  <si>
    <t>Serviceability Notes</t>
  </si>
  <si>
    <t>RES</t>
  </si>
  <si>
    <t>BUS</t>
  </si>
  <si>
    <t>Material Estimate Worksheet</t>
  </si>
  <si>
    <t>Move Order #</t>
  </si>
  <si>
    <t>Job Description:</t>
  </si>
  <si>
    <t>Job #:</t>
  </si>
  <si>
    <t>Branch Plant:</t>
  </si>
  <si>
    <t>LUMOS Employee Signature</t>
  </si>
  <si>
    <t>Date</t>
  </si>
  <si>
    <t>Capital Bud. #:</t>
  </si>
  <si>
    <t>Engineer:</t>
  </si>
  <si>
    <t>Date:</t>
  </si>
  <si>
    <t>Tax District:</t>
  </si>
  <si>
    <t>Contractor Name &amp; Signature</t>
  </si>
  <si>
    <t>Account</t>
  </si>
  <si>
    <t>Actual</t>
  </si>
  <si>
    <t>Reel</t>
  </si>
  <si>
    <t>Sub Total</t>
  </si>
  <si>
    <t>Material</t>
  </si>
  <si>
    <t>Quantity</t>
  </si>
  <si>
    <t>Document</t>
  </si>
  <si>
    <t>Code</t>
  </si>
  <si>
    <t>Number</t>
  </si>
  <si>
    <t>Item No.</t>
  </si>
  <si>
    <t>Description</t>
  </si>
  <si>
    <t>Trans Loc</t>
  </si>
  <si>
    <t>Returned</t>
  </si>
  <si>
    <t>Sub-Total</t>
  </si>
  <si>
    <t>NOTES:</t>
  </si>
  <si>
    <t>Provisioning (10%) &amp; Tax (5%)</t>
  </si>
  <si>
    <t>Total Material Cost</t>
  </si>
  <si>
    <t>Account Code</t>
  </si>
  <si>
    <t>Good</t>
  </si>
  <si>
    <t>Worthless</t>
  </si>
  <si>
    <t>Description of Material Recovered</t>
  </si>
  <si>
    <t>CABLE_1</t>
  </si>
  <si>
    <t>OLT</t>
  </si>
  <si>
    <t>PORT 1</t>
  </si>
  <si>
    <t>PORT 2</t>
  </si>
  <si>
    <t>PORT 3</t>
  </si>
  <si>
    <t>PORT 4</t>
  </si>
  <si>
    <t>PORT 5</t>
  </si>
  <si>
    <t>PORT 6</t>
  </si>
  <si>
    <t>PORT 7</t>
  </si>
  <si>
    <t>PORT 8</t>
  </si>
  <si>
    <t>1X8 SPLITTER PLACEMENT</t>
  </si>
  <si>
    <t/>
  </si>
  <si>
    <t>T COUNT</t>
  </si>
  <si>
    <t>1X4 PLACEMENT ADDRESS</t>
  </si>
  <si>
    <t>SPLIT</t>
  </si>
  <si>
    <t>SERVICING</t>
  </si>
  <si>
    <t>ADDRESS</t>
  </si>
  <si>
    <t>City</t>
  </si>
  <si>
    <t>ZIP</t>
  </si>
  <si>
    <t>BUSINESS/RESIDENTIAL</t>
  </si>
  <si>
    <t>House Type</t>
  </si>
  <si>
    <t>Servicablity</t>
  </si>
  <si>
    <t>PERMITS WORKSHEET</t>
  </si>
  <si>
    <t>MUNICIPAL</t>
  </si>
  <si>
    <t>EASEMENTS</t>
  </si>
  <si>
    <t>POLE</t>
  </si>
  <si>
    <t>THIRD-PARTY SPLICING</t>
  </si>
  <si>
    <t>OTHER</t>
  </si>
  <si>
    <t>CELL SITE</t>
  </si>
  <si>
    <t>CONTINGENT LABOR</t>
  </si>
  <si>
    <t>MISC Access Equipment and install charge</t>
  </si>
  <si>
    <t>Price</t>
  </si>
  <si>
    <t>Unit</t>
  </si>
  <si>
    <t>Standard Flagging Operation</t>
  </si>
  <si>
    <t>Includes up to 2 crew members, 1 AWP work truck with rotating lights, 8 advanced warning signs, 40 cones and up to 8 hours on site with mobilization.</t>
  </si>
  <si>
    <t>Daily</t>
  </si>
  <si>
    <t>Standard Lane Closure- No TMA</t>
  </si>
  <si>
    <t>Includes up to 2 crew members, 1 AWP work truck with rotating lights, 1 arrow board, 10 advanced warning signs, 70 cones and up to 8 hours on site with mobilization.</t>
  </si>
  <si>
    <t>Standard Shoulder Closure - No TMA</t>
  </si>
  <si>
    <t>Includes up to 2 crew members, 1 AWP work truck with rotating lights, 6 advanced warning signs, 40 cones and up to 8 hours on site with mobilization.</t>
  </si>
  <si>
    <t>TMA</t>
  </si>
  <si>
    <t>Truck Mounted Attenuator (TMA)/Crash Truck,(Driver is extra, see below for hourly rate)</t>
  </si>
  <si>
    <t>Traffic Control Technical</t>
  </si>
  <si>
    <t>Provide one additional traffic control technician as needed.</t>
  </si>
  <si>
    <t>Hourly</t>
  </si>
  <si>
    <t xml:space="preserve">Total Daily Cost of Traffic Control </t>
  </si>
  <si>
    <t>CISCO</t>
  </si>
  <si>
    <t>FIBER ALLOTMENT</t>
  </si>
  <si>
    <t>N008 FIBER ALLOTMENT</t>
  </si>
  <si>
    <t>FDH</t>
  </si>
  <si>
    <t>SPLCHNYLWJKTSEC</t>
  </si>
  <si>
    <t>PBXGENDRPBXT22</t>
  </si>
  <si>
    <t>17"X30"X24" Tier 22</t>
  </si>
  <si>
    <r>
      <rPr>
        <b/>
        <sz val="10"/>
        <rFont val="Calibri"/>
        <family val="2"/>
        <scheme val="minor"/>
      </rPr>
      <t>TIER 22</t>
    </r>
    <r>
      <rPr>
        <sz val="10"/>
        <rFont val="Calibri"/>
        <family val="2"/>
        <scheme val="minor"/>
      </rPr>
      <t xml:space="preserve"> </t>
    </r>
    <r>
      <rPr>
        <b/>
        <sz val="10"/>
        <rFont val="Calibri"/>
        <family val="2"/>
        <scheme val="minor"/>
      </rPr>
      <t>FLOWER POT</t>
    </r>
    <r>
      <rPr>
        <sz val="10"/>
        <rFont val="Calibri"/>
        <family val="2"/>
        <scheme val="minor"/>
      </rPr>
      <t xml:space="preserve"> BULK Utilities 12x12x12” Depth GLB, SHIELD Lid, Failsafe 9/16” Hex Bolt, Custom LUMOS logo PN BULKU1212120061261</t>
    </r>
  </si>
  <si>
    <r>
      <t>INNERDUCT - 4" SDR 11 (MAX REEL 550') -</t>
    </r>
    <r>
      <rPr>
        <b/>
        <sz val="10"/>
        <rFont val="Calibri"/>
        <family val="2"/>
        <scheme val="minor"/>
      </rPr>
      <t xml:space="preserve"> ***RR CROSSINGS ONLY***</t>
    </r>
  </si>
  <si>
    <t>SPLCHNG5NGRMT34</t>
  </si>
  <si>
    <t>SPLCHNG5NGRMT89</t>
  </si>
  <si>
    <t>SPLCHNG5NGRMT78</t>
  </si>
  <si>
    <t>SPLCHNG5NGRMT891</t>
  </si>
  <si>
    <t>SPLCHNG5NGRMT781</t>
  </si>
  <si>
    <t>1X8 SPLITTER NAME</t>
  </si>
  <si>
    <t>SPLITTER NAME</t>
  </si>
  <si>
    <t>DOT</t>
  </si>
  <si>
    <t>COUNTY</t>
  </si>
  <si>
    <t>POLES</t>
  </si>
  <si>
    <t>TOTAL - ENGINEERING</t>
  </si>
  <si>
    <t>TOTAL - DRAFTING</t>
  </si>
  <si>
    <t>TOTAL - PERMITTING</t>
  </si>
  <si>
    <t>TOTAL - PLACE POLE</t>
  </si>
  <si>
    <t>&lt;----Click the + to Expand or Collapse the "POLES" Section</t>
  </si>
  <si>
    <t>&lt;----Click the + to Expand or Collapse the "AERIAL" Section</t>
  </si>
  <si>
    <t>TOTAL - PLACE AERIAL FIBER</t>
  </si>
  <si>
    <t xml:space="preserve">AERIAL </t>
  </si>
  <si>
    <t>UNDERGROUND FIBER</t>
  </si>
  <si>
    <t>TOTAL - PLACE UNDERGROUND FIBER</t>
  </si>
  <si>
    <t>&lt;----Click the + to Expand or Collapse the "UNDERGROUND FIBER" Section</t>
  </si>
  <si>
    <t>BURIED FIBER</t>
  </si>
  <si>
    <t>TOTAL - PLACE BURIED FIBER</t>
  </si>
  <si>
    <t>&lt;----Click the + to Expand or Collapse the "BURIED FIBER" Section</t>
  </si>
  <si>
    <t>AERIAL SPLCING UNITS</t>
  </si>
  <si>
    <t>TOTAL - SPLICING AERIAL - LUMOS</t>
  </si>
  <si>
    <t>&lt;----Click the + to Expand or Collapse the "SPLCING UNITS" Section</t>
  </si>
  <si>
    <t>&lt;----Click the + to Expand or Collapse the "AERIAL SPLCING UNITS" Section</t>
  </si>
  <si>
    <t>&lt;----Click the + to Expand or Collapse the "MISCELLANEOUS LABOR" Section</t>
  </si>
  <si>
    <t>Loose Tube Fusion Splice (Testing Included): 1 - 24 Fibers</t>
  </si>
  <si>
    <t>Loose Tube Fusion Splice (Testing Included): 25 - 72 Fibers</t>
  </si>
  <si>
    <t>Loose Tube Fusion Splice (Testing Included): 73 - 144 Fibers</t>
  </si>
  <si>
    <t>Loose Tube Fusion Splice (Testing Included): 145 + Fibers</t>
  </si>
  <si>
    <t>ERPS</t>
  </si>
  <si>
    <t>HEAT SHRINK SLEEVE/SING FIBER(50MM) (CONSUMABLE STOCK)</t>
  </si>
  <si>
    <t>42MM HEAT SHRINK FOR RIBBON FIBER  (CONSUMABLE STOCK)</t>
  </si>
  <si>
    <t>Green Hornet Drop/Lateral Grommets Cable Diameter - 0.188-0.250 Inches PN: GR06116101-34  (CONSUMABLE STOCK)</t>
  </si>
  <si>
    <t>Primary Splitter Location Green Hornet Main Grommet, 1.5” (38.1mm), 0.188”-0.250” (9.525mm-11.125mm).  (CONSUMABLE STOCK)</t>
  </si>
  <si>
    <t>Secondary Splitter Location "Drop Terminal Grommet"Green Hornet Main Grommet, 1.5” (38.1mm), 0.188”-0.250” (9.525mm-11.125mm).  (CONSUMABLE STOCK)</t>
  </si>
  <si>
    <t>(12 PER PACK) End of Line Main Oval Port Grommets Cable Diameter - 0.375”-0.438” INCHES –  (CONSUMABLE STOCK)</t>
  </si>
  <si>
    <t>(12 PER PACK) End of Line Main Oval Port Grommets Cable Diameter - 0.438” - .500"  INCHES -  (CONSUMABLE STOCK)</t>
  </si>
  <si>
    <t>Yellow Jacket Splice terminal Aerial; 2 Splice trays, 2) 1x4 Splitter; 12 port  SC/APC Bulkhead, Grnd incld PN: YJK0162BA0NN0NNAA</t>
  </si>
  <si>
    <t>1X4</t>
  </si>
  <si>
    <t xml:space="preserve">Loose Tube Fusion Splice </t>
  </si>
  <si>
    <t>Ribbon Splice</t>
  </si>
  <si>
    <t>Splice_Number</t>
  </si>
  <si>
    <t>Secondary Splitter Location"Drop Terminal"Green Hornet Fiber Splice Closure, G5N- 5"x11", Splice Trays (3), SC/APC Bulkhead with 16 Ports, Two (2) 1x4 Splitters with SC/APC Connectors,  No Grommets, No Brackets, No Ground G5NSTA2BA0NN0NNN</t>
  </si>
  <si>
    <t>Primary Splitter Location-G5NS TerminalGreen Hornet Fiber Splice Closure - Terminal Base, G5N- 5"x11", Two (2) Splice Trays, Two (2) 2x8 Splitters bare leads only,  No Grommets, No Brackets, No Ground G5NSTA2ES0NN0NNN</t>
  </si>
  <si>
    <t>12"X12"X12" Tier 22</t>
  </si>
  <si>
    <t>13"X24"X18" Tier 22</t>
  </si>
  <si>
    <t>24"X36"X24" Tier 22</t>
  </si>
  <si>
    <t>30"X48"X24" Tier 22</t>
  </si>
  <si>
    <t>FP</t>
  </si>
  <si>
    <t>HH</t>
  </si>
  <si>
    <t>11"X11"X12" Non-Tier 22</t>
  </si>
  <si>
    <t>17"X30"X24" Non-Tier 22</t>
  </si>
  <si>
    <r>
      <rPr>
        <b/>
        <sz val="10"/>
        <rFont val="Calibri"/>
        <family val="2"/>
        <scheme val="minor"/>
      </rPr>
      <t>TIER 22 (SM)</t>
    </r>
    <r>
      <rPr>
        <sz val="10"/>
        <rFont val="Calibri"/>
        <family val="2"/>
        <scheme val="minor"/>
      </rPr>
      <t xml:space="preserve"> 17"X30" 24" DEEP BULK VAULT SHIELD TIER 22 (33 750LB TEST LOAD) 1-PIECE LID SELF-LOCK HEX-HEAD SECURITY LUMOS CUSTOM LOGO PN  BULKU1730240066261</t>
    </r>
  </si>
  <si>
    <r>
      <rPr>
        <b/>
        <sz val="10"/>
        <rFont val="Calibri"/>
        <family val="2"/>
        <scheme val="minor"/>
      </rPr>
      <t>TIER 22 (SPLT)</t>
    </r>
    <r>
      <rPr>
        <sz val="10"/>
        <rFont val="Calibri"/>
        <family val="2"/>
        <scheme val="minor"/>
      </rPr>
      <t xml:space="preserve"> 13"x24"x18" DEEP BULK VAULT SHIELD TIER 22 (33 750LB TEST LOAD) SELF-LOCK HEX-HEAD SECURITY LUMOS CUSTOM LOGO  PN  BULKU1324180066261</t>
    </r>
  </si>
  <si>
    <r>
      <rPr>
        <b/>
        <sz val="10"/>
        <rFont val="Calibri"/>
        <family val="2"/>
        <scheme val="minor"/>
      </rPr>
      <t>TIER 22 (MED)</t>
    </r>
    <r>
      <rPr>
        <sz val="10"/>
        <rFont val="Calibri"/>
        <family val="2"/>
        <scheme val="minor"/>
      </rPr>
      <t xml:space="preserve"> 24"X36" 24" DEEP BULK VAULT SHIELD TIER 22 (33 750LB TEST LOAD) 1-PIECE LID SELF-LOCK HEX SECURITY. LUMOS CUSTOM LOGO PN BULKU2436240066261</t>
    </r>
  </si>
  <si>
    <r>
      <rPr>
        <b/>
        <sz val="10"/>
        <rFont val="Calibri"/>
        <family val="2"/>
        <scheme val="minor"/>
      </rPr>
      <t xml:space="preserve">NON-DOT/NON-TIER 22 </t>
    </r>
    <r>
      <rPr>
        <sz val="10"/>
        <rFont val="Calibri"/>
        <family val="2"/>
        <scheme val="minor"/>
      </rPr>
      <t xml:space="preserve">- </t>
    </r>
    <r>
      <rPr>
        <b/>
        <sz val="10"/>
        <rFont val="Calibri"/>
        <family val="2"/>
        <scheme val="minor"/>
      </rPr>
      <t>FLOWER POT</t>
    </r>
    <r>
      <rPr>
        <sz val="10"/>
        <rFont val="Calibri"/>
        <family val="2"/>
        <scheme val="minor"/>
      </rPr>
      <t xml:space="preserve"> 11"X11"X12" DROP BOX  PN SGLB01211261 AU101512P00N-XX;   100007163; SGLB-0</t>
    </r>
  </si>
  <si>
    <r>
      <rPr>
        <b/>
        <sz val="10"/>
        <rFont val="Calibri"/>
        <family val="2"/>
        <scheme val="minor"/>
      </rPr>
      <t>NON-DOT/NON-TIER 22 (SM)</t>
    </r>
    <r>
      <rPr>
        <sz val="10"/>
        <rFont val="Calibri"/>
        <family val="2"/>
        <scheme val="minor"/>
      </rPr>
      <t>- 17"X30" 24" DEEP BULK VAULT HDPE PLASTIC LID SELF-LOCK HEX-HEAD SECURITY LUMOS CUSTOM LOGO PN: BULKU1730240016261</t>
    </r>
  </si>
  <si>
    <t>PEDCHNCHP920</t>
  </si>
  <si>
    <t>CPH920C1B1S2L00A0 Challenger Pedestal Housing (Large), Standard Bracket/12" Stake, Standard Logo</t>
  </si>
  <si>
    <t>G5N G5NTA2S00NNNN Green hornet splice terminal base, 2 splice trays</t>
  </si>
  <si>
    <t>13X24X18 HANDHOLE, G5N secondary splice case, 3)1x4 splice trays</t>
  </si>
  <si>
    <t>LOCATOR BALL 3M - 1401-XR 80611161136 - CONSUMABLE STOCK</t>
  </si>
  <si>
    <t>PBXGEN30X48X36</t>
  </si>
  <si>
    <r>
      <rPr>
        <b/>
        <sz val="10"/>
        <rFont val="Calibri"/>
        <family val="2"/>
        <scheme val="minor"/>
      </rPr>
      <t>TIER 22 (LHH)</t>
    </r>
    <r>
      <rPr>
        <sz val="10"/>
        <rFont val="Calibri"/>
        <family val="2"/>
        <scheme val="minor"/>
      </rPr>
      <t xml:space="preserve"> PULL BOX 30X48X24 BULK TIER 22 LID, GREY COMPOSITE PN BULKU3048240081261</t>
    </r>
  </si>
  <si>
    <r>
      <rPr>
        <b/>
        <sz val="10"/>
        <rFont val="Calibri"/>
        <family val="2"/>
        <scheme val="minor"/>
      </rPr>
      <t>TIER 22 (XLG)</t>
    </r>
    <r>
      <rPr>
        <sz val="10"/>
        <rFont val="Calibri"/>
        <family val="2"/>
        <scheme val="minor"/>
      </rPr>
      <t xml:space="preserve"> 30X48X36 W/SPLIT LID, TRUE TIER 22, GREY COMPOSITE PN BULKU3048360081261</t>
    </r>
  </si>
  <si>
    <t>Total Aerial (Eng-Aerial Footage)</t>
  </si>
  <si>
    <t>Total Underground (Eng-New Conduit Footage)</t>
  </si>
  <si>
    <t>Total Fiber (Eng-Fiber Footage)</t>
  </si>
  <si>
    <t>Total Fiber &amp; Conduit (Eng-Total Bld Footage</t>
  </si>
  <si>
    <t>REVISION DATE 11/18/2025</t>
  </si>
  <si>
    <t>Total OSP Cost (- Eng Vendor Cost)</t>
  </si>
  <si>
    <t>VIRGINIA</t>
  </si>
  <si>
    <t>CHAD ROBERTSON</t>
  </si>
  <si>
    <t>15 FOR SPLT</t>
  </si>
  <si>
    <t>50 FOR ALL ELSE</t>
  </si>
  <si>
    <t>FIRST ROW 0 AND THE HANDHOLE STORAGE OF HH IT STARTS FROM</t>
  </si>
  <si>
    <t>CHESTERFIELD</t>
  </si>
  <si>
    <t>351 EAST HUNDRED RD</t>
  </si>
  <si>
    <t>3 EAST HUNDRED RD</t>
  </si>
  <si>
    <t>115 EAST HUNDRED RD</t>
  </si>
  <si>
    <t>13320 INGE RD</t>
  </si>
  <si>
    <t>13312 BERMUDA ORCHARD LN</t>
  </si>
  <si>
    <t>350 EAST HUNDRED RD</t>
  </si>
  <si>
    <t>348 EAST HUNDRED RD</t>
  </si>
  <si>
    <t>100 EAST HUNDRED RD</t>
  </si>
  <si>
    <t>600 EAST HUNDRED RD</t>
  </si>
  <si>
    <t>804 EAST HUNDRED RD</t>
  </si>
  <si>
    <t>431 EAST HUNDRED RD</t>
  </si>
  <si>
    <t>F 115 EAST HUNDRED RD</t>
  </si>
  <si>
    <t>OLT02_42P_1S_CHSTVA</t>
  </si>
  <si>
    <t>1-4</t>
  </si>
  <si>
    <t>F 350 E HUNDRED RD</t>
  </si>
  <si>
    <t>OLT02_42P_CHSTVA, 1</t>
  </si>
  <si>
    <t>360 EAST HUNDRED RD</t>
  </si>
  <si>
    <t>13237 RIVERS BEND BLVD</t>
  </si>
  <si>
    <t>OLT02_42P_2S_CHSTVA</t>
  </si>
  <si>
    <t>5-8</t>
  </si>
  <si>
    <t>F 231 EAST HUNDRED RD</t>
  </si>
  <si>
    <t>OLT02_42P_CHSTVA, 2</t>
  </si>
  <si>
    <t>231 EAST HUNDRED RD</t>
  </si>
  <si>
    <t>OLT02_42P_3S_CHSTVA</t>
  </si>
  <si>
    <t>9-12</t>
  </si>
  <si>
    <t>F 221 EAST HUNDRED RD</t>
  </si>
  <si>
    <t>OLT02_42P_CHSTVA, 3</t>
  </si>
  <si>
    <t>13311 INGE RD</t>
  </si>
  <si>
    <t>221 EAST HUNDRED RD</t>
  </si>
  <si>
    <t>OLT02_42P_4S_CHSTVA</t>
  </si>
  <si>
    <t>13-16</t>
  </si>
  <si>
    <t>F 3 EAST HUNDRED RD</t>
  </si>
  <si>
    <t>OLT02_42P_CHSTVA, 4</t>
  </si>
  <si>
    <t>1 EAST HUNDRED RD</t>
  </si>
  <si>
    <t>OLT02_42P_5S_CHSTVA</t>
  </si>
  <si>
    <t>17-20</t>
  </si>
  <si>
    <t>F 5 EAST HUNDRED RD</t>
  </si>
  <si>
    <t>OLT02_42P_CHSTVA, 5</t>
  </si>
  <si>
    <t>103 EAST HUNDRED RD</t>
  </si>
  <si>
    <t>5 EAST HUNDRED RD</t>
  </si>
  <si>
    <t>OLT02_42P_6S_CHSTVA</t>
  </si>
  <si>
    <t>21-24</t>
  </si>
  <si>
    <t>F 101 EAST HUNDRED RD</t>
  </si>
  <si>
    <t>OLT02_42P_CHSTVA, 6</t>
  </si>
  <si>
    <t>13310 INGE RD</t>
  </si>
  <si>
    <t>101 EAST HUNDRED RD</t>
  </si>
  <si>
    <t>OLT02_42P_7S_CHSTVA</t>
  </si>
  <si>
    <t>25-28</t>
  </si>
  <si>
    <t>F 13320 INGE RD</t>
  </si>
  <si>
    <t>OLT02_42P_CHSTVA, 7</t>
  </si>
  <si>
    <t>201 JOHNSON CREEK DR</t>
  </si>
  <si>
    <t>OLT02_42P_8S_CHSTVA</t>
  </si>
  <si>
    <t>29-32</t>
  </si>
  <si>
    <t>OLT02_42P_CHSTVA, 8</t>
  </si>
  <si>
    <t>13316 INGE RD</t>
  </si>
  <si>
    <t>13322 INGE RD</t>
  </si>
  <si>
    <t>13330 INGE RD</t>
  </si>
  <si>
    <t>F 431 EAST HUNDRED RD</t>
  </si>
  <si>
    <t>OLT02_191P_1S_CHSTVA</t>
  </si>
  <si>
    <t>F 804 EAST HUNDRED RD</t>
  </si>
  <si>
    <t>OLT02_191P_CHSTVA, 1</t>
  </si>
  <si>
    <t>814 EAST HUNDRED RD</t>
  </si>
  <si>
    <t>810 EAST HUNDRED RD</t>
  </si>
  <si>
    <t>800 EAST HUNDRED RD</t>
  </si>
  <si>
    <t>OLT02_191P_2S_CHSTVA</t>
  </si>
  <si>
    <t>F 13335 KINGSTON AVE</t>
  </si>
  <si>
    <t>OLT02_191P_CHSTVA, 2</t>
  </si>
  <si>
    <t>13341 KINGSTON AVE</t>
  </si>
  <si>
    <t>13335 KINGSTON AVE</t>
  </si>
  <si>
    <t>OLT02_191P_3S_CHSTVA</t>
  </si>
  <si>
    <t>F 13200 KINGSTON AVE</t>
  </si>
  <si>
    <t>OLT02_191P_CHSTVA, 3</t>
  </si>
  <si>
    <t>13201 KINGSTON AVE</t>
  </si>
  <si>
    <t>13200 KINGSTON AVE</t>
  </si>
  <si>
    <t>OLT02_191P_4S_CHSTVA</t>
  </si>
  <si>
    <t>F 551 EAST HUNDRED RD</t>
  </si>
  <si>
    <t>OLT02_191P_CHSTVA, 4</t>
  </si>
  <si>
    <t>571 EAST HUNDRED RD</t>
  </si>
  <si>
    <t>561 EAST HUNDRED RD</t>
  </si>
  <si>
    <t>551 EAST HUNDRED RD</t>
  </si>
  <si>
    <t>531 E HUNDRED RD</t>
  </si>
  <si>
    <t>OLT02_191P_5S_CHSTVA</t>
  </si>
  <si>
    <t>F 511 EAST HUNDRED RD</t>
  </si>
  <si>
    <t>OLT02_191P_CHSTVA, 5</t>
  </si>
  <si>
    <t>511 E HUNDRED RD</t>
  </si>
  <si>
    <t>13201 BERMUDA ORCHARD LN</t>
  </si>
  <si>
    <t>OLT02_191P_6S_CHSTVA</t>
  </si>
  <si>
    <t>F 361 EAST HUNDRED RD</t>
  </si>
  <si>
    <t>OLT02_191P_CHSTVA, 6</t>
  </si>
  <si>
    <t>361 EAST HUNDRED RD</t>
  </si>
  <si>
    <t>363 EAST HUNDRED RD</t>
  </si>
  <si>
    <t>353 EAST HUNDRED RD</t>
  </si>
  <si>
    <t>OLT02_191P_7S_CHSTVA</t>
  </si>
  <si>
    <t>F 401 EAST HUNDRED RD</t>
  </si>
  <si>
    <t>OLT02_191P_CHSTVA, 7</t>
  </si>
  <si>
    <t>355 EAST HUNDRED RD</t>
  </si>
  <si>
    <t>401 EAST HUNDRED RD</t>
  </si>
  <si>
    <t>371 EAST HUNDRED RD</t>
  </si>
  <si>
    <t>381 EAST HUNDRED RD</t>
  </si>
  <si>
    <t>OLT02_191P_8S_CHSTVA</t>
  </si>
  <si>
    <t>OLT02_191P_CHSTVA, 8</t>
  </si>
  <si>
    <t>13200 BERMUDA ORCHARD LN</t>
  </si>
  <si>
    <t>421 EAST HUNDRED RD</t>
  </si>
  <si>
    <t>F 351 EAST HUNDRED RD</t>
  </si>
  <si>
    <t>OLT02_192P_1S_CHSTVA</t>
  </si>
  <si>
    <t>F 600 EAST HUNDRED RD</t>
  </si>
  <si>
    <t>OLT02_192P_CHSTVA, 1</t>
  </si>
  <si>
    <t>630 EAST HUNDRED RD</t>
  </si>
  <si>
    <t>620 EAST HUNDRED RD</t>
  </si>
  <si>
    <t>580 EAST HUNDRED RD</t>
  </si>
  <si>
    <t>OLT02_192P_2S_CHSTVA</t>
  </si>
  <si>
    <t>F 540 EAST HUNDRED RD</t>
  </si>
  <si>
    <t>OLT02_192P_CHSTVA, 2</t>
  </si>
  <si>
    <t>570 EAST HUNDRED RD</t>
  </si>
  <si>
    <t>560 EAST HUNDRED RD</t>
  </si>
  <si>
    <t>540 EAST HUNDRED RD</t>
  </si>
  <si>
    <t>530 EAST HUNDRED RD</t>
  </si>
  <si>
    <t>OLT02_192P_3S_CHSTVA</t>
  </si>
  <si>
    <t>F 520 EAST HUNDRED RD</t>
  </si>
  <si>
    <t>OLT02_192P_CHSTVA, 3</t>
  </si>
  <si>
    <t>520 EAST HUNDRED RD</t>
  </si>
  <si>
    <t>500 EAST HUNDRED RD</t>
  </si>
  <si>
    <t>OLT02_192P_4S_CHSTVA</t>
  </si>
  <si>
    <t>F 380 EAST HUNDRED RD</t>
  </si>
  <si>
    <t>OLT02_192P_CHSTVA, 4</t>
  </si>
  <si>
    <t>374 EAST HUNDRED RD</t>
  </si>
  <si>
    <t>380 EAST HUNDRED RD</t>
  </si>
  <si>
    <t>370 EAST HUNDRED RD</t>
  </si>
  <si>
    <t>OLT02_192P_5S_CHSTVA</t>
  </si>
  <si>
    <t>F 100 EAST HUNDRED RD</t>
  </si>
  <si>
    <t>OLT02_192P_CHSTVA, 5</t>
  </si>
  <si>
    <t>2 EAST HUNDRED RD</t>
  </si>
  <si>
    <t>10 EAST HUNDRED RD</t>
  </si>
  <si>
    <t>20 EAST HUNDRED RD</t>
  </si>
  <si>
    <t>100 E HUNDRED RD</t>
  </si>
  <si>
    <t>OLT02_192P_6S_CHSTVA</t>
  </si>
  <si>
    <t>F 116 EAST HUNDRED RD</t>
  </si>
  <si>
    <t>OLT02_192P_CHSTVA, 6</t>
  </si>
  <si>
    <t>108 EAST HUNDRED RD</t>
  </si>
  <si>
    <t>116 E HUNDRED RD</t>
  </si>
  <si>
    <t>204 E HUNDRED RD</t>
  </si>
  <si>
    <t>200 E HUNDRED RD</t>
  </si>
  <si>
    <t>OLT02_192P_7S_CHSTVA</t>
  </si>
  <si>
    <t>F 200 EAST HUNDRED RD</t>
  </si>
  <si>
    <t>OLT02_192P_CHSTVA, 7</t>
  </si>
  <si>
    <t>210 E HUNDRED RD</t>
  </si>
  <si>
    <t>220 E HUNDRED RD</t>
  </si>
  <si>
    <t>230 E HUNDRED RD</t>
  </si>
  <si>
    <t>OLT02_192P_8S_CHSTVA</t>
  </si>
  <si>
    <t>F 348 EAST HUNDRED RD</t>
  </si>
  <si>
    <t>OLT02_192P_CHSTVA, 8</t>
  </si>
  <si>
    <t>13241 RIVERS BEND BLVD</t>
  </si>
  <si>
    <t>13301 RIVERS BEND BLVD</t>
  </si>
  <si>
    <t>OLT02_42P_CHSTVA</t>
  </si>
  <si>
    <t>OLT02_42P_CHSTVA, 1 (OLT02_42P_CHSTVA-1)</t>
  </si>
  <si>
    <t>OLT02_42P_CHSTVA, 2 (OLT02_42P_CHSTVA-2)</t>
  </si>
  <si>
    <t>OLT02_42P_CHSTVA, 3 (OLT02_42P_CHSTVA-3)</t>
  </si>
  <si>
    <t>OLT02_42P_CHSTVA, 4 (OLT02_42P_CHSTVA-4)</t>
  </si>
  <si>
    <t>OLT02_42P_CHSTVA, 5 (OLT02_42P_CHSTVA-5)</t>
  </si>
  <si>
    <t>OLT02_42P_CHSTVA, 6 (OLT02_42P_CHSTVA-6)</t>
  </si>
  <si>
    <t>OLT02_42P_CHSTVA, 7 (OLT02_42P_CHSTVA-7)</t>
  </si>
  <si>
    <t>OLT02_42P_CHSTVA, 8 (OLT02_42P_CHSTVA-8)</t>
  </si>
  <si>
    <t>OLT02_191P_CHSTVA</t>
  </si>
  <si>
    <t>OLT02_191P_CHSTVA, 1 (OLT02_191P_CHSTVA-1)</t>
  </si>
  <si>
    <t>OLT02_191P_CHSTVA, 2 (OLT02_191P_CHSTVA-2)</t>
  </si>
  <si>
    <t>OLT02_191P_CHSTVA, 3 (OLT02_191P_CHSTVA-3)</t>
  </si>
  <si>
    <t>OLT02_191P_CHSTVA, 4 (OLT02_191P_CHSTVA-4)</t>
  </si>
  <si>
    <t>OLT02_191P_CHSTVA, 5 (OLT02_191P_CHSTVA-5)</t>
  </si>
  <si>
    <t>OLT02_191P_CHSTVA, 6 (OLT02_191P_CHSTVA-6)</t>
  </si>
  <si>
    <t>OLT02_191P_CHSTVA, 7 (OLT02_191P_CHSTVA-7)</t>
  </si>
  <si>
    <t>OLT02_191P_CHSTVA, 8 (OLT02_191P_CHSTVA-8)</t>
  </si>
  <si>
    <t>OLT02_192P_CHSTVA</t>
  </si>
  <si>
    <t>OLT02_192P_CHSTVA, 1 (OLT02_192P_CHSTVA-1)</t>
  </si>
  <si>
    <t>OLT02_192P_CHSTVA, 2 (OLT02_192P_CHSTVA-2)</t>
  </si>
  <si>
    <t>OLT02_192P_CHSTVA, 3 (OLT02_192P_CHSTVA-3)</t>
  </si>
  <si>
    <t>OLT02_192P_CHSTVA, 4 (OLT02_192P_CHSTVA-4)</t>
  </si>
  <si>
    <t>OLT02_192P_CHSTVA, 5 (OLT02_192P_CHSTVA-5)</t>
  </si>
  <si>
    <t>OLT02_192P_CHSTVA, 6 (OLT02_192P_CHSTVA-6)</t>
  </si>
  <si>
    <t>OLT02_192P_CHSTVA, 7 (OLT02_192P_CHSTVA-7)</t>
  </si>
  <si>
    <t>OLT02_192P_CHSTVA, 8 (OLT02_192P_CHSTVA-8)</t>
  </si>
  <si>
    <t>CHESTER</t>
  </si>
  <si>
    <t>RES-SFU</t>
  </si>
  <si>
    <t>BURIED</t>
  </si>
  <si>
    <t>Y</t>
  </si>
  <si>
    <t>COMM-SU</t>
  </si>
  <si>
    <t>CHST 02-01</t>
  </si>
  <si>
    <t>VL</t>
  </si>
  <si>
    <t>N</t>
  </si>
  <si>
    <t>COM-MTU</t>
  </si>
  <si>
    <t>13200 EAST HUNDRED RD</t>
  </si>
  <si>
    <t>SP-1</t>
  </si>
  <si>
    <t>A</t>
  </si>
  <si>
    <t>NO</t>
  </si>
  <si>
    <t>B</t>
  </si>
  <si>
    <t>C</t>
  </si>
  <si>
    <t>D</t>
  </si>
  <si>
    <t>SP-2</t>
  </si>
  <si>
    <t>SP-3</t>
  </si>
  <si>
    <t>SP-4</t>
  </si>
  <si>
    <t>YES</t>
  </si>
  <si>
    <t>SP-5</t>
  </si>
  <si>
    <t>SP-6</t>
  </si>
  <si>
    <t>SP-7</t>
  </si>
  <si>
    <t>E</t>
  </si>
  <si>
    <t>SP-8</t>
  </si>
  <si>
    <t>SP-9</t>
  </si>
  <si>
    <t>SP-10</t>
  </si>
  <si>
    <t>SP-11</t>
  </si>
  <si>
    <t>SP-12</t>
  </si>
  <si>
    <t>SP-13</t>
  </si>
  <si>
    <t>SP-14</t>
  </si>
  <si>
    <t>SP-15</t>
  </si>
  <si>
    <t>SP-16</t>
  </si>
  <si>
    <t>SP-17</t>
  </si>
  <si>
    <t>SP-18</t>
  </si>
  <si>
    <t>SP-19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</si>
</sst>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8" formatCode="&quot;$&quot;#,##0.00_);[Red]\(&quot;$&quot;#,##0.00\)"/>
    <numFmt numFmtId="44" formatCode="_(&quot;$&quot;* #,##0.00_);_(&quot;$&quot;* \(#,##0.00\);_(&quot;$&quot;* &quot;-&quot;??_);_(@_)"/>
    <numFmt numFmtId="43" formatCode="_(* #,##0.00_);_(* \(#,##0.00\);_(* &quot;-&quot;??_);_(@_)"/>
    <numFmt numFmtId="164" formatCode="&quot;$&quot;#,##0.00"/>
    <numFmt numFmtId="165" formatCode="_([$$-409]* #,##0.00_);_([$$-409]* \(#,##0.00\);_([$$-409]* &quot;-&quot;??_);_(@_)"/>
    <numFmt numFmtId="166" formatCode="#;\-#"/>
    <numFmt numFmtId="167" formatCode="&quot;S&quot;00"/>
  </numFmts>
  <fonts count="56" x14ac:knownFonts="1">
    <font>
      <sz val="11"/>
      <color theme="1"/>
      <name val="Calibri"/>
      <family val="2"/>
      <scheme val="minor"/>
    </font>
    <font>
      <b/>
      <sz val="9"/>
      <color theme="1"/>
      <name val="Calibri"/>
      <family val="2"/>
      <scheme val="minor"/>
    </font>
    <font>
      <b/>
      <sz val="9"/>
      <name val="Calibri"/>
      <family val="2"/>
      <scheme val="minor"/>
    </font>
    <font>
      <sz val="9"/>
      <color theme="1"/>
      <name val="Calibri"/>
      <family val="2"/>
      <scheme val="minor"/>
    </font>
    <font>
      <sz val="10"/>
      <name val="Arial"/>
      <family val="2"/>
    </font>
    <font>
      <sz val="9"/>
      <name val="Calibri"/>
      <family val="2"/>
      <scheme val="minor"/>
    </font>
    <font>
      <sz val="9"/>
      <color rgb="FFFF0000"/>
      <name val="Calibri"/>
      <family val="2"/>
      <scheme val="minor"/>
    </font>
    <font>
      <sz val="11"/>
      <color theme="1"/>
      <name val="Calibri"/>
      <family val="2"/>
      <scheme val="minor"/>
    </font>
    <font>
      <b/>
      <sz val="11"/>
      <color theme="1"/>
      <name val="Calibri"/>
      <family val="2"/>
      <scheme val="minor"/>
    </font>
    <font>
      <b/>
      <sz val="10"/>
      <name val="Arial"/>
      <family val="2"/>
    </font>
    <font>
      <sz val="11"/>
      <name val="Calibri"/>
      <family val="2"/>
      <scheme val="minor"/>
    </font>
    <font>
      <sz val="10"/>
      <name val="Times New Roman"/>
      <family val="1"/>
    </font>
    <font>
      <sz val="12"/>
      <name val="Arial Narrow"/>
      <family val="2"/>
    </font>
    <font>
      <b/>
      <i/>
      <sz val="9"/>
      <color theme="1"/>
      <name val="Calibri"/>
      <family val="2"/>
      <scheme val="minor"/>
    </font>
    <font>
      <b/>
      <sz val="10"/>
      <color theme="1"/>
      <name val="Calibri"/>
      <family val="2"/>
      <scheme val="minor"/>
    </font>
    <font>
      <sz val="10"/>
      <color theme="1"/>
      <name val="Calibri"/>
      <family val="2"/>
      <scheme val="minor"/>
    </font>
    <font>
      <b/>
      <sz val="12"/>
      <color theme="1"/>
      <name val="Calibri"/>
      <family val="2"/>
      <scheme val="minor"/>
    </font>
    <font>
      <sz val="12"/>
      <color rgb="FFFF0000"/>
      <name val="Arial Narrow"/>
      <family val="2"/>
    </font>
    <font>
      <sz val="10"/>
      <color rgb="FFFF0000"/>
      <name val="Times New Roman"/>
      <family val="1"/>
    </font>
    <font>
      <b/>
      <sz val="10"/>
      <name val="Calibri"/>
      <family val="2"/>
      <scheme val="minor"/>
    </font>
    <font>
      <sz val="10"/>
      <name val="Calibri"/>
      <family val="2"/>
      <scheme val="minor"/>
    </font>
    <font>
      <b/>
      <i/>
      <sz val="10"/>
      <color theme="1"/>
      <name val="Calibri"/>
      <family val="2"/>
      <scheme val="minor"/>
    </font>
    <font>
      <i/>
      <sz val="10"/>
      <color theme="1"/>
      <name val="Calibri"/>
      <family val="2"/>
      <scheme val="minor"/>
    </font>
    <font>
      <sz val="10"/>
      <name val="Calibri"/>
      <family val="2"/>
    </font>
    <font>
      <sz val="10"/>
      <color rgb="FFFF0000"/>
      <name val="Calibri"/>
      <family val="2"/>
      <scheme val="minor"/>
    </font>
    <font>
      <strike/>
      <sz val="9"/>
      <name val="Calibri"/>
      <family val="2"/>
      <scheme val="minor"/>
    </font>
    <font>
      <strike/>
      <sz val="9"/>
      <color theme="1"/>
      <name val="Calibri"/>
      <family val="2"/>
      <scheme val="minor"/>
    </font>
    <font>
      <sz val="9"/>
      <color indexed="81"/>
      <name val="Tahoma"/>
      <family val="2"/>
    </font>
    <font>
      <b/>
      <sz val="9"/>
      <color indexed="81"/>
      <name val="Tahoma"/>
      <family val="2"/>
    </font>
    <font>
      <sz val="10"/>
      <color indexed="81"/>
      <name val="Tahoma"/>
      <family val="2"/>
    </font>
    <font>
      <sz val="8"/>
      <name val="Arial"/>
      <family val="2"/>
    </font>
    <font>
      <b/>
      <sz val="12"/>
      <name val="Calibri"/>
      <family val="2"/>
      <scheme val="minor"/>
    </font>
    <font>
      <b/>
      <u/>
      <sz val="10"/>
      <name val="Calibri"/>
      <family val="2"/>
      <scheme val="minor"/>
    </font>
    <font>
      <sz val="11"/>
      <color rgb="FF006100"/>
      <name val="Calibri"/>
      <family val="2"/>
      <scheme val="minor"/>
    </font>
    <font>
      <sz val="11"/>
      <color rgb="FF9C0006"/>
      <name val="Calibri"/>
      <family val="2"/>
      <scheme val="minor"/>
    </font>
    <font>
      <b/>
      <u/>
      <sz val="10"/>
      <color theme="1"/>
      <name val="Calibri"/>
      <family val="2"/>
      <scheme val="minor"/>
    </font>
    <font>
      <strike/>
      <sz val="11"/>
      <color theme="1"/>
      <name val="Calibri"/>
      <family val="2"/>
      <scheme val="minor"/>
    </font>
    <font>
      <b/>
      <u/>
      <sz val="9"/>
      <color theme="1"/>
      <name val="Calibri"/>
      <family val="2"/>
      <scheme val="minor"/>
    </font>
    <font>
      <b/>
      <sz val="12"/>
      <name val="Arial"/>
      <family val="2"/>
    </font>
    <font>
      <u/>
      <sz val="10"/>
      <name val="Arial"/>
      <family val="2"/>
    </font>
    <font>
      <sz val="9"/>
      <name val="Times New Roman"/>
      <family val="1"/>
    </font>
    <font>
      <b/>
      <sz val="10"/>
      <name val="Times New Roman"/>
      <family val="1"/>
    </font>
    <font>
      <sz val="11"/>
      <name val="Calibri"/>
      <family val="2"/>
      <scheme val="minor"/>
    </font>
    <font>
      <b/>
      <sz val="11"/>
      <name val="Calibri"/>
      <family val="2"/>
      <scheme val="minor"/>
    </font>
    <font>
      <b/>
      <sz val="11"/>
      <name val="Bahnschrift Condensed"/>
      <family val="2"/>
    </font>
    <font>
      <sz val="24"/>
      <color theme="1"/>
      <name val="Calibri"/>
      <family val="2"/>
      <scheme val="minor"/>
    </font>
    <font>
      <sz val="10"/>
      <color theme="0"/>
      <name val="Arial"/>
      <family val="2"/>
    </font>
    <font>
      <sz val="10"/>
      <color indexed="9"/>
      <name val="Arial"/>
      <family val="2"/>
    </font>
    <font>
      <sz val="11"/>
      <color rgb="FFFF0000"/>
      <name val="Calibri"/>
      <family val="2"/>
      <scheme val="minor"/>
    </font>
    <font>
      <b/>
      <sz val="12"/>
      <color theme="1"/>
      <name val="Calibri"/>
    </font>
    <font>
      <sz val="11"/>
      <color theme="1"/>
      <name val="Calibri"/>
    </font>
    <font>
      <b/>
      <sz val="11"/>
      <color theme="1"/>
      <name val="Calibri"/>
    </font>
    <font>
      <sz val="22"/>
      <color theme="1"/>
      <name val="Calibri"/>
    </font>
    <font>
      <b/>
      <sz val="14"/>
      <name val="Arial"/>
    </font>
    <font>
      <b/>
      <sz val="14"/>
      <color theme="1"/>
      <name val="Calibri Light"/>
    </font>
    <font>
      <b/>
      <sz val="14"/>
      <color theme="1"/>
      <name val="Calibri"/>
    </font>
  </fonts>
  <fills count="51">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
      <patternFill patternType="solid">
        <fgColor rgb="FFC6EFCE"/>
      </patternFill>
    </fill>
    <fill>
      <patternFill patternType="solid">
        <fgColor rgb="FFFFC7CE"/>
      </patternFill>
    </fill>
    <fill>
      <patternFill patternType="solid">
        <fgColor indexed="22"/>
        <bgColor indexed="64"/>
      </patternFill>
    </fill>
    <fill>
      <patternFill patternType="solid">
        <fgColor theme="0" tint="-0.249977111117893"/>
        <bgColor indexed="64"/>
      </patternFill>
    </fill>
    <fill>
      <patternFill patternType="solid">
        <fgColor rgb="FFFFFFFF"/>
        <bgColor indexed="64"/>
      </patternFill>
    </fill>
    <fill>
      <patternFill patternType="solid">
        <fgColor indexed="12"/>
        <bgColor indexed="64"/>
      </patternFill>
    </fill>
    <fill>
      <patternFill patternType="solid">
        <fgColor indexed="52"/>
        <bgColor indexed="64"/>
      </patternFill>
    </fill>
    <fill>
      <patternFill patternType="solid">
        <fgColor indexed="11"/>
        <bgColor indexed="64"/>
      </patternFill>
    </fill>
    <fill>
      <patternFill patternType="solid">
        <fgColor indexed="16"/>
        <bgColor indexed="64"/>
      </patternFill>
    </fill>
    <fill>
      <patternFill patternType="solid">
        <fgColor indexed="55"/>
        <bgColor indexed="64"/>
      </patternFill>
    </fill>
    <fill>
      <patternFill patternType="solid">
        <fgColor indexed="9"/>
        <bgColor indexed="64"/>
      </patternFill>
    </fill>
    <fill>
      <patternFill patternType="solid">
        <fgColor indexed="10"/>
        <bgColor indexed="64"/>
      </patternFill>
    </fill>
    <fill>
      <patternFill patternType="solid">
        <fgColor indexed="8"/>
        <bgColor indexed="64"/>
      </patternFill>
    </fill>
    <fill>
      <patternFill patternType="solid">
        <fgColor indexed="13"/>
        <bgColor indexed="64"/>
      </patternFill>
    </fill>
    <fill>
      <patternFill patternType="solid">
        <fgColor indexed="46"/>
        <bgColor indexed="64"/>
      </patternFill>
    </fill>
    <fill>
      <patternFill patternType="solid">
        <fgColor indexed="45"/>
        <bgColor indexed="64"/>
      </patternFill>
    </fill>
    <fill>
      <patternFill patternType="solid">
        <fgColor indexed="15"/>
        <bgColor indexed="64"/>
      </patternFill>
    </fill>
    <fill>
      <patternFill patternType="solid">
        <fgColor rgb="FF0000FF"/>
        <bgColor indexed="64"/>
      </patternFill>
    </fill>
    <fill>
      <patternFill patternType="solid">
        <fgColor rgb="FFFF9900"/>
        <bgColor indexed="64"/>
      </patternFill>
    </fill>
    <fill>
      <patternFill patternType="solid">
        <fgColor rgb="FF00FF00"/>
        <bgColor indexed="64"/>
      </patternFill>
    </fill>
    <fill>
      <patternFill patternType="solid">
        <fgColor rgb="FF800000"/>
        <bgColor indexed="64"/>
      </patternFill>
    </fill>
    <fill>
      <patternFill patternType="solid">
        <fgColor rgb="FF969696"/>
        <bgColor indexed="64"/>
      </patternFill>
    </fill>
    <fill>
      <patternFill patternType="solid">
        <fgColor rgb="FFFF0000"/>
        <bgColor indexed="64"/>
      </patternFill>
    </fill>
    <fill>
      <patternFill patternType="solid">
        <fgColor rgb="FF000000"/>
        <bgColor indexed="64"/>
      </patternFill>
    </fill>
    <fill>
      <patternFill patternType="solid">
        <fgColor rgb="FFCC99FF"/>
        <bgColor indexed="64"/>
      </patternFill>
    </fill>
    <fill>
      <patternFill patternType="solid">
        <fgColor rgb="FFFF99CC"/>
        <bgColor indexed="64"/>
      </patternFill>
    </fill>
    <fill>
      <patternFill patternType="solid">
        <fgColor rgb="FF00FFFF"/>
        <bgColor indexed="64"/>
      </patternFill>
    </fill>
    <fill>
      <patternFill patternType="solid">
        <fgColor theme="3" tint="0.79995117038483843"/>
        <bgColor indexed="65"/>
      </patternFill>
    </fill>
    <fill>
      <patternFill patternType="solid">
        <fgColor indexed="10"/>
      </patternFill>
    </fill>
    <fill>
      <patternFill patternType="solid">
        <fgColor indexed="12"/>
      </patternFill>
    </fill>
    <fill>
      <patternFill patternType="solid">
        <fgColor theme="4" tint="0.59996337778862885"/>
        <bgColor indexed="65"/>
      </patternFill>
    </fill>
    <fill>
      <patternFill patternType="solid">
        <fgColor theme="0"/>
      </patternFill>
    </fill>
    <fill>
      <patternFill patternType="solid">
        <fgColor indexed="52"/>
      </patternFill>
    </fill>
    <fill>
      <patternFill patternType="solid">
        <fgColor indexed="11"/>
      </patternFill>
    </fill>
    <fill>
      <patternFill patternType="solid">
        <fgColor indexed="16"/>
      </patternFill>
    </fill>
    <fill>
      <patternFill patternType="solid">
        <fgColor indexed="55"/>
      </patternFill>
    </fill>
    <fill>
      <patternFill patternType="solid">
        <fgColor indexed="9"/>
      </patternFill>
    </fill>
    <fill>
      <patternFill patternType="solid">
        <fgColor indexed="8"/>
      </patternFill>
    </fill>
    <fill>
      <patternFill patternType="solid">
        <fgColor indexed="13"/>
      </patternFill>
    </fill>
    <fill>
      <patternFill patternType="solid">
        <fgColor indexed="46"/>
      </patternFill>
    </fill>
    <fill>
      <patternFill patternType="solid">
        <fgColor indexed="45"/>
      </patternFill>
    </fill>
    <fill>
      <patternFill patternType="solid">
        <fgColor indexed="15"/>
      </patternFill>
    </fill>
  </fills>
  <borders count="8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diagonal/>
    </border>
    <border>
      <left style="medium">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ck">
        <color indexed="64"/>
      </bottom>
      <diagonal/>
    </border>
    <border>
      <left style="double">
        <color auto="1"/>
      </left>
      <right style="double">
        <color auto="1"/>
      </right>
      <top style="double">
        <color auto="1"/>
      </top>
      <bottom style="double">
        <color auto="1"/>
      </bottom>
      <diagonal/>
    </border>
    <border>
      <left style="thin">
        <color indexed="64"/>
      </left>
      <right style="dashed">
        <color indexed="64"/>
      </right>
      <top style="thin">
        <color indexed="64"/>
      </top>
      <bottom/>
      <diagonal/>
    </border>
    <border>
      <left style="thin">
        <color indexed="64"/>
      </left>
      <right style="dashed">
        <color indexed="64"/>
      </right>
      <top/>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style="thin">
        <color indexed="64"/>
      </right>
      <top style="thin">
        <color indexed="64"/>
      </top>
      <bottom style="dashed">
        <color indexed="64"/>
      </bottom>
      <diagonal/>
    </border>
    <border>
      <left style="thin">
        <color indexed="64"/>
      </left>
      <right style="thin">
        <color indexed="64"/>
      </right>
      <top style="dashed">
        <color indexed="64"/>
      </top>
      <bottom style="dashed">
        <color indexed="64"/>
      </bottom>
      <diagonal/>
    </border>
    <border>
      <left style="thin">
        <color indexed="64"/>
      </left>
      <right/>
      <top style="dashed">
        <color indexed="64"/>
      </top>
      <bottom style="dashed">
        <color indexed="64"/>
      </bottom>
      <diagonal/>
    </border>
    <border>
      <left/>
      <right style="thin">
        <color indexed="64"/>
      </right>
      <top style="dashed">
        <color indexed="64"/>
      </top>
      <bottom style="dashed">
        <color indexed="64"/>
      </bottom>
      <diagonal/>
    </border>
    <border>
      <left/>
      <right style="thin">
        <color indexed="64"/>
      </right>
      <top/>
      <bottom style="dashed">
        <color indexed="64"/>
      </bottom>
      <diagonal/>
    </border>
    <border>
      <left/>
      <right/>
      <top style="dashed">
        <color indexed="64"/>
      </top>
      <bottom style="dashed">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right/>
      <top style="thin">
        <color indexed="64"/>
      </top>
      <bottom style="dashed">
        <color indexed="64"/>
      </bottom>
      <diagonal/>
    </border>
    <border>
      <left style="dashed">
        <color indexed="64"/>
      </left>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dashed">
        <color indexed="64"/>
      </right>
      <top/>
      <bottom/>
      <diagonal/>
    </border>
    <border>
      <left style="dashed">
        <color indexed="64"/>
      </left>
      <right style="dashed">
        <color indexed="64"/>
      </right>
      <top style="thin">
        <color indexed="64"/>
      </top>
      <bottom/>
      <diagonal/>
    </border>
    <border>
      <left style="medium">
        <color auto="1"/>
      </left>
      <right/>
      <top/>
      <bottom style="thin">
        <color auto="1"/>
      </bottom>
      <diagonal/>
    </border>
    <border>
      <left/>
      <right style="medium">
        <color auto="1"/>
      </right>
      <top/>
      <bottom style="thin">
        <color auto="1"/>
      </bottom>
      <diagonal/>
    </border>
    <border>
      <left style="dashed">
        <color auto="1"/>
      </left>
      <right style="dashed">
        <color auto="1"/>
      </right>
      <top style="thin">
        <color auto="1"/>
      </top>
      <bottom style="thin">
        <color auto="1"/>
      </bottom>
      <diagonal/>
    </border>
    <border>
      <left style="dashed">
        <color auto="1"/>
      </left>
      <right style="thin">
        <color auto="1"/>
      </right>
      <top/>
      <bottom/>
      <diagonal/>
    </border>
    <border>
      <left/>
      <right style="dashed">
        <color auto="1"/>
      </right>
      <top/>
      <bottom/>
      <diagonal/>
    </border>
    <border>
      <left/>
      <right/>
      <top style="thin">
        <color indexed="64"/>
      </top>
      <bottom/>
      <diagonal/>
    </border>
  </borders>
  <cellStyleXfs count="13">
    <xf numFmtId="0" fontId="0" fillId="0" borderId="0"/>
    <xf numFmtId="0" fontId="4" fillId="0" borderId="0"/>
    <xf numFmtId="44" fontId="7" fillId="0" borderId="0" applyFont="0" applyFill="0" applyBorder="0" applyAlignment="0" applyProtection="0"/>
    <xf numFmtId="0" fontId="4" fillId="0" borderId="0"/>
    <xf numFmtId="44" fontId="4" fillId="0" borderId="0" applyFont="0" applyFill="0" applyBorder="0" applyAlignment="0" applyProtection="0"/>
    <xf numFmtId="44" fontId="4" fillId="0" borderId="0" applyFont="0" applyFill="0" applyBorder="0" applyAlignment="0" applyProtection="0"/>
    <xf numFmtId="0" fontId="4" fillId="0" borderId="0"/>
    <xf numFmtId="0" fontId="7" fillId="0" borderId="0"/>
    <xf numFmtId="0" fontId="30" fillId="0" borderId="0"/>
    <xf numFmtId="0" fontId="33" fillId="9" borderId="0" applyNumberFormat="0" applyBorder="0" applyAlignment="0" applyProtection="0"/>
    <xf numFmtId="0" fontId="34" fillId="10" borderId="0" applyNumberFormat="0" applyBorder="0" applyAlignment="0" applyProtection="0"/>
    <xf numFmtId="165" fontId="4" fillId="0" borderId="0"/>
    <xf numFmtId="165" fontId="7" fillId="0" borderId="0"/>
  </cellStyleXfs>
  <cellXfs count="1107">
    <xf numFmtId="0" fontId="0" fillId="0" borderId="0" xfId="0"/>
    <xf numFmtId="0" fontId="3" fillId="0" borderId="27" xfId="0" applyFont="1" applyBorder="1" applyAlignment="1">
      <alignment horizontal="center"/>
    </xf>
    <xf numFmtId="0" fontId="5" fillId="0" borderId="27" xfId="1" applyFont="1" applyBorder="1"/>
    <xf numFmtId="0" fontId="3" fillId="2" borderId="22" xfId="0" applyFont="1" applyFill="1" applyBorder="1" applyAlignment="1">
      <alignment horizontal="center"/>
    </xf>
    <xf numFmtId="0" fontId="3" fillId="2" borderId="27" xfId="0" applyFont="1" applyFill="1" applyBorder="1" applyAlignment="1" applyProtection="1">
      <alignment horizontal="center"/>
      <protection locked="0"/>
    </xf>
    <xf numFmtId="0" fontId="3" fillId="2" borderId="27" xfId="0" applyFont="1" applyFill="1" applyBorder="1" applyAlignment="1">
      <alignment horizontal="center"/>
    </xf>
    <xf numFmtId="0" fontId="3" fillId="2" borderId="30" xfId="0" applyFont="1" applyFill="1" applyBorder="1" applyAlignment="1">
      <alignment horizontal="center"/>
    </xf>
    <xf numFmtId="0" fontId="1" fillId="2" borderId="6" xfId="0" applyFont="1" applyFill="1" applyBorder="1" applyAlignment="1">
      <alignment horizontal="center"/>
    </xf>
    <xf numFmtId="0" fontId="3" fillId="0" borderId="23" xfId="0" applyFont="1" applyBorder="1" applyAlignment="1">
      <alignment horizontal="center"/>
    </xf>
    <xf numFmtId="0" fontId="1" fillId="0" borderId="6" xfId="0" applyFont="1" applyBorder="1" applyAlignment="1">
      <alignment horizontal="center"/>
    </xf>
    <xf numFmtId="0" fontId="3" fillId="0" borderId="22" xfId="0" applyFont="1" applyBorder="1" applyAlignment="1">
      <alignment horizontal="center"/>
    </xf>
    <xf numFmtId="0" fontId="1" fillId="0" borderId="0" xfId="0" applyFont="1" applyAlignment="1">
      <alignment horizontal="left"/>
    </xf>
    <xf numFmtId="0" fontId="3" fillId="0" borderId="0" xfId="0" applyFont="1" applyAlignment="1">
      <alignment horizontal="center"/>
    </xf>
    <xf numFmtId="4" fontId="3" fillId="0" borderId="0" xfId="0" applyNumberFormat="1" applyFont="1" applyAlignment="1">
      <alignment horizontal="center"/>
    </xf>
    <xf numFmtId="0" fontId="3" fillId="2" borderId="23" xfId="0" applyFont="1" applyFill="1" applyBorder="1" applyAlignment="1">
      <alignment horizontal="center"/>
    </xf>
    <xf numFmtId="0" fontId="3" fillId="2" borderId="27" xfId="0" applyFont="1" applyFill="1" applyBorder="1" applyAlignment="1">
      <alignment horizontal="left"/>
    </xf>
    <xf numFmtId="4" fontId="3" fillId="2" borderId="27" xfId="0" applyNumberFormat="1" applyFont="1" applyFill="1" applyBorder="1" applyAlignment="1">
      <alignment horizontal="center"/>
    </xf>
    <xf numFmtId="0" fontId="3" fillId="0" borderId="45" xfId="0" applyFont="1" applyBorder="1" applyAlignment="1">
      <alignment horizontal="center"/>
    </xf>
    <xf numFmtId="0" fontId="3" fillId="0" borderId="45" xfId="0" applyFont="1" applyBorder="1" applyAlignment="1">
      <alignment horizontal="left"/>
    </xf>
    <xf numFmtId="4" fontId="3" fillId="0" borderId="45" xfId="0" applyNumberFormat="1" applyFont="1" applyBorder="1" applyAlignment="1">
      <alignment horizontal="center"/>
    </xf>
    <xf numFmtId="0" fontId="3" fillId="0" borderId="27" xfId="0" applyFont="1" applyBorder="1" applyAlignment="1">
      <alignment horizontal="left"/>
    </xf>
    <xf numFmtId="4" fontId="3" fillId="0" borderId="27" xfId="0" applyNumberFormat="1" applyFont="1" applyBorder="1" applyAlignment="1">
      <alignment horizontal="center"/>
    </xf>
    <xf numFmtId="0" fontId="5" fillId="2" borderId="45" xfId="1" applyFont="1" applyFill="1" applyBorder="1" applyAlignment="1">
      <alignment horizontal="center"/>
    </xf>
    <xf numFmtId="0" fontId="5" fillId="2" borderId="45" xfId="1" applyFont="1" applyFill="1" applyBorder="1"/>
    <xf numFmtId="0" fontId="5" fillId="2" borderId="27" xfId="1" applyFont="1" applyFill="1" applyBorder="1" applyAlignment="1">
      <alignment horizontal="center"/>
    </xf>
    <xf numFmtId="0" fontId="5" fillId="2" borderId="27" xfId="1" applyFont="1" applyFill="1" applyBorder="1"/>
    <xf numFmtId="4" fontId="5" fillId="2" borderId="27" xfId="1" applyNumberFormat="1" applyFont="1" applyFill="1" applyBorder="1" applyAlignment="1">
      <alignment horizontal="center"/>
    </xf>
    <xf numFmtId="0" fontId="5" fillId="2" borderId="27" xfId="1" applyFont="1" applyFill="1" applyBorder="1" applyProtection="1">
      <protection locked="0"/>
    </xf>
    <xf numFmtId="0" fontId="5" fillId="2" borderId="27" xfId="1" applyFont="1" applyFill="1" applyBorder="1" applyAlignment="1" applyProtection="1">
      <alignment horizontal="center"/>
      <protection locked="0"/>
    </xf>
    <xf numFmtId="4" fontId="5" fillId="2" borderId="27" xfId="1" applyNumberFormat="1" applyFont="1" applyFill="1" applyBorder="1" applyAlignment="1" applyProtection="1">
      <alignment horizontal="center"/>
      <protection locked="0"/>
    </xf>
    <xf numFmtId="0" fontId="5" fillId="0" borderId="27" xfId="0" applyFont="1" applyBorder="1" applyAlignment="1">
      <alignment horizontal="center"/>
    </xf>
    <xf numFmtId="4" fontId="5" fillId="0" borderId="27" xfId="1" applyNumberFormat="1" applyFont="1" applyBorder="1" applyAlignment="1">
      <alignment horizontal="center"/>
    </xf>
    <xf numFmtId="0" fontId="5" fillId="0" borderId="27" xfId="3" applyFont="1" applyBorder="1"/>
    <xf numFmtId="0" fontId="5" fillId="0" borderId="27" xfId="3" applyFont="1" applyBorder="1" applyAlignment="1">
      <alignment vertical="center"/>
    </xf>
    <xf numFmtId="0" fontId="5" fillId="0" borderId="27" xfId="1" applyFont="1" applyBorder="1" applyAlignment="1">
      <alignment horizontal="center"/>
    </xf>
    <xf numFmtId="0" fontId="5" fillId="0" borderId="27" xfId="1" applyFont="1" applyBorder="1" applyProtection="1">
      <protection locked="0"/>
    </xf>
    <xf numFmtId="0" fontId="5" fillId="0" borderId="27" xfId="1" applyFont="1" applyBorder="1" applyAlignment="1" applyProtection="1">
      <alignment horizontal="center"/>
      <protection locked="0"/>
    </xf>
    <xf numFmtId="4" fontId="5" fillId="0" borderId="27" xfId="1" applyNumberFormat="1" applyFont="1" applyBorder="1" applyAlignment="1" applyProtection="1">
      <alignment horizontal="center"/>
      <protection locked="0"/>
    </xf>
    <xf numFmtId="0" fontId="5" fillId="2" borderId="27" xfId="1" applyFont="1" applyFill="1" applyBorder="1" applyAlignment="1">
      <alignment vertical="center"/>
    </xf>
    <xf numFmtId="4" fontId="5" fillId="2" borderId="27" xfId="4" applyNumberFormat="1" applyFont="1" applyFill="1" applyBorder="1" applyAlignment="1" applyProtection="1">
      <alignment horizontal="center"/>
    </xf>
    <xf numFmtId="0" fontId="5" fillId="0" borderId="45" xfId="1" applyFont="1" applyBorder="1" applyAlignment="1">
      <alignment horizontal="center"/>
    </xf>
    <xf numFmtId="0" fontId="5" fillId="0" borderId="45" xfId="1" applyFont="1" applyBorder="1" applyAlignment="1">
      <alignment vertical="center"/>
    </xf>
    <xf numFmtId="0" fontId="5" fillId="0" borderId="27" xfId="1" applyFont="1" applyBorder="1" applyAlignment="1">
      <alignment vertical="center"/>
    </xf>
    <xf numFmtId="0" fontId="1" fillId="2" borderId="16" xfId="0" applyFont="1" applyFill="1" applyBorder="1" applyAlignment="1">
      <alignment horizontal="center"/>
    </xf>
    <xf numFmtId="4" fontId="1" fillId="2" borderId="6" xfId="0" applyNumberFormat="1" applyFont="1" applyFill="1" applyBorder="1" applyAlignment="1">
      <alignment horizontal="center"/>
    </xf>
    <xf numFmtId="0" fontId="3" fillId="2" borderId="16" xfId="0" applyFont="1" applyFill="1" applyBorder="1" applyAlignment="1">
      <alignment horizontal="center"/>
    </xf>
    <xf numFmtId="0" fontId="3" fillId="2" borderId="27" xfId="0" applyFont="1" applyFill="1" applyBorder="1"/>
    <xf numFmtId="0" fontId="3" fillId="0" borderId="0" xfId="0" applyFont="1" applyAlignment="1" applyProtection="1">
      <alignment horizontal="center"/>
      <protection locked="0"/>
    </xf>
    <xf numFmtId="0" fontId="1" fillId="0" borderId="0" xfId="0" applyFont="1" applyAlignment="1" applyProtection="1">
      <alignment horizontal="center"/>
      <protection locked="0"/>
    </xf>
    <xf numFmtId="0" fontId="3" fillId="0" borderId="0" xfId="0" applyFont="1"/>
    <xf numFmtId="0" fontId="3" fillId="0" borderId="37" xfId="0" applyFont="1" applyBorder="1" applyAlignment="1" applyProtection="1">
      <alignment horizontal="center"/>
      <protection locked="0"/>
    </xf>
    <xf numFmtId="164" fontId="3" fillId="0" borderId="0" xfId="0" applyNumberFormat="1" applyFont="1" applyAlignment="1" applyProtection="1">
      <alignment horizontal="center"/>
      <protection locked="0"/>
    </xf>
    <xf numFmtId="0" fontId="3" fillId="0" borderId="45" xfId="0" applyFont="1" applyBorder="1" applyAlignment="1" applyProtection="1">
      <alignment horizontal="center"/>
      <protection locked="0"/>
    </xf>
    <xf numFmtId="0" fontId="3" fillId="0" borderId="27" xfId="0" applyFont="1" applyBorder="1" applyAlignment="1" applyProtection="1">
      <alignment horizontal="center"/>
      <protection locked="0"/>
    </xf>
    <xf numFmtId="0" fontId="3" fillId="2" borderId="45" xfId="0" applyFont="1" applyFill="1" applyBorder="1" applyAlignment="1" applyProtection="1">
      <alignment horizontal="center"/>
      <protection locked="0"/>
    </xf>
    <xf numFmtId="0" fontId="3" fillId="0" borderId="30" xfId="0" applyFont="1" applyBorder="1" applyAlignment="1" applyProtection="1">
      <alignment horizontal="center"/>
      <protection locked="0"/>
    </xf>
    <xf numFmtId="0" fontId="1" fillId="0" borderId="0" xfId="0" applyFont="1"/>
    <xf numFmtId="0" fontId="0" fillId="0" borderId="0" xfId="0" applyProtection="1">
      <protection locked="0"/>
    </xf>
    <xf numFmtId="164" fontId="1" fillId="2" borderId="7" xfId="0" applyNumberFormat="1" applyFont="1" applyFill="1" applyBorder="1" applyAlignment="1">
      <alignment horizontal="center"/>
    </xf>
    <xf numFmtId="164" fontId="3" fillId="2" borderId="24" xfId="0" applyNumberFormat="1" applyFont="1" applyFill="1" applyBorder="1" applyAlignment="1">
      <alignment horizontal="center"/>
    </xf>
    <xf numFmtId="164" fontId="3" fillId="2" borderId="28" xfId="0" applyNumberFormat="1" applyFont="1" applyFill="1" applyBorder="1" applyAlignment="1">
      <alignment horizontal="center"/>
    </xf>
    <xf numFmtId="164" fontId="1" fillId="2" borderId="11" xfId="0" applyNumberFormat="1" applyFont="1" applyFill="1" applyBorder="1" applyAlignment="1">
      <alignment horizontal="center"/>
    </xf>
    <xf numFmtId="164" fontId="1" fillId="0" borderId="7" xfId="0" applyNumberFormat="1" applyFont="1" applyBorder="1" applyAlignment="1">
      <alignment horizontal="center"/>
    </xf>
    <xf numFmtId="164" fontId="3" fillId="0" borderId="24" xfId="0" applyNumberFormat="1" applyFont="1" applyBorder="1" applyAlignment="1">
      <alignment horizontal="center"/>
    </xf>
    <xf numFmtId="164" fontId="3" fillId="2" borderId="46" xfId="0" applyNumberFormat="1" applyFont="1" applyFill="1" applyBorder="1" applyAlignment="1">
      <alignment horizontal="center"/>
    </xf>
    <xf numFmtId="0" fontId="3" fillId="2" borderId="54" xfId="0" applyFont="1" applyFill="1" applyBorder="1" applyAlignment="1">
      <alignment horizontal="center"/>
    </xf>
    <xf numFmtId="0" fontId="3" fillId="2" borderId="30" xfId="0" applyFont="1" applyFill="1" applyBorder="1"/>
    <xf numFmtId="0" fontId="3" fillId="2" borderId="44" xfId="0" applyFont="1" applyFill="1" applyBorder="1" applyAlignment="1">
      <alignment horizontal="center"/>
    </xf>
    <xf numFmtId="0" fontId="0" fillId="0" borderId="0" xfId="0" applyAlignment="1" applyProtection="1">
      <alignment horizontal="left"/>
      <protection locked="0"/>
    </xf>
    <xf numFmtId="0" fontId="11" fillId="0" borderId="0" xfId="0" applyFont="1" applyProtection="1">
      <protection locked="0"/>
    </xf>
    <xf numFmtId="0" fontId="3" fillId="2" borderId="27" xfId="0" applyFont="1" applyFill="1" applyBorder="1" applyAlignment="1">
      <alignment horizontal="left" wrapText="1"/>
    </xf>
    <xf numFmtId="0" fontId="3" fillId="2" borderId="23" xfId="0" applyFont="1" applyFill="1" applyBorder="1" applyAlignment="1">
      <alignment horizontal="center" vertical="center"/>
    </xf>
    <xf numFmtId="0" fontId="3" fillId="2" borderId="27" xfId="0" applyFont="1" applyFill="1" applyBorder="1" applyAlignment="1" applyProtection="1">
      <alignment horizontal="center" vertical="center"/>
      <protection locked="0"/>
    </xf>
    <xf numFmtId="4" fontId="3" fillId="2" borderId="27" xfId="0" applyNumberFormat="1" applyFont="1" applyFill="1" applyBorder="1" applyAlignment="1">
      <alignment horizontal="center" vertical="center"/>
    </xf>
    <xf numFmtId="164" fontId="3" fillId="0" borderId="46" xfId="0" applyNumberFormat="1" applyFont="1" applyBorder="1" applyAlignment="1">
      <alignment horizontal="center"/>
    </xf>
    <xf numFmtId="164" fontId="3" fillId="2" borderId="24" xfId="0" applyNumberFormat="1" applyFont="1" applyFill="1" applyBorder="1" applyAlignment="1">
      <alignment horizontal="center" vertical="center"/>
    </xf>
    <xf numFmtId="0" fontId="5" fillId="2" borderId="27" xfId="0" applyFont="1" applyFill="1" applyBorder="1" applyAlignment="1" applyProtection="1">
      <alignment horizontal="center"/>
      <protection locked="0"/>
    </xf>
    <xf numFmtId="0" fontId="12" fillId="0" borderId="0" xfId="0" applyFont="1" applyAlignment="1">
      <alignment horizontal="center"/>
    </xf>
    <xf numFmtId="44" fontId="12" fillId="0" borderId="0" xfId="0" applyNumberFormat="1" applyFont="1" applyAlignment="1">
      <alignment horizontal="right"/>
    </xf>
    <xf numFmtId="0" fontId="3" fillId="0" borderId="30" xfId="0" applyFont="1" applyBorder="1" applyAlignment="1">
      <alignment horizontal="center"/>
    </xf>
    <xf numFmtId="0" fontId="3" fillId="0" borderId="30" xfId="0" applyFont="1" applyBorder="1" applyAlignment="1">
      <alignment horizontal="left"/>
    </xf>
    <xf numFmtId="2" fontId="3" fillId="0" borderId="30" xfId="0" applyNumberFormat="1" applyFont="1" applyBorder="1" applyAlignment="1">
      <alignment horizontal="center"/>
    </xf>
    <xf numFmtId="2" fontId="3" fillId="0" borderId="45" xfId="0" applyNumberFormat="1" applyFont="1" applyBorder="1" applyAlignment="1">
      <alignment horizontal="center"/>
    </xf>
    <xf numFmtId="164" fontId="1" fillId="2" borderId="3" xfId="0" applyNumberFormat="1" applyFont="1" applyFill="1" applyBorder="1" applyAlignment="1">
      <alignment horizontal="center"/>
    </xf>
    <xf numFmtId="164" fontId="3" fillId="0" borderId="28" xfId="0" applyNumberFormat="1" applyFont="1" applyBorder="1" applyAlignment="1">
      <alignment horizontal="center"/>
    </xf>
    <xf numFmtId="0" fontId="3" fillId="2" borderId="45" xfId="0" applyFont="1" applyFill="1" applyBorder="1" applyAlignment="1">
      <alignment horizontal="center"/>
    </xf>
    <xf numFmtId="0" fontId="3" fillId="2" borderId="45" xfId="0" applyFont="1" applyFill="1" applyBorder="1"/>
    <xf numFmtId="4" fontId="3" fillId="2" borderId="45" xfId="0" applyNumberFormat="1" applyFont="1" applyFill="1" applyBorder="1" applyAlignment="1">
      <alignment horizontal="center"/>
    </xf>
    <xf numFmtId="0" fontId="3" fillId="0" borderId="54" xfId="0" applyFont="1" applyBorder="1" applyAlignment="1">
      <alignment horizontal="center"/>
    </xf>
    <xf numFmtId="0" fontId="1" fillId="0" borderId="16" xfId="0" applyFont="1" applyBorder="1" applyAlignment="1">
      <alignment horizontal="center"/>
    </xf>
    <xf numFmtId="0" fontId="1" fillId="4" borderId="1" xfId="0" applyFont="1" applyFill="1" applyBorder="1" applyAlignment="1">
      <alignment horizontal="center"/>
    </xf>
    <xf numFmtId="0" fontId="1" fillId="4" borderId="2" xfId="0" applyFont="1" applyFill="1" applyBorder="1" applyAlignment="1">
      <alignment horizontal="center"/>
    </xf>
    <xf numFmtId="0" fontId="1" fillId="4" borderId="1" xfId="0" applyFont="1" applyFill="1" applyBorder="1" applyAlignment="1">
      <alignment horizontal="left"/>
    </xf>
    <xf numFmtId="0" fontId="3" fillId="2" borderId="1" xfId="0" applyFont="1" applyFill="1" applyBorder="1" applyAlignment="1">
      <alignment horizontal="center"/>
    </xf>
    <xf numFmtId="0" fontId="13" fillId="2" borderId="1" xfId="0" applyFont="1" applyFill="1" applyBorder="1" applyAlignment="1">
      <alignment horizontal="left"/>
    </xf>
    <xf numFmtId="164" fontId="1" fillId="4" borderId="3" xfId="0" applyNumberFormat="1" applyFont="1" applyFill="1" applyBorder="1" applyAlignment="1">
      <alignment horizontal="center"/>
    </xf>
    <xf numFmtId="164" fontId="3" fillId="2" borderId="48" xfId="0" applyNumberFormat="1" applyFont="1" applyFill="1" applyBorder="1" applyAlignment="1">
      <alignment horizontal="center"/>
    </xf>
    <xf numFmtId="0" fontId="3" fillId="2" borderId="2" xfId="0" applyFont="1" applyFill="1" applyBorder="1" applyAlignment="1">
      <alignment horizontal="center"/>
    </xf>
    <xf numFmtId="0" fontId="3" fillId="2" borderId="13" xfId="0" applyFont="1" applyFill="1" applyBorder="1" applyAlignment="1">
      <alignment horizontal="center"/>
    </xf>
    <xf numFmtId="0" fontId="1" fillId="2" borderId="31" xfId="0" applyFont="1" applyFill="1" applyBorder="1" applyAlignment="1">
      <alignment horizontal="center"/>
    </xf>
    <xf numFmtId="0" fontId="1" fillId="2" borderId="13" xfId="0" applyFont="1" applyFill="1" applyBorder="1" applyAlignment="1">
      <alignment horizontal="center"/>
    </xf>
    <xf numFmtId="0" fontId="3" fillId="0" borderId="1" xfId="0" applyFont="1" applyBorder="1" applyAlignment="1">
      <alignment horizontal="center"/>
    </xf>
    <xf numFmtId="164" fontId="1" fillId="2" borderId="14" xfId="0" applyNumberFormat="1" applyFont="1" applyFill="1" applyBorder="1" applyAlignment="1">
      <alignment horizontal="center"/>
    </xf>
    <xf numFmtId="0" fontId="3" fillId="2" borderId="42" xfId="0" applyFont="1" applyFill="1" applyBorder="1" applyAlignment="1">
      <alignment horizontal="center"/>
    </xf>
    <xf numFmtId="0" fontId="1" fillId="4" borderId="31" xfId="0" applyFont="1" applyFill="1" applyBorder="1" applyAlignment="1">
      <alignment horizontal="center"/>
    </xf>
    <xf numFmtId="164" fontId="1" fillId="4" borderId="32" xfId="0" applyNumberFormat="1" applyFont="1" applyFill="1" applyBorder="1" applyAlignment="1">
      <alignment horizontal="center"/>
    </xf>
    <xf numFmtId="0" fontId="3" fillId="2" borderId="42" xfId="0" applyFont="1" applyFill="1" applyBorder="1" applyAlignment="1">
      <alignment horizontal="left"/>
    </xf>
    <xf numFmtId="0" fontId="3" fillId="2" borderId="30" xfId="0" applyFont="1" applyFill="1" applyBorder="1" applyAlignment="1" applyProtection="1">
      <alignment horizontal="center"/>
      <protection locked="0"/>
    </xf>
    <xf numFmtId="4" fontId="3" fillId="2" borderId="30" xfId="0" applyNumberFormat="1" applyFont="1" applyFill="1" applyBorder="1" applyAlignment="1">
      <alignment horizontal="center"/>
    </xf>
    <xf numFmtId="0" fontId="0" fillId="0" borderId="0" xfId="0" applyAlignment="1" applyProtection="1">
      <alignment horizontal="center"/>
      <protection locked="0"/>
    </xf>
    <xf numFmtId="0" fontId="3" fillId="0" borderId="16" xfId="0" applyFont="1" applyBorder="1" applyAlignment="1">
      <alignment horizontal="center"/>
    </xf>
    <xf numFmtId="0" fontId="3" fillId="0" borderId="6" xfId="0" applyFont="1" applyBorder="1" applyAlignment="1" applyProtection="1">
      <alignment horizontal="center"/>
      <protection locked="0"/>
    </xf>
    <xf numFmtId="0" fontId="3" fillId="0" borderId="6" xfId="0" applyFont="1" applyBorder="1" applyAlignment="1">
      <alignment horizontal="center"/>
    </xf>
    <xf numFmtId="0" fontId="3" fillId="0" borderId="6" xfId="0" applyFont="1" applyBorder="1" applyAlignment="1">
      <alignment horizontal="left"/>
    </xf>
    <xf numFmtId="2" fontId="3" fillId="0" borderId="6" xfId="0" applyNumberFormat="1" applyFont="1" applyBorder="1" applyAlignment="1">
      <alignment horizontal="center"/>
    </xf>
    <xf numFmtId="164" fontId="3" fillId="0" borderId="7" xfId="0" applyNumberFormat="1" applyFont="1" applyBorder="1" applyAlignment="1">
      <alignment horizontal="center"/>
    </xf>
    <xf numFmtId="164" fontId="3" fillId="4" borderId="3" xfId="0" applyNumberFormat="1" applyFont="1" applyFill="1" applyBorder="1" applyAlignment="1">
      <alignment horizontal="center"/>
    </xf>
    <xf numFmtId="0" fontId="1" fillId="2" borderId="41" xfId="0" applyFont="1" applyFill="1" applyBorder="1" applyAlignment="1">
      <alignment horizontal="center"/>
    </xf>
    <xf numFmtId="4" fontId="1" fillId="2" borderId="13" xfId="0" applyNumberFormat="1" applyFont="1" applyFill="1" applyBorder="1" applyAlignment="1">
      <alignment horizontal="center"/>
    </xf>
    <xf numFmtId="4" fontId="1" fillId="4" borderId="2" xfId="0" applyNumberFormat="1" applyFont="1" applyFill="1" applyBorder="1" applyAlignment="1">
      <alignment horizontal="center"/>
    </xf>
    <xf numFmtId="0" fontId="3" fillId="4" borderId="31" xfId="0" applyFont="1" applyFill="1" applyBorder="1" applyAlignment="1">
      <alignment horizontal="center"/>
    </xf>
    <xf numFmtId="0" fontId="1" fillId="0" borderId="1" xfId="0" applyFont="1" applyBorder="1" applyAlignment="1">
      <alignment horizontal="center"/>
    </xf>
    <xf numFmtId="0" fontId="1" fillId="0" borderId="2" xfId="0" applyFont="1" applyBorder="1" applyAlignment="1">
      <alignment horizontal="center"/>
    </xf>
    <xf numFmtId="0" fontId="1" fillId="4" borderId="15" xfId="0" applyFont="1" applyFill="1" applyBorder="1" applyAlignment="1">
      <alignment horizontal="center"/>
    </xf>
    <xf numFmtId="0" fontId="1" fillId="4" borderId="13" xfId="0" applyFont="1" applyFill="1" applyBorder="1" applyAlignment="1">
      <alignment horizontal="center"/>
    </xf>
    <xf numFmtId="4" fontId="1" fillId="2" borderId="5" xfId="0" applyNumberFormat="1" applyFont="1" applyFill="1" applyBorder="1" applyAlignment="1">
      <alignment horizontal="center"/>
    </xf>
    <xf numFmtId="0" fontId="1" fillId="2" borderId="15" xfId="0" applyFont="1" applyFill="1" applyBorder="1" applyAlignment="1">
      <alignment horizontal="center"/>
    </xf>
    <xf numFmtId="0" fontId="1" fillId="2" borderId="32" xfId="0" applyFont="1" applyFill="1" applyBorder="1" applyAlignment="1">
      <alignment horizontal="center"/>
    </xf>
    <xf numFmtId="4" fontId="1" fillId="4" borderId="13" xfId="0" applyNumberFormat="1" applyFont="1" applyFill="1" applyBorder="1" applyAlignment="1">
      <alignment horizontal="center"/>
    </xf>
    <xf numFmtId="164" fontId="1" fillId="4" borderId="14" xfId="0" applyNumberFormat="1" applyFont="1" applyFill="1" applyBorder="1" applyAlignment="1">
      <alignment horizontal="center"/>
    </xf>
    <xf numFmtId="0" fontId="3" fillId="2" borderId="6" xfId="0" applyFont="1" applyFill="1" applyBorder="1" applyAlignment="1">
      <alignment horizontal="center"/>
    </xf>
    <xf numFmtId="164" fontId="1" fillId="4" borderId="7" xfId="0" applyNumberFormat="1" applyFont="1" applyFill="1" applyBorder="1" applyAlignment="1">
      <alignment horizontal="center"/>
    </xf>
    <xf numFmtId="0" fontId="3" fillId="4" borderId="15" xfId="0" applyFont="1" applyFill="1" applyBorder="1" applyAlignment="1">
      <alignment horizontal="center"/>
    </xf>
    <xf numFmtId="4" fontId="1" fillId="2" borderId="9" xfId="0" applyNumberFormat="1" applyFont="1" applyFill="1" applyBorder="1" applyAlignment="1">
      <alignment horizontal="center"/>
    </xf>
    <xf numFmtId="0" fontId="2" fillId="0" borderId="6" xfId="1" applyFont="1" applyBorder="1" applyAlignment="1">
      <alignment horizontal="center"/>
    </xf>
    <xf numFmtId="4" fontId="1" fillId="0" borderId="6" xfId="0" applyNumberFormat="1" applyFont="1" applyBorder="1" applyAlignment="1">
      <alignment horizontal="center"/>
    </xf>
    <xf numFmtId="0" fontId="2" fillId="2" borderId="13" xfId="1" applyFont="1" applyFill="1" applyBorder="1" applyAlignment="1">
      <alignment horizontal="center"/>
    </xf>
    <xf numFmtId="0" fontId="2" fillId="4" borderId="2" xfId="1" applyFont="1" applyFill="1" applyBorder="1" applyAlignment="1">
      <alignment horizontal="center"/>
    </xf>
    <xf numFmtId="0" fontId="5" fillId="2" borderId="30" xfId="1" applyFont="1" applyFill="1" applyBorder="1" applyAlignment="1">
      <alignment horizontal="center"/>
    </xf>
    <xf numFmtId="0" fontId="5" fillId="2" borderId="30" xfId="1" applyFont="1" applyFill="1" applyBorder="1"/>
    <xf numFmtId="0" fontId="2" fillId="4" borderId="13" xfId="1" applyFont="1" applyFill="1" applyBorder="1" applyAlignment="1">
      <alignment horizontal="center"/>
    </xf>
    <xf numFmtId="0" fontId="5" fillId="2" borderId="45" xfId="1" applyFont="1" applyFill="1" applyBorder="1" applyAlignment="1">
      <alignment vertical="center"/>
    </xf>
    <xf numFmtId="0" fontId="3" fillId="4" borderId="13" xfId="0" applyFont="1" applyFill="1" applyBorder="1" applyAlignment="1">
      <alignment horizontal="center"/>
    </xf>
    <xf numFmtId="0" fontId="3" fillId="2" borderId="45" xfId="0" applyFont="1" applyFill="1" applyBorder="1" applyAlignment="1">
      <alignment horizontal="left"/>
    </xf>
    <xf numFmtId="4" fontId="1" fillId="2" borderId="7" xfId="0" applyNumberFormat="1" applyFont="1" applyFill="1" applyBorder="1" applyAlignment="1">
      <alignment horizontal="center"/>
    </xf>
    <xf numFmtId="4" fontId="3" fillId="0" borderId="27" xfId="0" applyNumberFormat="1" applyFont="1" applyBorder="1" applyAlignment="1" applyProtection="1">
      <alignment horizontal="center"/>
      <protection locked="0"/>
    </xf>
    <xf numFmtId="0" fontId="3" fillId="0" borderId="2" xfId="0" applyFont="1" applyBorder="1" applyAlignment="1">
      <alignment horizontal="center"/>
    </xf>
    <xf numFmtId="0" fontId="1" fillId="0" borderId="3" xfId="0" applyFont="1" applyBorder="1" applyAlignment="1">
      <alignment horizontal="center"/>
    </xf>
    <xf numFmtId="4" fontId="1" fillId="0" borderId="5" xfId="0" applyNumberFormat="1" applyFont="1" applyBorder="1" applyAlignment="1">
      <alignment horizontal="center"/>
    </xf>
    <xf numFmtId="0" fontId="1" fillId="2" borderId="1" xfId="0" applyFont="1" applyFill="1" applyBorder="1" applyAlignment="1">
      <alignment horizontal="left"/>
    </xf>
    <xf numFmtId="4" fontId="1" fillId="4" borderId="3" xfId="0" applyNumberFormat="1" applyFont="1" applyFill="1" applyBorder="1" applyAlignment="1">
      <alignment horizontal="center"/>
    </xf>
    <xf numFmtId="0" fontId="13" fillId="4" borderId="1" xfId="0" applyFont="1" applyFill="1" applyBorder="1" applyAlignment="1">
      <alignment horizontal="left"/>
    </xf>
    <xf numFmtId="4" fontId="1" fillId="4" borderId="31" xfId="0" applyNumberFormat="1" applyFont="1" applyFill="1" applyBorder="1" applyAlignment="1">
      <alignment horizontal="center"/>
    </xf>
    <xf numFmtId="4" fontId="1" fillId="2" borderId="2" xfId="0" applyNumberFormat="1" applyFont="1" applyFill="1" applyBorder="1"/>
    <xf numFmtId="4" fontId="1" fillId="2" borderId="1" xfId="0" applyNumberFormat="1" applyFont="1" applyFill="1" applyBorder="1"/>
    <xf numFmtId="4" fontId="1" fillId="2" borderId="3" xfId="0" applyNumberFormat="1" applyFont="1" applyFill="1" applyBorder="1"/>
    <xf numFmtId="164" fontId="3" fillId="2" borderId="45" xfId="0" applyNumberFormat="1" applyFont="1" applyFill="1" applyBorder="1"/>
    <xf numFmtId="0" fontId="1" fillId="0" borderId="0" xfId="0" applyFont="1" applyProtection="1">
      <protection locked="0"/>
    </xf>
    <xf numFmtId="164" fontId="1" fillId="0" borderId="0" xfId="0" applyNumberFormat="1" applyFont="1" applyAlignment="1" applyProtection="1">
      <alignment horizontal="center"/>
      <protection locked="0"/>
    </xf>
    <xf numFmtId="0" fontId="1" fillId="2" borderId="8" xfId="0" applyFont="1" applyFill="1" applyBorder="1" applyAlignment="1">
      <alignment horizontal="center"/>
    </xf>
    <xf numFmtId="0" fontId="15" fillId="0" borderId="0" xfId="0" applyFont="1"/>
    <xf numFmtId="49" fontId="15" fillId="0" borderId="4" xfId="0" applyNumberFormat="1" applyFont="1" applyBorder="1"/>
    <xf numFmtId="49" fontId="15" fillId="0" borderId="8" xfId="0" applyNumberFormat="1" applyFont="1" applyBorder="1"/>
    <xf numFmtId="0" fontId="15" fillId="0" borderId="8" xfId="0" applyFont="1" applyBorder="1"/>
    <xf numFmtId="0" fontId="15" fillId="0" borderId="8" xfId="0" applyFont="1" applyBorder="1" applyAlignment="1">
      <alignment horizontal="left"/>
    </xf>
    <xf numFmtId="0" fontId="15" fillId="0" borderId="1" xfId="0" applyFont="1" applyBorder="1"/>
    <xf numFmtId="0" fontId="15" fillId="0" borderId="13" xfId="0" applyFont="1" applyBorder="1"/>
    <xf numFmtId="0" fontId="15" fillId="0" borderId="14" xfId="0" applyFont="1" applyBorder="1"/>
    <xf numFmtId="0" fontId="15" fillId="0" borderId="15" xfId="0" applyFont="1" applyBorder="1"/>
    <xf numFmtId="0" fontId="15" fillId="0" borderId="16" xfId="0" applyFont="1" applyBorder="1" applyAlignment="1">
      <alignment horizontal="center"/>
    </xf>
    <xf numFmtId="0" fontId="15" fillId="0" borderId="7" xfId="0" applyFont="1" applyBorder="1" applyAlignment="1">
      <alignment horizontal="center"/>
    </xf>
    <xf numFmtId="49" fontId="15" fillId="0" borderId="17" xfId="0" applyNumberFormat="1" applyFont="1" applyBorder="1"/>
    <xf numFmtId="0" fontId="15" fillId="0" borderId="17" xfId="0" applyFont="1" applyBorder="1"/>
    <xf numFmtId="0" fontId="15" fillId="0" borderId="23" xfId="0" applyFont="1" applyBorder="1"/>
    <xf numFmtId="0" fontId="15" fillId="0" borderId="23" xfId="0" applyFont="1" applyBorder="1" applyAlignment="1">
      <alignment horizontal="left"/>
    </xf>
    <xf numFmtId="0" fontId="15" fillId="0" borderId="29" xfId="0" applyFont="1" applyBorder="1"/>
    <xf numFmtId="0" fontId="15" fillId="0" borderId="33" xfId="0" applyFont="1" applyBorder="1"/>
    <xf numFmtId="0" fontId="15" fillId="0" borderId="36" xfId="0" applyFont="1" applyBorder="1"/>
    <xf numFmtId="0" fontId="15" fillId="0" borderId="17" xfId="0" applyFont="1" applyBorder="1" applyAlignment="1">
      <alignment vertical="top"/>
    </xf>
    <xf numFmtId="0" fontId="14" fillId="0" borderId="8" xfId="0" applyFont="1" applyBorder="1"/>
    <xf numFmtId="164" fontId="14" fillId="0" borderId="8" xfId="0" applyNumberFormat="1" applyFont="1" applyBorder="1"/>
    <xf numFmtId="0" fontId="15" fillId="0" borderId="23" xfId="0" applyFont="1" applyBorder="1" applyAlignment="1">
      <alignment vertical="top"/>
    </xf>
    <xf numFmtId="0" fontId="14" fillId="0" borderId="8" xfId="0" applyFont="1" applyBorder="1" applyAlignment="1">
      <alignment horizontal="center" vertical="top" wrapText="1"/>
    </xf>
    <xf numFmtId="0" fontId="15" fillId="0" borderId="1" xfId="0" applyFont="1" applyBorder="1" applyAlignment="1">
      <alignment horizontal="left"/>
    </xf>
    <xf numFmtId="0" fontId="15" fillId="0" borderId="0" xfId="0" applyFont="1" applyProtection="1">
      <protection locked="0"/>
    </xf>
    <xf numFmtId="0" fontId="3" fillId="4" borderId="2" xfId="0" applyFont="1" applyFill="1" applyBorder="1" applyAlignment="1">
      <alignment horizontal="center"/>
    </xf>
    <xf numFmtId="0" fontId="3" fillId="2" borderId="31" xfId="0" applyFont="1" applyFill="1" applyBorder="1" applyAlignment="1">
      <alignment horizontal="center"/>
    </xf>
    <xf numFmtId="0" fontId="1" fillId="0" borderId="27" xfId="0" applyFont="1" applyBorder="1" applyAlignment="1">
      <alignment horizontal="left"/>
    </xf>
    <xf numFmtId="0" fontId="1" fillId="0" borderId="30" xfId="0" applyFont="1" applyBorder="1" applyAlignment="1">
      <alignment horizontal="left"/>
    </xf>
    <xf numFmtId="0" fontId="15" fillId="0" borderId="8" xfId="0" applyFont="1" applyBorder="1" applyAlignment="1">
      <alignment shrinkToFit="1"/>
    </xf>
    <xf numFmtId="0" fontId="0" fillId="0" borderId="0" xfId="0" applyAlignment="1">
      <alignment wrapText="1"/>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12" fillId="0" borderId="42" xfId="0" applyFont="1" applyBorder="1" applyAlignment="1">
      <alignment horizontal="center"/>
    </xf>
    <xf numFmtId="44" fontId="3" fillId="2" borderId="45" xfId="2" applyFont="1" applyFill="1" applyBorder="1" applyAlignment="1" applyProtection="1">
      <alignment horizontal="center"/>
      <protection locked="0"/>
    </xf>
    <xf numFmtId="0" fontId="5" fillId="0" borderId="45" xfId="0" applyFont="1" applyBorder="1" applyAlignment="1">
      <alignment horizontal="center"/>
    </xf>
    <xf numFmtId="0" fontId="5" fillId="0" borderId="45" xfId="3" applyFont="1" applyBorder="1"/>
    <xf numFmtId="4" fontId="5" fillId="0" borderId="45" xfId="1" applyNumberFormat="1" applyFont="1" applyBorder="1" applyAlignment="1">
      <alignment horizontal="center"/>
    </xf>
    <xf numFmtId="0" fontId="5" fillId="0" borderId="45" xfId="1" applyFont="1" applyBorder="1" applyAlignment="1">
      <alignment horizontal="center" vertical="center"/>
    </xf>
    <xf numFmtId="4" fontId="3" fillId="2" borderId="47" xfId="0" applyNumberFormat="1" applyFont="1" applyFill="1" applyBorder="1" applyAlignment="1">
      <alignment horizontal="center"/>
    </xf>
    <xf numFmtId="0" fontId="3" fillId="2" borderId="27" xfId="0" applyFont="1" applyFill="1" applyBorder="1" applyAlignment="1">
      <alignment horizontal="left" vertical="center"/>
    </xf>
    <xf numFmtId="0" fontId="1" fillId="2" borderId="12" xfId="0" applyFont="1" applyFill="1" applyBorder="1" applyAlignment="1">
      <alignment horizontal="center"/>
    </xf>
    <xf numFmtId="0" fontId="3" fillId="2" borderId="10" xfId="0" applyFont="1" applyFill="1" applyBorder="1" applyAlignment="1">
      <alignment horizontal="center"/>
    </xf>
    <xf numFmtId="0" fontId="1" fillId="2" borderId="10" xfId="0" applyFont="1" applyFill="1" applyBorder="1" applyAlignment="1">
      <alignment horizontal="center"/>
    </xf>
    <xf numFmtId="0" fontId="2" fillId="2" borderId="10" xfId="1" applyFont="1" applyFill="1" applyBorder="1" applyAlignment="1">
      <alignment horizontal="center"/>
    </xf>
    <xf numFmtId="4" fontId="1" fillId="2" borderId="10" xfId="0" applyNumberFormat="1" applyFont="1" applyFill="1" applyBorder="1" applyAlignment="1">
      <alignment horizontal="center"/>
    </xf>
    <xf numFmtId="4" fontId="5" fillId="2" borderId="45" xfId="1" applyNumberFormat="1" applyFont="1" applyFill="1" applyBorder="1" applyAlignment="1">
      <alignment horizontal="center"/>
    </xf>
    <xf numFmtId="4" fontId="3" fillId="2" borderId="24" xfId="0" applyNumberFormat="1" applyFont="1" applyFill="1" applyBorder="1" applyAlignment="1">
      <alignment horizontal="center"/>
    </xf>
    <xf numFmtId="4" fontId="3" fillId="2" borderId="27" xfId="0" applyNumberFormat="1" applyFont="1" applyFill="1" applyBorder="1" applyAlignment="1" applyProtection="1">
      <alignment horizontal="center"/>
      <protection locked="0"/>
    </xf>
    <xf numFmtId="0" fontId="1" fillId="0" borderId="12" xfId="0" applyFont="1" applyBorder="1" applyAlignment="1">
      <alignment horizontal="center"/>
    </xf>
    <xf numFmtId="0" fontId="3" fillId="0" borderId="10" xfId="0" applyFont="1" applyBorder="1" applyAlignment="1">
      <alignment horizontal="center"/>
    </xf>
    <xf numFmtId="0" fontId="1" fillId="0" borderId="10" xfId="0" applyFont="1" applyBorder="1" applyAlignment="1">
      <alignment horizontal="center"/>
    </xf>
    <xf numFmtId="4" fontId="1" fillId="0" borderId="10" xfId="0" applyNumberFormat="1" applyFont="1" applyBorder="1" applyAlignment="1">
      <alignment horizontal="center"/>
    </xf>
    <xf numFmtId="0" fontId="1" fillId="4" borderId="15" xfId="0" applyFont="1" applyFill="1" applyBorder="1" applyAlignment="1">
      <alignment horizontal="left"/>
    </xf>
    <xf numFmtId="4" fontId="5" fillId="0" borderId="27" xfId="5" applyNumberFormat="1" applyFont="1" applyFill="1" applyBorder="1" applyAlignment="1" applyProtection="1">
      <alignment horizontal="center"/>
    </xf>
    <xf numFmtId="4" fontId="3" fillId="0" borderId="46" xfId="0" applyNumberFormat="1" applyFont="1" applyBorder="1" applyAlignment="1">
      <alignment horizontal="center"/>
    </xf>
    <xf numFmtId="0" fontId="3" fillId="0" borderId="44" xfId="0" applyFont="1" applyBorder="1" applyAlignment="1">
      <alignment horizontal="center"/>
    </xf>
    <xf numFmtId="0" fontId="3" fillId="0" borderId="42" xfId="0" applyFont="1" applyBorder="1"/>
    <xf numFmtId="0" fontId="5" fillId="0" borderId="42" xfId="1" applyFont="1" applyBorder="1" applyAlignment="1">
      <alignment horizontal="center"/>
    </xf>
    <xf numFmtId="0" fontId="5" fillId="0" borderId="42" xfId="1" applyFont="1" applyBorder="1" applyProtection="1">
      <protection locked="0"/>
    </xf>
    <xf numFmtId="4" fontId="5" fillId="0" borderId="42" xfId="1" applyNumberFormat="1" applyFont="1" applyBorder="1" applyAlignment="1">
      <alignment horizontal="center"/>
    </xf>
    <xf numFmtId="4" fontId="3" fillId="0" borderId="43" xfId="0" applyNumberFormat="1" applyFont="1" applyBorder="1" applyAlignment="1">
      <alignment horizontal="center"/>
    </xf>
    <xf numFmtId="0" fontId="5" fillId="0" borderId="45" xfId="3" applyFont="1" applyBorder="1" applyAlignment="1">
      <alignment vertical="center" wrapText="1"/>
    </xf>
    <xf numFmtId="0" fontId="3" fillId="4" borderId="0" xfId="0" applyFont="1" applyFill="1" applyAlignment="1">
      <alignment horizontal="center"/>
    </xf>
    <xf numFmtId="0" fontId="3" fillId="0" borderId="23" xfId="0" applyFont="1" applyBorder="1" applyAlignment="1">
      <alignment horizontal="center" vertical="top"/>
    </xf>
    <xf numFmtId="0" fontId="5" fillId="0" borderId="27" xfId="0" applyFont="1" applyBorder="1" applyAlignment="1">
      <alignment horizontal="center" vertical="top"/>
    </xf>
    <xf numFmtId="0" fontId="5" fillId="0" borderId="27" xfId="3" applyFont="1" applyBorder="1" applyAlignment="1">
      <alignment vertical="top" wrapText="1"/>
    </xf>
    <xf numFmtId="0" fontId="3" fillId="0" borderId="0" xfId="0" applyFont="1" applyAlignment="1">
      <alignment vertical="top"/>
    </xf>
    <xf numFmtId="0" fontId="1" fillId="0" borderId="9" xfId="0" applyFont="1" applyBorder="1" applyAlignment="1">
      <alignment horizontal="center"/>
    </xf>
    <xf numFmtId="0" fontId="2" fillId="4" borderId="2" xfId="1" applyFont="1" applyFill="1" applyBorder="1" applyAlignment="1">
      <alignment horizontal="center" vertical="center"/>
    </xf>
    <xf numFmtId="0" fontId="13" fillId="4" borderId="41" xfId="0" applyFont="1" applyFill="1" applyBorder="1" applyAlignment="1">
      <alignment horizontal="left"/>
    </xf>
    <xf numFmtId="0" fontId="1" fillId="4" borderId="0" xfId="0" applyFont="1" applyFill="1" applyAlignment="1">
      <alignment horizontal="center"/>
    </xf>
    <xf numFmtId="44" fontId="17" fillId="0" borderId="0" xfId="0" applyNumberFormat="1" applyFont="1" applyAlignment="1">
      <alignment horizontal="right"/>
    </xf>
    <xf numFmtId="0" fontId="17" fillId="0" borderId="0" xfId="0" applyFont="1" applyAlignment="1">
      <alignment horizontal="center"/>
    </xf>
    <xf numFmtId="0" fontId="6" fillId="0" borderId="0" xfId="0" applyFont="1"/>
    <xf numFmtId="1" fontId="18" fillId="0" borderId="0" xfId="0" applyNumberFormat="1" applyFont="1" applyAlignment="1" applyProtection="1">
      <alignment horizontal="center"/>
      <protection locked="0"/>
    </xf>
    <xf numFmtId="0" fontId="18" fillId="0" borderId="0" xfId="0" applyFont="1" applyAlignment="1" applyProtection="1">
      <alignment horizontal="left"/>
      <protection locked="0"/>
    </xf>
    <xf numFmtId="4" fontId="18" fillId="0" borderId="0" xfId="0" applyNumberFormat="1" applyFont="1" applyAlignment="1" applyProtection="1">
      <alignment horizontal="center"/>
      <protection locked="0"/>
    </xf>
    <xf numFmtId="0" fontId="3" fillId="0" borderId="27" xfId="0" applyFont="1" applyBorder="1" applyAlignment="1">
      <alignment horizontal="center" vertical="top"/>
    </xf>
    <xf numFmtId="0" fontId="3" fillId="2" borderId="45" xfId="0" applyFont="1" applyFill="1" applyBorder="1" applyAlignment="1">
      <alignment horizontal="left" vertical="top" wrapText="1"/>
    </xf>
    <xf numFmtId="0" fontId="3" fillId="2" borderId="27" xfId="0" applyFont="1" applyFill="1" applyBorder="1" applyAlignment="1">
      <alignment horizontal="left" vertical="top" wrapText="1"/>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4" fontId="1" fillId="2" borderId="2" xfId="0" applyNumberFormat="1" applyFont="1" applyFill="1" applyBorder="1" applyAlignment="1">
      <alignment horizontal="center"/>
    </xf>
    <xf numFmtId="0" fontId="0" fillId="0" borderId="0" xfId="0" applyAlignment="1">
      <alignment horizontal="left" wrapText="1"/>
    </xf>
    <xf numFmtId="0" fontId="3" fillId="4" borderId="2" xfId="0" applyFont="1" applyFill="1" applyBorder="1" applyAlignment="1" applyProtection="1">
      <alignment horizontal="center"/>
      <protection locked="0"/>
    </xf>
    <xf numFmtId="0" fontId="3" fillId="4" borderId="2" xfId="0" applyFont="1" applyFill="1" applyBorder="1" applyAlignment="1">
      <alignment horizontal="left"/>
    </xf>
    <xf numFmtId="2" fontId="3" fillId="4" borderId="2" xfId="0" applyNumberFormat="1" applyFont="1" applyFill="1" applyBorder="1" applyAlignment="1">
      <alignment horizontal="center"/>
    </xf>
    <xf numFmtId="0" fontId="3" fillId="0" borderId="0" xfId="0" applyFont="1" applyAlignment="1">
      <alignment horizontal="center" vertical="center"/>
    </xf>
    <xf numFmtId="0" fontId="3" fillId="0" borderId="14" xfId="0" applyFont="1" applyBorder="1"/>
    <xf numFmtId="0" fontId="3" fillId="4" borderId="1" xfId="0" applyFont="1" applyFill="1" applyBorder="1" applyAlignment="1">
      <alignment horizontal="center"/>
    </xf>
    <xf numFmtId="0" fontId="3" fillId="4" borderId="22" xfId="0" applyFont="1" applyFill="1" applyBorder="1" applyAlignment="1">
      <alignment horizontal="center"/>
    </xf>
    <xf numFmtId="0" fontId="3" fillId="4" borderId="45" xfId="0" applyFont="1" applyFill="1" applyBorder="1" applyAlignment="1" applyProtection="1">
      <alignment horizontal="center"/>
      <protection locked="0"/>
    </xf>
    <xf numFmtId="0" fontId="3" fillId="4" borderId="45" xfId="0" applyFont="1" applyFill="1" applyBorder="1" applyAlignment="1">
      <alignment horizontal="center"/>
    </xf>
    <xf numFmtId="0" fontId="3" fillId="4" borderId="45" xfId="0" applyFont="1" applyFill="1" applyBorder="1"/>
    <xf numFmtId="4" fontId="3" fillId="4" borderId="45" xfId="0" applyNumberFormat="1" applyFont="1" applyFill="1" applyBorder="1" applyAlignment="1">
      <alignment horizontal="center"/>
    </xf>
    <xf numFmtId="164" fontId="3" fillId="4" borderId="46" xfId="0" applyNumberFormat="1" applyFont="1" applyFill="1" applyBorder="1" applyAlignment="1">
      <alignment horizontal="center"/>
    </xf>
    <xf numFmtId="0" fontId="3" fillId="4" borderId="23" xfId="0" applyFont="1" applyFill="1" applyBorder="1" applyAlignment="1">
      <alignment horizontal="center"/>
    </xf>
    <xf numFmtId="0" fontId="3" fillId="4" borderId="27" xfId="0" applyFont="1" applyFill="1" applyBorder="1" applyAlignment="1" applyProtection="1">
      <alignment horizontal="center"/>
      <protection locked="0"/>
    </xf>
    <xf numFmtId="0" fontId="3" fillId="4" borderId="27" xfId="0" applyFont="1" applyFill="1" applyBorder="1" applyAlignment="1">
      <alignment horizontal="center"/>
    </xf>
    <xf numFmtId="0" fontId="3" fillId="4" borderId="27" xfId="0" applyFont="1" applyFill="1" applyBorder="1"/>
    <xf numFmtId="4" fontId="3" fillId="4" borderId="27" xfId="0" applyNumberFormat="1" applyFont="1" applyFill="1" applyBorder="1" applyAlignment="1">
      <alignment horizontal="center"/>
    </xf>
    <xf numFmtId="164" fontId="3" fillId="4" borderId="24" xfId="0" applyNumberFormat="1" applyFont="1" applyFill="1" applyBorder="1" applyAlignment="1">
      <alignment horizontal="center"/>
    </xf>
    <xf numFmtId="0" fontId="3" fillId="4" borderId="30" xfId="0" applyFont="1" applyFill="1" applyBorder="1" applyAlignment="1">
      <alignment horizontal="center"/>
    </xf>
    <xf numFmtId="0" fontId="3" fillId="4" borderId="30" xfId="0" applyFont="1" applyFill="1" applyBorder="1"/>
    <xf numFmtId="0" fontId="3" fillId="4" borderId="54" xfId="0" applyFont="1" applyFill="1" applyBorder="1" applyAlignment="1">
      <alignment horizontal="center"/>
    </xf>
    <xf numFmtId="164" fontId="3" fillId="4" borderId="28" xfId="0" applyNumberFormat="1" applyFont="1" applyFill="1" applyBorder="1" applyAlignment="1">
      <alignment horizontal="center"/>
    </xf>
    <xf numFmtId="0" fontId="1" fillId="4" borderId="3" xfId="0" applyFont="1" applyFill="1" applyBorder="1" applyAlignment="1">
      <alignment horizontal="center"/>
    </xf>
    <xf numFmtId="4" fontId="1" fillId="4" borderId="9" xfId="0" applyNumberFormat="1" applyFont="1" applyFill="1" applyBorder="1" applyAlignment="1">
      <alignment horizontal="center"/>
    </xf>
    <xf numFmtId="164" fontId="1" fillId="4" borderId="11" xfId="0" applyNumberFormat="1" applyFont="1" applyFill="1" applyBorder="1" applyAlignment="1">
      <alignment horizontal="center"/>
    </xf>
    <xf numFmtId="0" fontId="5" fillId="4" borderId="27" xfId="1" applyFont="1" applyFill="1" applyBorder="1" applyAlignment="1">
      <alignment horizontal="center"/>
    </xf>
    <xf numFmtId="0" fontId="5" fillId="4" borderId="27" xfId="1" applyFont="1" applyFill="1" applyBorder="1" applyAlignment="1">
      <alignment vertical="center"/>
    </xf>
    <xf numFmtId="4" fontId="5" fillId="4" borderId="45" xfId="1" applyNumberFormat="1" applyFont="1" applyFill="1" applyBorder="1" applyAlignment="1">
      <alignment horizontal="center"/>
    </xf>
    <xf numFmtId="0" fontId="5" fillId="4" borderId="30" xfId="1" applyFont="1" applyFill="1" applyBorder="1" applyAlignment="1">
      <alignment horizontal="center"/>
    </xf>
    <xf numFmtId="0" fontId="3" fillId="4" borderId="27" xfId="0" applyFont="1" applyFill="1" applyBorder="1" applyProtection="1">
      <protection locked="0"/>
    </xf>
    <xf numFmtId="4" fontId="5" fillId="4" borderId="27" xfId="4" applyNumberFormat="1" applyFont="1" applyFill="1" applyBorder="1" applyAlignment="1" applyProtection="1">
      <alignment horizontal="center"/>
    </xf>
    <xf numFmtId="164" fontId="1" fillId="4" borderId="24" xfId="0" applyNumberFormat="1" applyFont="1" applyFill="1" applyBorder="1" applyAlignment="1">
      <alignment horizontal="center"/>
    </xf>
    <xf numFmtId="4" fontId="5" fillId="4" borderId="27" xfId="1" applyNumberFormat="1" applyFont="1" applyFill="1" applyBorder="1" applyAlignment="1">
      <alignment horizontal="center"/>
    </xf>
    <xf numFmtId="4" fontId="1" fillId="4" borderId="5" xfId="0" applyNumberFormat="1" applyFont="1" applyFill="1" applyBorder="1" applyAlignment="1">
      <alignment horizontal="center"/>
    </xf>
    <xf numFmtId="0" fontId="2" fillId="2" borderId="6" xfId="1" applyFont="1" applyFill="1" applyBorder="1" applyAlignment="1">
      <alignment horizontal="center"/>
    </xf>
    <xf numFmtId="0" fontId="3" fillId="0" borderId="12" xfId="0" applyFont="1" applyBorder="1" applyAlignment="1">
      <alignment horizontal="center"/>
    </xf>
    <xf numFmtId="0" fontId="3" fillId="0" borderId="10" xfId="0" applyFont="1" applyBorder="1" applyAlignment="1" applyProtection="1">
      <alignment horizontal="center"/>
      <protection locked="0"/>
    </xf>
    <xf numFmtId="0" fontId="3" fillId="0" borderId="10" xfId="0" applyFont="1" applyBorder="1" applyAlignment="1">
      <alignment horizontal="left"/>
    </xf>
    <xf numFmtId="2" fontId="3" fillId="0" borderId="10" xfId="0" applyNumberFormat="1" applyFont="1" applyBorder="1" applyAlignment="1">
      <alignment horizontal="center"/>
    </xf>
    <xf numFmtId="164" fontId="3" fillId="0" borderId="11" xfId="0" applyNumberFormat="1" applyFont="1" applyBorder="1" applyAlignment="1">
      <alignment horizontal="center"/>
    </xf>
    <xf numFmtId="0" fontId="3" fillId="0" borderId="27" xfId="0" applyFont="1" applyBorder="1"/>
    <xf numFmtId="2" fontId="14" fillId="0" borderId="27" xfId="0" applyNumberFormat="1" applyFont="1" applyBorder="1"/>
    <xf numFmtId="9" fontId="15" fillId="0" borderId="27" xfId="0" applyNumberFormat="1" applyFont="1" applyBorder="1"/>
    <xf numFmtId="0" fontId="14" fillId="3" borderId="44" xfId="0" applyFont="1" applyFill="1" applyBorder="1" applyAlignment="1" applyProtection="1">
      <alignment horizontal="center" vertical="center" wrapText="1"/>
      <protection locked="0"/>
    </xf>
    <xf numFmtId="0" fontId="14" fillId="3" borderId="42" xfId="0" applyFont="1" applyFill="1" applyBorder="1" applyAlignment="1" applyProtection="1">
      <alignment horizontal="center" vertical="center" wrapText="1"/>
      <protection locked="0"/>
    </xf>
    <xf numFmtId="1" fontId="14" fillId="3" borderId="42" xfId="0" applyNumberFormat="1" applyFont="1" applyFill="1" applyBorder="1" applyAlignment="1" applyProtection="1">
      <alignment horizontal="center" vertical="center" wrapText="1"/>
      <protection locked="0"/>
    </xf>
    <xf numFmtId="2" fontId="19" fillId="3" borderId="42" xfId="0" applyNumberFormat="1" applyFont="1" applyFill="1" applyBorder="1" applyAlignment="1" applyProtection="1">
      <alignment horizontal="center" vertical="center" wrapText="1"/>
      <protection locked="0"/>
    </xf>
    <xf numFmtId="43" fontId="14" fillId="3" borderId="43" xfId="0" applyNumberFormat="1" applyFont="1" applyFill="1" applyBorder="1" applyAlignment="1" applyProtection="1">
      <alignment horizontal="center" vertical="center" wrapText="1"/>
      <protection locked="0"/>
    </xf>
    <xf numFmtId="0" fontId="15" fillId="4" borderId="1"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 vertical="center" wrapText="1"/>
      <protection locked="0"/>
    </xf>
    <xf numFmtId="0" fontId="14" fillId="4" borderId="2" xfId="0" applyFont="1" applyFill="1" applyBorder="1" applyAlignment="1" applyProtection="1">
      <alignment horizontal="left" vertical="center" wrapText="1"/>
      <protection locked="0"/>
    </xf>
    <xf numFmtId="0" fontId="14" fillId="4" borderId="2" xfId="0" applyFont="1" applyFill="1" applyBorder="1" applyAlignment="1" applyProtection="1">
      <alignment horizontal="center" vertical="center" wrapText="1"/>
      <protection locked="0"/>
    </xf>
    <xf numFmtId="2" fontId="19" fillId="4" borderId="2" xfId="0" applyNumberFormat="1" applyFont="1" applyFill="1" applyBorder="1" applyAlignment="1" applyProtection="1">
      <alignment horizontal="center" vertical="center" wrapText="1"/>
      <protection locked="0"/>
    </xf>
    <xf numFmtId="43" fontId="14" fillId="4" borderId="3" xfId="0" applyNumberFormat="1" applyFont="1" applyFill="1" applyBorder="1" applyAlignment="1" applyProtection="1">
      <alignment horizontal="center" vertical="center" wrapText="1"/>
      <protection locked="0"/>
    </xf>
    <xf numFmtId="0" fontId="15" fillId="0" borderId="22" xfId="0" applyFont="1" applyBorder="1" applyAlignment="1" applyProtection="1">
      <alignment horizontal="center"/>
      <protection locked="0"/>
    </xf>
    <xf numFmtId="0" fontId="15" fillId="0" borderId="45" xfId="0" applyFont="1" applyBorder="1" applyAlignment="1" applyProtection="1">
      <alignment horizontal="center"/>
      <protection locked="0"/>
    </xf>
    <xf numFmtId="1" fontId="15" fillId="0" borderId="45" xfId="0" applyNumberFormat="1" applyFont="1" applyBorder="1" applyAlignment="1" applyProtection="1">
      <alignment horizontal="center"/>
      <protection locked="0"/>
    </xf>
    <xf numFmtId="0" fontId="20" fillId="0" borderId="45" xfId="1" applyFont="1" applyBorder="1" applyProtection="1">
      <protection locked="0"/>
    </xf>
    <xf numFmtId="164" fontId="15" fillId="0" borderId="46" xfId="0" applyNumberFormat="1" applyFont="1" applyBorder="1" applyAlignment="1" applyProtection="1">
      <alignment horizontal="center"/>
      <protection locked="0"/>
    </xf>
    <xf numFmtId="1" fontId="15" fillId="0" borderId="0" xfId="0" applyNumberFormat="1" applyFont="1" applyProtection="1">
      <protection locked="0"/>
    </xf>
    <xf numFmtId="0" fontId="15" fillId="0" borderId="23" xfId="0" applyFont="1" applyBorder="1" applyAlignment="1" applyProtection="1">
      <alignment horizontal="center"/>
      <protection locked="0"/>
    </xf>
    <xf numFmtId="0" fontId="15" fillId="0" borderId="27" xfId="0" applyFont="1" applyBorder="1" applyAlignment="1" applyProtection="1">
      <alignment horizontal="center"/>
      <protection locked="0"/>
    </xf>
    <xf numFmtId="1" fontId="15" fillId="0" borderId="27" xfId="0" applyNumberFormat="1" applyFont="1" applyBorder="1" applyAlignment="1" applyProtection="1">
      <alignment horizontal="center"/>
      <protection locked="0"/>
    </xf>
    <xf numFmtId="0" fontId="20" fillId="0" borderId="27" xfId="1" applyFont="1" applyBorder="1" applyProtection="1">
      <protection locked="0"/>
    </xf>
    <xf numFmtId="2" fontId="20" fillId="0" borderId="27" xfId="1" applyNumberFormat="1" applyFont="1" applyBorder="1" applyAlignment="1" applyProtection="1">
      <alignment horizontal="right"/>
      <protection locked="0"/>
    </xf>
    <xf numFmtId="164" fontId="15" fillId="0" borderId="24" xfId="0" applyNumberFormat="1" applyFont="1" applyBorder="1" applyAlignment="1" applyProtection="1">
      <alignment horizontal="center"/>
      <protection locked="0"/>
    </xf>
    <xf numFmtId="0" fontId="15" fillId="0" borderId="54" xfId="0" applyFont="1" applyBorder="1" applyAlignment="1" applyProtection="1">
      <alignment horizontal="center"/>
      <protection locked="0"/>
    </xf>
    <xf numFmtId="0" fontId="15" fillId="0" borderId="30" xfId="0" applyFont="1" applyBorder="1" applyAlignment="1" applyProtection="1">
      <alignment horizontal="center"/>
      <protection locked="0"/>
    </xf>
    <xf numFmtId="1" fontId="15" fillId="0" borderId="30" xfId="0" applyNumberFormat="1" applyFont="1" applyBorder="1" applyAlignment="1" applyProtection="1">
      <alignment horizontal="center"/>
      <protection locked="0"/>
    </xf>
    <xf numFmtId="0" fontId="20" fillId="0" borderId="30" xfId="1" applyFont="1" applyBorder="1" applyAlignment="1" applyProtection="1">
      <alignment horizontal="left"/>
      <protection locked="0"/>
    </xf>
    <xf numFmtId="0" fontId="20" fillId="0" borderId="30" xfId="1" applyFont="1" applyBorder="1" applyProtection="1">
      <protection locked="0"/>
    </xf>
    <xf numFmtId="2" fontId="20" fillId="0" borderId="30" xfId="1" applyNumberFormat="1" applyFont="1" applyBorder="1" applyAlignment="1" applyProtection="1">
      <alignment horizontal="right"/>
      <protection locked="0"/>
    </xf>
    <xf numFmtId="0" fontId="14" fillId="4" borderId="1" xfId="0" applyFont="1" applyFill="1" applyBorder="1" applyAlignment="1" applyProtection="1">
      <alignment horizontal="center"/>
      <protection locked="0"/>
    </xf>
    <xf numFmtId="0" fontId="15" fillId="4" borderId="2" xfId="0" applyFont="1" applyFill="1" applyBorder="1" applyAlignment="1" applyProtection="1">
      <alignment horizontal="center"/>
      <protection locked="0"/>
    </xf>
    <xf numFmtId="1" fontId="14" fillId="4" borderId="2" xfId="0" applyNumberFormat="1" applyFont="1" applyFill="1" applyBorder="1" applyAlignment="1" applyProtection="1">
      <alignment horizontal="centerContinuous"/>
      <protection locked="0"/>
    </xf>
    <xf numFmtId="0" fontId="14" fillId="4" borderId="3" xfId="0" applyFont="1" applyFill="1" applyBorder="1" applyAlignment="1" applyProtection="1">
      <alignment horizontal="left"/>
      <protection locked="0"/>
    </xf>
    <xf numFmtId="0" fontId="14" fillId="0" borderId="10" xfId="0" applyFont="1" applyBorder="1" applyAlignment="1" applyProtection="1">
      <alignment horizontal="center"/>
      <protection locked="0"/>
    </xf>
    <xf numFmtId="2" fontId="20" fillId="0" borderId="10" xfId="0" applyNumberFormat="1" applyFont="1" applyBorder="1" applyAlignment="1" applyProtection="1">
      <alignment horizontal="right"/>
      <protection locked="0"/>
    </xf>
    <xf numFmtId="164" fontId="15" fillId="0" borderId="11" xfId="0" applyNumberFormat="1" applyFont="1" applyBorder="1" applyAlignment="1" applyProtection="1">
      <alignment horizontal="center"/>
      <protection locked="0"/>
    </xf>
    <xf numFmtId="0" fontId="14" fillId="0" borderId="6" xfId="0" applyFont="1" applyBorder="1" applyAlignment="1" applyProtection="1">
      <alignment horizontal="center"/>
      <protection locked="0"/>
    </xf>
    <xf numFmtId="2" fontId="19" fillId="0" borderId="6" xfId="0" applyNumberFormat="1" applyFont="1" applyBorder="1" applyAlignment="1" applyProtection="1">
      <alignment horizontal="center"/>
      <protection locked="0"/>
    </xf>
    <xf numFmtId="164" fontId="14" fillId="0" borderId="7" xfId="0" applyNumberFormat="1" applyFont="1" applyBorder="1" applyAlignment="1" applyProtection="1">
      <alignment horizontal="center"/>
      <protection locked="0"/>
    </xf>
    <xf numFmtId="0" fontId="21" fillId="4" borderId="41" xfId="0" applyFont="1" applyFill="1" applyBorder="1" applyAlignment="1" applyProtection="1">
      <alignment horizontal="left"/>
      <protection locked="0"/>
    </xf>
    <xf numFmtId="0" fontId="22" fillId="4" borderId="31" xfId="0" applyFont="1" applyFill="1" applyBorder="1" applyAlignment="1" applyProtection="1">
      <alignment horizontal="center"/>
      <protection locked="0"/>
    </xf>
    <xf numFmtId="1" fontId="21" fillId="4" borderId="31" xfId="0" applyNumberFormat="1" applyFont="1" applyFill="1" applyBorder="1" applyAlignment="1" applyProtection="1">
      <alignment horizontal="center"/>
      <protection locked="0"/>
    </xf>
    <xf numFmtId="0" fontId="21" fillId="4" borderId="31" xfId="0" applyFont="1" applyFill="1" applyBorder="1" applyAlignment="1" applyProtection="1">
      <alignment horizontal="left"/>
      <protection locked="0"/>
    </xf>
    <xf numFmtId="0" fontId="14" fillId="4" borderId="31" xfId="0" applyFont="1" applyFill="1" applyBorder="1" applyAlignment="1" applyProtection="1">
      <alignment horizontal="center"/>
      <protection locked="0"/>
    </xf>
    <xf numFmtId="2" fontId="19" fillId="4" borderId="31" xfId="0" applyNumberFormat="1" applyFont="1" applyFill="1" applyBorder="1" applyAlignment="1" applyProtection="1">
      <alignment horizontal="center"/>
      <protection locked="0"/>
    </xf>
    <xf numFmtId="164" fontId="14" fillId="4" borderId="32" xfId="0" applyNumberFormat="1" applyFont="1" applyFill="1" applyBorder="1" applyAlignment="1" applyProtection="1">
      <alignment horizontal="center"/>
      <protection locked="0"/>
    </xf>
    <xf numFmtId="0" fontId="15" fillId="2" borderId="1" xfId="0" applyFont="1" applyFill="1" applyBorder="1" applyAlignment="1" applyProtection="1">
      <alignment horizontal="center"/>
      <protection locked="0"/>
    </xf>
    <xf numFmtId="1" fontId="14" fillId="2" borderId="2" xfId="0" applyNumberFormat="1" applyFont="1" applyFill="1" applyBorder="1" applyAlignment="1" applyProtection="1">
      <alignment horizontal="center"/>
      <protection locked="0"/>
    </xf>
    <xf numFmtId="0" fontId="14" fillId="2" borderId="2" xfId="0" applyFont="1" applyFill="1" applyBorder="1" applyAlignment="1" applyProtection="1">
      <alignment horizontal="left"/>
      <protection locked="0"/>
    </xf>
    <xf numFmtId="0" fontId="14" fillId="2" borderId="2" xfId="0" applyFont="1" applyFill="1" applyBorder="1" applyAlignment="1" applyProtection="1">
      <alignment horizontal="center"/>
      <protection locked="0"/>
    </xf>
    <xf numFmtId="2" fontId="19" fillId="2" borderId="2" xfId="0" applyNumberFormat="1" applyFont="1" applyFill="1" applyBorder="1" applyAlignment="1" applyProtection="1">
      <alignment horizontal="center"/>
      <protection locked="0"/>
    </xf>
    <xf numFmtId="164" fontId="14" fillId="2" borderId="3" xfId="0" applyNumberFormat="1" applyFont="1" applyFill="1" applyBorder="1" applyAlignment="1" applyProtection="1">
      <alignment horizontal="center"/>
      <protection locked="0"/>
    </xf>
    <xf numFmtId="0" fontId="15" fillId="2" borderId="23" xfId="0" applyFont="1" applyFill="1" applyBorder="1" applyAlignment="1" applyProtection="1">
      <alignment horizontal="center"/>
      <protection locked="0"/>
    </xf>
    <xf numFmtId="0" fontId="15" fillId="2" borderId="27" xfId="0" applyFont="1" applyFill="1" applyBorder="1" applyAlignment="1" applyProtection="1">
      <alignment horizontal="center"/>
      <protection locked="0"/>
    </xf>
    <xf numFmtId="1" fontId="15" fillId="2" borderId="27" xfId="0" applyNumberFormat="1" applyFont="1" applyFill="1" applyBorder="1" applyAlignment="1" applyProtection="1">
      <alignment horizontal="center"/>
      <protection locked="0"/>
    </xf>
    <xf numFmtId="0" fontId="20" fillId="2" borderId="27" xfId="0" applyFont="1" applyFill="1" applyBorder="1" applyAlignment="1" applyProtection="1">
      <alignment horizontal="left"/>
      <protection locked="0"/>
    </xf>
    <xf numFmtId="0" fontId="20" fillId="2" borderId="27" xfId="0" applyFont="1" applyFill="1" applyBorder="1" applyProtection="1">
      <protection locked="0"/>
    </xf>
    <xf numFmtId="2" fontId="20" fillId="2" borderId="27" xfId="0" applyNumberFormat="1" applyFont="1" applyFill="1" applyBorder="1" applyAlignment="1" applyProtection="1">
      <alignment horizontal="center"/>
      <protection locked="0"/>
    </xf>
    <xf numFmtId="164" fontId="15" fillId="2" borderId="24" xfId="0" applyNumberFormat="1" applyFont="1" applyFill="1" applyBorder="1" applyAlignment="1" applyProtection="1">
      <alignment horizontal="center"/>
      <protection locked="0"/>
    </xf>
    <xf numFmtId="0" fontId="15" fillId="2" borderId="22" xfId="0" applyFont="1" applyFill="1" applyBorder="1" applyAlignment="1" applyProtection="1">
      <alignment horizontal="center"/>
      <protection locked="0"/>
    </xf>
    <xf numFmtId="0" fontId="15" fillId="2" borderId="45" xfId="0" applyFont="1" applyFill="1" applyBorder="1" applyAlignment="1" applyProtection="1">
      <alignment horizontal="center"/>
      <protection locked="0"/>
    </xf>
    <xf numFmtId="1" fontId="15" fillId="2" borderId="45" xfId="0" applyNumberFormat="1" applyFont="1" applyFill="1" applyBorder="1" applyAlignment="1" applyProtection="1">
      <alignment horizontal="center"/>
      <protection locked="0"/>
    </xf>
    <xf numFmtId="0" fontId="20" fillId="2" borderId="45" xfId="0" applyFont="1" applyFill="1" applyBorder="1" applyAlignment="1" applyProtection="1">
      <alignment horizontal="left"/>
      <protection locked="0"/>
    </xf>
    <xf numFmtId="0" fontId="20" fillId="5" borderId="27" xfId="0" applyFont="1" applyFill="1" applyBorder="1" applyAlignment="1" applyProtection="1">
      <alignment horizontal="left"/>
      <protection locked="0"/>
    </xf>
    <xf numFmtId="0" fontId="15" fillId="2" borderId="30" xfId="0" applyFont="1" applyFill="1" applyBorder="1" applyAlignment="1" applyProtection="1">
      <alignment horizontal="center"/>
      <protection locked="0"/>
    </xf>
    <xf numFmtId="1" fontId="15" fillId="2" borderId="30" xfId="0" applyNumberFormat="1" applyFont="1" applyFill="1" applyBorder="1" applyAlignment="1" applyProtection="1">
      <alignment horizontal="center"/>
      <protection locked="0"/>
    </xf>
    <xf numFmtId="0" fontId="15" fillId="2" borderId="2" xfId="0" applyFont="1" applyFill="1" applyBorder="1" applyAlignment="1" applyProtection="1">
      <alignment horizontal="center"/>
      <protection locked="0"/>
    </xf>
    <xf numFmtId="1" fontId="15" fillId="2" borderId="2" xfId="0" applyNumberFormat="1" applyFont="1" applyFill="1" applyBorder="1" applyAlignment="1" applyProtection="1">
      <alignment horizontal="center"/>
      <protection locked="0"/>
    </xf>
    <xf numFmtId="0" fontId="15" fillId="2" borderId="2" xfId="0" applyFont="1" applyFill="1" applyBorder="1" applyAlignment="1" applyProtection="1">
      <alignment horizontal="left"/>
      <protection locked="0"/>
    </xf>
    <xf numFmtId="0" fontId="19" fillId="2" borderId="2" xfId="0" applyFont="1" applyFill="1" applyBorder="1" applyAlignment="1" applyProtection="1">
      <alignment horizontal="center"/>
      <protection locked="0"/>
    </xf>
    <xf numFmtId="2" fontId="24" fillId="2" borderId="2" xfId="0" applyNumberFormat="1" applyFont="1" applyFill="1" applyBorder="1" applyAlignment="1" applyProtection="1">
      <alignment horizontal="center"/>
      <protection locked="0"/>
    </xf>
    <xf numFmtId="164" fontId="15" fillId="2" borderId="3" xfId="0" applyNumberFormat="1" applyFont="1" applyFill="1" applyBorder="1" applyAlignment="1" applyProtection="1">
      <alignment horizontal="center"/>
      <protection locked="0"/>
    </xf>
    <xf numFmtId="4" fontId="20" fillId="2" borderId="27" xfId="0" applyNumberFormat="1" applyFont="1" applyFill="1" applyBorder="1" applyAlignment="1" applyProtection="1">
      <alignment horizontal="center"/>
      <protection locked="0"/>
    </xf>
    <xf numFmtId="0" fontId="20" fillId="2" borderId="2" xfId="0" applyFont="1" applyFill="1" applyBorder="1" applyAlignment="1" applyProtection="1">
      <alignment horizontal="left"/>
      <protection locked="0"/>
    </xf>
    <xf numFmtId="2" fontId="20" fillId="2" borderId="2" xfId="0" applyNumberFormat="1" applyFont="1" applyFill="1" applyBorder="1" applyAlignment="1" applyProtection="1">
      <alignment horizontal="center"/>
      <protection locked="0"/>
    </xf>
    <xf numFmtId="0" fontId="20" fillId="2" borderId="42" xfId="0" applyFont="1" applyFill="1" applyBorder="1" applyProtection="1">
      <protection locked="0"/>
    </xf>
    <xf numFmtId="4" fontId="20" fillId="2" borderId="27" xfId="0" applyNumberFormat="1" applyFont="1" applyFill="1" applyBorder="1" applyAlignment="1">
      <alignment horizontal="center"/>
    </xf>
    <xf numFmtId="0" fontId="20" fillId="2" borderId="27" xfId="0" applyFont="1" applyFill="1" applyBorder="1" applyAlignment="1">
      <alignment horizontal="left"/>
    </xf>
    <xf numFmtId="0" fontId="20" fillId="2" borderId="27" xfId="0" applyFont="1" applyFill="1" applyBorder="1"/>
    <xf numFmtId="0" fontId="15" fillId="2" borderId="54" xfId="0" applyFont="1" applyFill="1" applyBorder="1" applyAlignment="1" applyProtection="1">
      <alignment horizontal="center"/>
      <protection locked="0"/>
    </xf>
    <xf numFmtId="0" fontId="20" fillId="2" borderId="30" xfId="0" applyFont="1" applyFill="1" applyBorder="1" applyAlignment="1" applyProtection="1">
      <alignment horizontal="left"/>
      <protection locked="0"/>
    </xf>
    <xf numFmtId="0" fontId="20" fillId="2" borderId="30" xfId="0" applyFont="1" applyFill="1" applyBorder="1" applyProtection="1">
      <protection locked="0"/>
    </xf>
    <xf numFmtId="2" fontId="20" fillId="2" borderId="30" xfId="0" applyNumberFormat="1" applyFont="1" applyFill="1" applyBorder="1" applyAlignment="1" applyProtection="1">
      <alignment horizontal="center"/>
      <protection locked="0"/>
    </xf>
    <xf numFmtId="0" fontId="20" fillId="2" borderId="30" xfId="1" applyFont="1" applyFill="1" applyBorder="1" applyAlignment="1" applyProtection="1">
      <alignment horizontal="left"/>
      <protection locked="0"/>
    </xf>
    <xf numFmtId="0" fontId="20" fillId="2" borderId="30" xfId="1" applyFont="1" applyFill="1" applyBorder="1" applyProtection="1">
      <protection locked="0"/>
    </xf>
    <xf numFmtId="2" fontId="20" fillId="2" borderId="30" xfId="1" applyNumberFormat="1" applyFont="1" applyFill="1" applyBorder="1" applyAlignment="1" applyProtection="1">
      <alignment horizontal="center"/>
      <protection locked="0"/>
    </xf>
    <xf numFmtId="0" fontId="15" fillId="2" borderId="27" xfId="0" applyFont="1" applyFill="1" applyBorder="1" applyAlignment="1" applyProtection="1">
      <alignment horizontal="left"/>
      <protection locked="0"/>
    </xf>
    <xf numFmtId="0" fontId="15" fillId="2" borderId="30" xfId="0" applyFont="1" applyFill="1" applyBorder="1" applyAlignment="1" applyProtection="1">
      <alignment horizontal="left"/>
      <protection locked="0"/>
    </xf>
    <xf numFmtId="0" fontId="15" fillId="2" borderId="30" xfId="0" applyFont="1" applyFill="1" applyBorder="1" applyProtection="1">
      <protection locked="0"/>
    </xf>
    <xf numFmtId="2" fontId="15" fillId="2" borderId="30" xfId="0" applyNumberFormat="1" applyFont="1" applyFill="1" applyBorder="1" applyProtection="1">
      <protection locked="0"/>
    </xf>
    <xf numFmtId="0" fontId="15" fillId="2" borderId="3" xfId="0" applyFont="1" applyFill="1" applyBorder="1" applyAlignment="1" applyProtection="1">
      <alignment horizontal="left"/>
      <protection locked="0"/>
    </xf>
    <xf numFmtId="0" fontId="14" fillId="2" borderId="8" xfId="0" applyFont="1" applyFill="1" applyBorder="1" applyAlignment="1" applyProtection="1">
      <alignment horizontal="center"/>
      <protection locked="0"/>
    </xf>
    <xf numFmtId="2" fontId="20" fillId="2" borderId="8" xfId="0" applyNumberFormat="1" applyFont="1" applyFill="1" applyBorder="1" applyAlignment="1" applyProtection="1">
      <alignment horizontal="center"/>
      <protection locked="0"/>
    </xf>
    <xf numFmtId="0" fontId="14" fillId="2" borderId="47" xfId="0" applyFont="1" applyFill="1" applyBorder="1" applyAlignment="1" applyProtection="1">
      <alignment horizontal="center"/>
      <protection locked="0"/>
    </xf>
    <xf numFmtId="2" fontId="20" fillId="2" borderId="47" xfId="0" applyNumberFormat="1" applyFont="1" applyFill="1" applyBorder="1" applyAlignment="1" applyProtection="1">
      <alignment horizontal="center"/>
      <protection locked="0"/>
    </xf>
    <xf numFmtId="164" fontId="15" fillId="2" borderId="11" xfId="0" applyNumberFormat="1" applyFont="1" applyFill="1" applyBorder="1" applyAlignment="1" applyProtection="1">
      <alignment horizontal="center"/>
      <protection locked="0"/>
    </xf>
    <xf numFmtId="0" fontId="14" fillId="2" borderId="6" xfId="0" applyFont="1" applyFill="1" applyBorder="1" applyAlignment="1" applyProtection="1">
      <alignment horizontal="center"/>
      <protection locked="0"/>
    </xf>
    <xf numFmtId="2" fontId="19" fillId="2" borderId="6" xfId="0" applyNumberFormat="1" applyFont="1" applyFill="1" applyBorder="1" applyAlignment="1" applyProtection="1">
      <alignment horizontal="center"/>
      <protection locked="0"/>
    </xf>
    <xf numFmtId="164" fontId="14" fillId="2" borderId="7" xfId="0" applyNumberFormat="1" applyFont="1" applyFill="1" applyBorder="1" applyAlignment="1" applyProtection="1">
      <alignment horizontal="center"/>
      <protection locked="0"/>
    </xf>
    <xf numFmtId="0" fontId="21" fillId="2" borderId="41" xfId="0" applyFont="1" applyFill="1" applyBorder="1" applyAlignment="1" applyProtection="1">
      <alignment horizontal="left"/>
      <protection locked="0"/>
    </xf>
    <xf numFmtId="0" fontId="15" fillId="2" borderId="31" xfId="0" applyFont="1" applyFill="1" applyBorder="1" applyAlignment="1" applyProtection="1">
      <alignment horizontal="center"/>
      <protection locked="0"/>
    </xf>
    <xf numFmtId="1" fontId="14" fillId="2" borderId="31" xfId="0" applyNumberFormat="1" applyFont="1" applyFill="1" applyBorder="1" applyAlignment="1" applyProtection="1">
      <alignment horizontal="centerContinuous"/>
      <protection locked="0"/>
    </xf>
    <xf numFmtId="0" fontId="14" fillId="2" borderId="31" xfId="0" applyFont="1" applyFill="1" applyBorder="1" applyAlignment="1" applyProtection="1">
      <alignment horizontal="left"/>
      <protection locked="0"/>
    </xf>
    <xf numFmtId="0" fontId="14" fillId="2" borderId="31" xfId="0" applyFont="1" applyFill="1" applyBorder="1" applyAlignment="1" applyProtection="1">
      <alignment horizontal="center"/>
      <protection locked="0"/>
    </xf>
    <xf numFmtId="2" fontId="19" fillId="2" borderId="31" xfId="0" applyNumberFormat="1" applyFont="1" applyFill="1" applyBorder="1" applyAlignment="1" applyProtection="1">
      <alignment horizontal="center"/>
      <protection locked="0"/>
    </xf>
    <xf numFmtId="164" fontId="14" fillId="2" borderId="32" xfId="0" applyNumberFormat="1" applyFont="1" applyFill="1" applyBorder="1" applyAlignment="1" applyProtection="1">
      <alignment horizontal="center"/>
      <protection locked="0"/>
    </xf>
    <xf numFmtId="0" fontId="14" fillId="4" borderId="2" xfId="0" applyFont="1" applyFill="1" applyBorder="1" applyAlignment="1" applyProtection="1">
      <alignment horizontal="left"/>
      <protection locked="0"/>
    </xf>
    <xf numFmtId="0" fontId="14" fillId="4" borderId="2" xfId="0" applyFont="1" applyFill="1" applyBorder="1" applyAlignment="1" applyProtection="1">
      <alignment horizontal="center"/>
      <protection locked="0"/>
    </xf>
    <xf numFmtId="2" fontId="19" fillId="4" borderId="2" xfId="0" applyNumberFormat="1" applyFont="1" applyFill="1" applyBorder="1" applyAlignment="1" applyProtection="1">
      <alignment horizontal="center"/>
      <protection locked="0"/>
    </xf>
    <xf numFmtId="164" fontId="14" fillId="4" borderId="3" xfId="0" applyNumberFormat="1" applyFont="1" applyFill="1" applyBorder="1" applyAlignment="1" applyProtection="1">
      <alignment horizontal="center"/>
      <protection locked="0"/>
    </xf>
    <xf numFmtId="0" fontId="20" fillId="0" borderId="45" xfId="0" applyFont="1" applyBorder="1" applyAlignment="1" applyProtection="1">
      <alignment horizontal="left"/>
      <protection locked="0"/>
    </xf>
    <xf numFmtId="2" fontId="20" fillId="0" borderId="45" xfId="0" applyNumberFormat="1" applyFont="1" applyBorder="1" applyAlignment="1" applyProtection="1">
      <alignment horizontal="center"/>
      <protection locked="0"/>
    </xf>
    <xf numFmtId="0" fontId="20" fillId="0" borderId="27" xfId="0" applyFont="1" applyBorder="1" applyAlignment="1" applyProtection="1">
      <alignment horizontal="left"/>
      <protection locked="0"/>
    </xf>
    <xf numFmtId="2" fontId="20" fillId="0" borderId="27" xfId="0" applyNumberFormat="1" applyFont="1" applyBorder="1" applyAlignment="1" applyProtection="1">
      <alignment horizontal="center"/>
      <protection locked="0"/>
    </xf>
    <xf numFmtId="1" fontId="15" fillId="4" borderId="2" xfId="0" applyNumberFormat="1" applyFont="1" applyFill="1" applyBorder="1" applyAlignment="1" applyProtection="1">
      <alignment horizontal="center"/>
      <protection locked="0"/>
    </xf>
    <xf numFmtId="0" fontId="15" fillId="4" borderId="2" xfId="0" applyFont="1" applyFill="1" applyBorder="1" applyAlignment="1" applyProtection="1">
      <alignment horizontal="left"/>
      <protection locked="0"/>
    </xf>
    <xf numFmtId="0" fontId="19" fillId="4" borderId="2" xfId="0" applyFont="1" applyFill="1" applyBorder="1" applyAlignment="1" applyProtection="1">
      <alignment horizontal="center"/>
      <protection locked="0"/>
    </xf>
    <xf numFmtId="2" fontId="24" fillId="4" borderId="2" xfId="0" applyNumberFormat="1" applyFont="1" applyFill="1" applyBorder="1" applyAlignment="1" applyProtection="1">
      <alignment horizontal="center"/>
      <protection locked="0"/>
    </xf>
    <xf numFmtId="164" fontId="15" fillId="4" borderId="3" xfId="0" applyNumberFormat="1" applyFont="1" applyFill="1" applyBorder="1" applyAlignment="1" applyProtection="1">
      <alignment horizontal="center"/>
      <protection locked="0"/>
    </xf>
    <xf numFmtId="0" fontId="20" fillId="0" borderId="27" xfId="0" applyFont="1" applyBorder="1" applyProtection="1">
      <protection locked="0"/>
    </xf>
    <xf numFmtId="0" fontId="20" fillId="0" borderId="30" xfId="0" applyFont="1" applyBorder="1" applyAlignment="1" applyProtection="1">
      <alignment horizontal="left"/>
      <protection locked="0"/>
    </xf>
    <xf numFmtId="2" fontId="20" fillId="0" borderId="30" xfId="0" applyNumberFormat="1" applyFont="1" applyBorder="1" applyAlignment="1" applyProtection="1">
      <alignment horizontal="center"/>
      <protection locked="0"/>
    </xf>
    <xf numFmtId="2" fontId="20" fillId="4" borderId="2" xfId="0" applyNumberFormat="1" applyFont="1" applyFill="1" applyBorder="1" applyAlignment="1" applyProtection="1">
      <alignment horizontal="center"/>
      <protection locked="0"/>
    </xf>
    <xf numFmtId="2" fontId="20" fillId="0" borderId="30" xfId="1" applyNumberFormat="1" applyFont="1" applyBorder="1" applyAlignment="1" applyProtection="1">
      <alignment horizontal="center"/>
      <protection locked="0"/>
    </xf>
    <xf numFmtId="2" fontId="20" fillId="0" borderId="10" xfId="0" applyNumberFormat="1" applyFont="1" applyBorder="1" applyAlignment="1" applyProtection="1">
      <alignment horizontal="center"/>
      <protection locked="0"/>
    </xf>
    <xf numFmtId="0" fontId="14" fillId="4" borderId="8" xfId="0" applyFont="1" applyFill="1" applyBorder="1" applyAlignment="1" applyProtection="1">
      <alignment horizontal="center"/>
      <protection locked="0"/>
    </xf>
    <xf numFmtId="2" fontId="20" fillId="0" borderId="9" xfId="0" applyNumberFormat="1" applyFont="1" applyBorder="1" applyAlignment="1" applyProtection="1">
      <alignment horizontal="center"/>
      <protection locked="0"/>
    </xf>
    <xf numFmtId="0" fontId="14" fillId="0" borderId="42" xfId="0" applyFont="1" applyBorder="1" applyAlignment="1" applyProtection="1">
      <alignment horizontal="center"/>
      <protection locked="0"/>
    </xf>
    <xf numFmtId="0" fontId="14" fillId="4" borderId="41" xfId="0" applyFont="1" applyFill="1" applyBorder="1" applyAlignment="1" applyProtection="1">
      <alignment horizontal="left"/>
      <protection locked="0"/>
    </xf>
    <xf numFmtId="0" fontId="15" fillId="4" borderId="31" xfId="0" applyFont="1" applyFill="1" applyBorder="1" applyAlignment="1" applyProtection="1">
      <alignment horizontal="center"/>
      <protection locked="0"/>
    </xf>
    <xf numFmtId="1" fontId="14" fillId="4" borderId="31" xfId="0" applyNumberFormat="1" applyFont="1" applyFill="1" applyBorder="1" applyAlignment="1" applyProtection="1">
      <alignment horizontal="centerContinuous"/>
      <protection locked="0"/>
    </xf>
    <xf numFmtId="0" fontId="14" fillId="4" borderId="31" xfId="0" applyFont="1" applyFill="1" applyBorder="1" applyAlignment="1" applyProtection="1">
      <alignment horizontal="left"/>
      <protection locked="0"/>
    </xf>
    <xf numFmtId="1" fontId="14" fillId="2" borderId="2" xfId="0" applyNumberFormat="1" applyFont="1" applyFill="1" applyBorder="1" applyAlignment="1" applyProtection="1">
      <alignment horizontal="centerContinuous"/>
      <protection locked="0"/>
    </xf>
    <xf numFmtId="0" fontId="20" fillId="5" borderId="30" xfId="0" applyFont="1" applyFill="1" applyBorder="1" applyAlignment="1" applyProtection="1">
      <alignment horizontal="left"/>
      <protection locked="0"/>
    </xf>
    <xf numFmtId="1" fontId="15" fillId="2" borderId="34" xfId="0" applyNumberFormat="1" applyFont="1" applyFill="1" applyBorder="1" applyAlignment="1" applyProtection="1">
      <alignment horizontal="center"/>
      <protection locked="0"/>
    </xf>
    <xf numFmtId="1" fontId="15" fillId="2" borderId="13" xfId="0" applyNumberFormat="1" applyFont="1" applyFill="1" applyBorder="1" applyAlignment="1" applyProtection="1">
      <alignment horizontal="center"/>
      <protection locked="0"/>
    </xf>
    <xf numFmtId="0" fontId="24" fillId="2" borderId="2" xfId="0" applyFont="1" applyFill="1" applyBorder="1" applyAlignment="1" applyProtection="1">
      <alignment horizontal="left"/>
      <protection locked="0"/>
    </xf>
    <xf numFmtId="0" fontId="20" fillId="5" borderId="45" xfId="0" applyFont="1" applyFill="1" applyBorder="1" applyAlignment="1" applyProtection="1">
      <alignment horizontal="left"/>
      <protection locked="0"/>
    </xf>
    <xf numFmtId="43" fontId="15" fillId="2" borderId="30" xfId="0" applyNumberFormat="1" applyFont="1" applyFill="1" applyBorder="1" applyAlignment="1" applyProtection="1">
      <alignment horizontal="center"/>
      <protection locked="0"/>
    </xf>
    <xf numFmtId="2" fontId="20" fillId="2" borderId="10" xfId="0" applyNumberFormat="1" applyFont="1" applyFill="1" applyBorder="1" applyAlignment="1" applyProtection="1">
      <alignment horizontal="center"/>
      <protection locked="0"/>
    </xf>
    <xf numFmtId="1" fontId="15" fillId="2" borderId="31" xfId="0" applyNumberFormat="1" applyFont="1" applyFill="1" applyBorder="1" applyAlignment="1" applyProtection="1">
      <alignment horizontal="center"/>
      <protection locked="0"/>
    </xf>
    <xf numFmtId="0" fontId="24" fillId="2" borderId="31" xfId="0" applyFont="1" applyFill="1" applyBorder="1" applyAlignment="1" applyProtection="1">
      <alignment horizontal="left"/>
      <protection locked="0"/>
    </xf>
    <xf numFmtId="2" fontId="24" fillId="2" borderId="31" xfId="0" applyNumberFormat="1" applyFont="1" applyFill="1" applyBorder="1" applyAlignment="1" applyProtection="1">
      <alignment horizontal="center"/>
      <protection locked="0"/>
    </xf>
    <xf numFmtId="164" fontId="15" fillId="2" borderId="32" xfId="0" applyNumberFormat="1" applyFont="1" applyFill="1" applyBorder="1" applyAlignment="1" applyProtection="1">
      <alignment horizontal="center"/>
      <protection locked="0"/>
    </xf>
    <xf numFmtId="0" fontId="20" fillId="0" borderId="45" xfId="0" applyFont="1" applyBorder="1" applyProtection="1">
      <protection locked="0"/>
    </xf>
    <xf numFmtId="0" fontId="20" fillId="0" borderId="30" xfId="0" applyFont="1" applyBorder="1" applyProtection="1">
      <protection locked="0"/>
    </xf>
    <xf numFmtId="0" fontId="14" fillId="4" borderId="1" xfId="0" applyFont="1" applyFill="1" applyBorder="1" applyAlignment="1" applyProtection="1">
      <alignment horizontal="left"/>
      <protection locked="0"/>
    </xf>
    <xf numFmtId="1" fontId="15" fillId="2" borderId="27" xfId="0" applyNumberFormat="1" applyFont="1" applyFill="1" applyBorder="1" applyProtection="1">
      <protection locked="0"/>
    </xf>
    <xf numFmtId="0" fontId="15" fillId="2" borderId="27" xfId="0" applyFont="1" applyFill="1" applyBorder="1" applyProtection="1">
      <protection locked="0"/>
    </xf>
    <xf numFmtId="0" fontId="14" fillId="2" borderId="10" xfId="0" applyFont="1" applyFill="1" applyBorder="1" applyAlignment="1" applyProtection="1">
      <alignment horizontal="center"/>
      <protection locked="0"/>
    </xf>
    <xf numFmtId="4" fontId="19" fillId="4" borderId="2" xfId="0" applyNumberFormat="1" applyFont="1" applyFill="1" applyBorder="1" applyAlignment="1" applyProtection="1">
      <alignment horizontal="center"/>
      <protection locked="0"/>
    </xf>
    <xf numFmtId="0" fontId="14" fillId="0" borderId="0" xfId="0" applyFont="1" applyProtection="1">
      <protection locked="0"/>
    </xf>
    <xf numFmtId="4" fontId="20" fillId="0" borderId="27" xfId="0" applyNumberFormat="1" applyFont="1" applyBorder="1" applyAlignment="1" applyProtection="1">
      <alignment horizontal="center"/>
      <protection locked="0"/>
    </xf>
    <xf numFmtId="0" fontId="14" fillId="4" borderId="8" xfId="0" applyFont="1" applyFill="1" applyBorder="1" applyAlignment="1" applyProtection="1">
      <alignment horizontal="left"/>
      <protection locked="0"/>
    </xf>
    <xf numFmtId="0" fontId="14" fillId="0" borderId="8" xfId="0" applyFont="1" applyBorder="1" applyAlignment="1" applyProtection="1">
      <alignment horizontal="center"/>
      <protection locked="0"/>
    </xf>
    <xf numFmtId="4" fontId="20" fillId="0" borderId="8" xfId="0" applyNumberFormat="1" applyFont="1" applyBorder="1" applyAlignment="1" applyProtection="1">
      <alignment horizontal="center"/>
      <protection locked="0"/>
    </xf>
    <xf numFmtId="4" fontId="20" fillId="0" borderId="10" xfId="0" applyNumberFormat="1" applyFont="1" applyBorder="1" applyAlignment="1" applyProtection="1">
      <alignment horizontal="center"/>
      <protection locked="0"/>
    </xf>
    <xf numFmtId="0" fontId="14" fillId="0" borderId="5" xfId="0" applyFont="1" applyBorder="1" applyAlignment="1" applyProtection="1">
      <alignment horizontal="center"/>
      <protection locked="0"/>
    </xf>
    <xf numFmtId="4" fontId="19" fillId="0" borderId="6" xfId="0" applyNumberFormat="1" applyFont="1" applyBorder="1" applyAlignment="1" applyProtection="1">
      <alignment horizontal="center"/>
      <protection locked="0"/>
    </xf>
    <xf numFmtId="0" fontId="14" fillId="4" borderId="15" xfId="0" applyFont="1" applyFill="1" applyBorder="1" applyAlignment="1" applyProtection="1">
      <alignment horizontal="left"/>
      <protection locked="0"/>
    </xf>
    <xf numFmtId="0" fontId="15" fillId="4" borderId="13" xfId="0" applyFont="1" applyFill="1" applyBorder="1" applyAlignment="1" applyProtection="1">
      <alignment horizontal="center"/>
      <protection locked="0"/>
    </xf>
    <xf numFmtId="1" fontId="14" fillId="4" borderId="13" xfId="0" applyNumberFormat="1" applyFont="1" applyFill="1" applyBorder="1" applyAlignment="1" applyProtection="1">
      <alignment horizontal="centerContinuous"/>
      <protection locked="0"/>
    </xf>
    <xf numFmtId="0" fontId="14" fillId="4" borderId="13" xfId="0" applyFont="1" applyFill="1" applyBorder="1" applyAlignment="1" applyProtection="1">
      <alignment horizontal="left"/>
      <protection locked="0"/>
    </xf>
    <xf numFmtId="43" fontId="15" fillId="2" borderId="45" xfId="0" applyNumberFormat="1" applyFont="1" applyFill="1" applyBorder="1" applyProtection="1">
      <protection locked="0"/>
    </xf>
    <xf numFmtId="1" fontId="15" fillId="2" borderId="45" xfId="0" applyNumberFormat="1" applyFont="1" applyFill="1" applyBorder="1" applyProtection="1">
      <protection locked="0"/>
    </xf>
    <xf numFmtId="0" fontId="15" fillId="2" borderId="45" xfId="0" applyFont="1" applyFill="1" applyBorder="1" applyProtection="1">
      <protection locked="0"/>
    </xf>
    <xf numFmtId="43" fontId="15" fillId="2" borderId="27" xfId="0" applyNumberFormat="1" applyFont="1" applyFill="1" applyBorder="1" applyProtection="1">
      <protection locked="0"/>
    </xf>
    <xf numFmtId="0" fontId="14" fillId="2" borderId="27" xfId="0" applyFont="1" applyFill="1" applyBorder="1" applyAlignment="1" applyProtection="1">
      <alignment horizontal="center"/>
      <protection locked="0"/>
    </xf>
    <xf numFmtId="1" fontId="15" fillId="2" borderId="30" xfId="0" applyNumberFormat="1" applyFont="1" applyFill="1" applyBorder="1" applyProtection="1">
      <protection locked="0"/>
    </xf>
    <xf numFmtId="43" fontId="15" fillId="2" borderId="30" xfId="0" applyNumberFormat="1" applyFont="1" applyFill="1" applyBorder="1" applyProtection="1">
      <protection locked="0"/>
    </xf>
    <xf numFmtId="2" fontId="20" fillId="2" borderId="30" xfId="1" applyNumberFormat="1" applyFont="1" applyFill="1" applyBorder="1" applyAlignment="1" applyProtection="1">
      <alignment horizontal="right"/>
      <protection locked="0"/>
    </xf>
    <xf numFmtId="164" fontId="15" fillId="2" borderId="43" xfId="0" applyNumberFormat="1" applyFont="1" applyFill="1" applyBorder="1" applyAlignment="1" applyProtection="1">
      <alignment horizontal="center"/>
      <protection locked="0"/>
    </xf>
    <xf numFmtId="1" fontId="15" fillId="2" borderId="2" xfId="0" applyNumberFormat="1" applyFont="1" applyFill="1" applyBorder="1" applyProtection="1">
      <protection locked="0"/>
    </xf>
    <xf numFmtId="43" fontId="15" fillId="2" borderId="2" xfId="0" applyNumberFormat="1" applyFont="1" applyFill="1" applyBorder="1" applyProtection="1">
      <protection locked="0"/>
    </xf>
    <xf numFmtId="43" fontId="15" fillId="2" borderId="10" xfId="0" applyNumberFormat="1" applyFont="1" applyFill="1" applyBorder="1" applyProtection="1">
      <protection locked="0"/>
    </xf>
    <xf numFmtId="0" fontId="14" fillId="2" borderId="42" xfId="0" applyFont="1" applyFill="1" applyBorder="1" applyAlignment="1" applyProtection="1">
      <alignment horizontal="center"/>
      <protection locked="0"/>
    </xf>
    <xf numFmtId="43" fontId="15" fillId="2" borderId="42" xfId="0" applyNumberFormat="1" applyFont="1" applyFill="1" applyBorder="1" applyProtection="1">
      <protection locked="0"/>
    </xf>
    <xf numFmtId="0" fontId="21" fillId="2" borderId="1" xfId="0" applyFont="1" applyFill="1" applyBorder="1" applyAlignment="1" applyProtection="1">
      <alignment horizontal="left"/>
      <protection locked="0"/>
    </xf>
    <xf numFmtId="43" fontId="15" fillId="2" borderId="31" xfId="0" applyNumberFormat="1" applyFont="1" applyFill="1" applyBorder="1" applyProtection="1">
      <protection locked="0"/>
    </xf>
    <xf numFmtId="0" fontId="21" fillId="4" borderId="1" xfId="0" applyFont="1" applyFill="1" applyBorder="1" applyAlignment="1" applyProtection="1">
      <alignment horizontal="left"/>
      <protection locked="0"/>
    </xf>
    <xf numFmtId="1" fontId="15" fillId="4" borderId="2" xfId="0" applyNumberFormat="1" applyFont="1" applyFill="1" applyBorder="1" applyProtection="1">
      <protection locked="0"/>
    </xf>
    <xf numFmtId="43" fontId="14" fillId="4" borderId="12" xfId="0" applyNumberFormat="1" applyFont="1" applyFill="1" applyBorder="1" applyAlignment="1" applyProtection="1">
      <alignment horizontal="center"/>
      <protection locked="0"/>
    </xf>
    <xf numFmtId="0" fontId="15" fillId="0" borderId="37" xfId="0" applyFont="1" applyBorder="1" applyProtection="1">
      <protection locked="0"/>
    </xf>
    <xf numFmtId="0" fontId="15" fillId="0" borderId="0" xfId="0" applyFont="1" applyAlignment="1" applyProtection="1">
      <alignment horizontal="center"/>
      <protection locked="0"/>
    </xf>
    <xf numFmtId="0" fontId="15" fillId="0" borderId="0" xfId="0" applyFont="1" applyAlignment="1" applyProtection="1">
      <alignment horizontal="left"/>
      <protection locked="0"/>
    </xf>
    <xf numFmtId="2" fontId="15" fillId="0" borderId="0" xfId="0" applyNumberFormat="1" applyFont="1" applyProtection="1">
      <protection locked="0"/>
    </xf>
    <xf numFmtId="164" fontId="15" fillId="0" borderId="0" xfId="0" applyNumberFormat="1" applyFont="1" applyProtection="1">
      <protection locked="0"/>
    </xf>
    <xf numFmtId="0" fontId="15" fillId="0" borderId="51" xfId="0" applyFont="1" applyBorder="1"/>
    <xf numFmtId="0" fontId="15" fillId="0" borderId="25" xfId="0" applyFont="1" applyBorder="1"/>
    <xf numFmtId="0" fontId="20" fillId="5" borderId="30" xfId="1" applyFont="1" applyFill="1" applyBorder="1" applyAlignment="1" applyProtection="1">
      <alignment horizontal="left"/>
      <protection locked="0"/>
    </xf>
    <xf numFmtId="0" fontId="14" fillId="3" borderId="42" xfId="0" applyFont="1" applyFill="1" applyBorder="1" applyAlignment="1" applyProtection="1">
      <alignment horizontal="left" vertical="center" wrapText="1"/>
      <protection locked="0"/>
    </xf>
    <xf numFmtId="0" fontId="20" fillId="5" borderId="27" xfId="0" applyFont="1" applyFill="1" applyBorder="1" applyAlignment="1">
      <alignment horizontal="left"/>
    </xf>
    <xf numFmtId="43" fontId="15" fillId="4" borderId="2" xfId="0" applyNumberFormat="1" applyFont="1" applyFill="1" applyBorder="1" applyAlignment="1">
      <alignment horizontal="center"/>
    </xf>
    <xf numFmtId="43" fontId="15" fillId="2" borderId="2" xfId="0" applyNumberFormat="1" applyFont="1" applyFill="1" applyBorder="1" applyAlignment="1">
      <alignment horizontal="center"/>
    </xf>
    <xf numFmtId="164" fontId="15" fillId="0" borderId="46" xfId="0" applyNumberFormat="1" applyFont="1" applyBorder="1" applyAlignment="1">
      <alignment horizontal="center"/>
    </xf>
    <xf numFmtId="164" fontId="15" fillId="0" borderId="24" xfId="0" applyNumberFormat="1" applyFont="1" applyBorder="1" applyAlignment="1">
      <alignment horizontal="center"/>
    </xf>
    <xf numFmtId="164" fontId="15" fillId="4" borderId="3" xfId="0" applyNumberFormat="1" applyFont="1" applyFill="1" applyBorder="1" applyAlignment="1">
      <alignment horizontal="center"/>
    </xf>
    <xf numFmtId="164" fontId="15" fillId="0" borderId="28" xfId="0" applyNumberFormat="1" applyFont="1" applyBorder="1" applyAlignment="1">
      <alignment horizontal="center"/>
    </xf>
    <xf numFmtId="164" fontId="15" fillId="2" borderId="24" xfId="0" applyNumberFormat="1" applyFont="1" applyFill="1" applyBorder="1" applyAlignment="1">
      <alignment horizontal="center"/>
    </xf>
    <xf numFmtId="164" fontId="15" fillId="2" borderId="28" xfId="0" applyNumberFormat="1" applyFont="1" applyFill="1" applyBorder="1" applyAlignment="1">
      <alignment horizontal="center"/>
    </xf>
    <xf numFmtId="164" fontId="15" fillId="2" borderId="3" xfId="0" applyNumberFormat="1" applyFont="1" applyFill="1" applyBorder="1" applyAlignment="1">
      <alignment horizontal="center"/>
    </xf>
    <xf numFmtId="164" fontId="15" fillId="2" borderId="11" xfId="0" applyNumberFormat="1" applyFont="1" applyFill="1" applyBorder="1" applyAlignment="1">
      <alignment horizontal="center"/>
    </xf>
    <xf numFmtId="164" fontId="14" fillId="2" borderId="7" xfId="0" applyNumberFormat="1" applyFont="1" applyFill="1" applyBorder="1" applyAlignment="1">
      <alignment horizontal="center"/>
    </xf>
    <xf numFmtId="164" fontId="15" fillId="2" borderId="46" xfId="0" applyNumberFormat="1" applyFont="1" applyFill="1" applyBorder="1" applyAlignment="1">
      <alignment horizontal="center"/>
    </xf>
    <xf numFmtId="2" fontId="20" fillId="2" borderId="27" xfId="0" applyNumberFormat="1" applyFont="1" applyFill="1" applyBorder="1" applyAlignment="1">
      <alignment horizontal="center"/>
    </xf>
    <xf numFmtId="164" fontId="15" fillId="0" borderId="11" xfId="0" applyNumberFormat="1" applyFont="1" applyBorder="1" applyAlignment="1">
      <alignment horizontal="center"/>
    </xf>
    <xf numFmtId="164" fontId="14" fillId="0" borderId="7" xfId="0" applyNumberFormat="1" applyFont="1" applyBorder="1" applyAlignment="1">
      <alignment horizontal="center"/>
    </xf>
    <xf numFmtId="0" fontId="14" fillId="0" borderId="49" xfId="0" applyFont="1" applyBorder="1" applyProtection="1">
      <protection locked="0"/>
    </xf>
    <xf numFmtId="0" fontId="15" fillId="0" borderId="49" xfId="0" applyFont="1" applyBorder="1" applyProtection="1">
      <protection locked="0"/>
    </xf>
    <xf numFmtId="1" fontId="15" fillId="0" borderId="49" xfId="0" applyNumberFormat="1" applyFont="1" applyBorder="1" applyProtection="1">
      <protection locked="0"/>
    </xf>
    <xf numFmtId="49" fontId="14" fillId="0" borderId="49" xfId="0" applyNumberFormat="1" applyFont="1" applyBorder="1" applyAlignment="1" applyProtection="1">
      <alignment horizontal="left"/>
      <protection locked="0"/>
    </xf>
    <xf numFmtId="0" fontId="15" fillId="2" borderId="2" xfId="0" applyFont="1" applyFill="1" applyBorder="1" applyAlignment="1">
      <alignment horizontal="center"/>
    </xf>
    <xf numFmtId="0" fontId="15" fillId="2" borderId="27" xfId="0" applyFont="1" applyFill="1" applyBorder="1" applyAlignment="1">
      <alignment horizontal="center"/>
    </xf>
    <xf numFmtId="0" fontId="15" fillId="2" borderId="30" xfId="0" applyFont="1" applyFill="1" applyBorder="1" applyAlignment="1">
      <alignment horizontal="center"/>
    </xf>
    <xf numFmtId="164" fontId="14" fillId="2" borderId="11" xfId="0" applyNumberFormat="1" applyFont="1" applyFill="1" applyBorder="1" applyAlignment="1">
      <alignment horizontal="center"/>
    </xf>
    <xf numFmtId="164" fontId="14" fillId="2" borderId="43" xfId="0" applyNumberFormat="1" applyFont="1" applyFill="1" applyBorder="1" applyAlignment="1">
      <alignment horizontal="center"/>
    </xf>
    <xf numFmtId="43" fontId="14" fillId="2" borderId="32" xfId="0" applyNumberFormat="1" applyFont="1" applyFill="1" applyBorder="1" applyAlignment="1">
      <alignment horizontal="center"/>
    </xf>
    <xf numFmtId="164" fontId="14" fillId="4" borderId="11" xfId="0" applyNumberFormat="1" applyFont="1" applyFill="1" applyBorder="1" applyAlignment="1">
      <alignment horizontal="center"/>
    </xf>
    <xf numFmtId="164" fontId="15" fillId="0" borderId="3" xfId="0" applyNumberFormat="1" applyFont="1" applyBorder="1" applyAlignment="1">
      <alignment horizontal="center"/>
    </xf>
    <xf numFmtId="0" fontId="0" fillId="7" borderId="10" xfId="0" applyFill="1" applyBorder="1" applyAlignment="1">
      <alignment horizontal="center"/>
    </xf>
    <xf numFmtId="0" fontId="0" fillId="0" borderId="42" xfId="0" applyBorder="1" applyAlignment="1">
      <alignment horizontal="center"/>
    </xf>
    <xf numFmtId="0" fontId="16" fillId="6" borderId="2" xfId="0" applyFont="1" applyFill="1" applyBorder="1" applyAlignment="1">
      <alignment horizontal="center" vertical="center" wrapText="1"/>
    </xf>
    <xf numFmtId="0" fontId="0" fillId="5" borderId="3" xfId="0" applyFill="1" applyBorder="1" applyAlignment="1">
      <alignment wrapText="1"/>
    </xf>
    <xf numFmtId="0" fontId="0" fillId="0" borderId="42" xfId="0" applyBorder="1"/>
    <xf numFmtId="0" fontId="0" fillId="0" borderId="27" xfId="0" applyBorder="1" applyAlignment="1">
      <alignment horizontal="center"/>
    </xf>
    <xf numFmtId="0" fontId="0" fillId="5" borderId="0" xfId="0" applyFill="1" applyAlignment="1">
      <alignment horizontal="center" wrapText="1"/>
    </xf>
    <xf numFmtId="0" fontId="0" fillId="5" borderId="0" xfId="0" applyFill="1" applyAlignment="1">
      <alignment horizontal="center" vertical="center" wrapText="1"/>
    </xf>
    <xf numFmtId="0" fontId="0" fillId="0" borderId="33" xfId="0" applyBorder="1" applyAlignment="1">
      <alignment wrapText="1"/>
    </xf>
    <xf numFmtId="0" fontId="0" fillId="0" borderId="34" xfId="0" applyBorder="1" applyAlignment="1">
      <alignment wrapText="1"/>
    </xf>
    <xf numFmtId="0" fontId="0" fillId="0" borderId="35" xfId="0" applyBorder="1" applyAlignment="1">
      <alignment wrapText="1"/>
    </xf>
    <xf numFmtId="0" fontId="5" fillId="5" borderId="27" xfId="3" applyFont="1" applyFill="1" applyBorder="1" applyAlignment="1">
      <alignment wrapText="1"/>
    </xf>
    <xf numFmtId="0" fontId="5" fillId="5" borderId="27" xfId="3" applyFont="1" applyFill="1" applyBorder="1"/>
    <xf numFmtId="0" fontId="5" fillId="5" borderId="27" xfId="3" applyFont="1" applyFill="1" applyBorder="1" applyAlignment="1">
      <alignment vertical="center"/>
    </xf>
    <xf numFmtId="0" fontId="5" fillId="5" borderId="27" xfId="1" applyFont="1" applyFill="1" applyBorder="1" applyAlignment="1">
      <alignment vertical="center"/>
    </xf>
    <xf numFmtId="0" fontId="5" fillId="5" borderId="30" xfId="1" applyFont="1" applyFill="1" applyBorder="1" applyAlignment="1">
      <alignment vertical="center"/>
    </xf>
    <xf numFmtId="0" fontId="5" fillId="5" borderId="45" xfId="1" applyFont="1" applyFill="1" applyBorder="1" applyAlignment="1">
      <alignment vertical="top" wrapText="1"/>
    </xf>
    <xf numFmtId="0" fontId="5" fillId="5" borderId="45" xfId="1" applyFont="1" applyFill="1" applyBorder="1" applyAlignment="1">
      <alignment vertical="center"/>
    </xf>
    <xf numFmtId="0" fontId="25" fillId="0" borderId="45" xfId="1" applyFont="1" applyBorder="1" applyAlignment="1">
      <alignment horizontal="center"/>
    </xf>
    <xf numFmtId="0" fontId="25" fillId="0" borderId="27" xfId="1" applyFont="1" applyBorder="1" applyAlignment="1">
      <alignment vertical="center"/>
    </xf>
    <xf numFmtId="4" fontId="25" fillId="4" borderId="45" xfId="1" applyNumberFormat="1" applyFont="1" applyFill="1" applyBorder="1" applyAlignment="1">
      <alignment horizontal="center"/>
    </xf>
    <xf numFmtId="164" fontId="26" fillId="0" borderId="24" xfId="0" applyNumberFormat="1" applyFont="1" applyBorder="1" applyAlignment="1">
      <alignment horizontal="center"/>
    </xf>
    <xf numFmtId="0" fontId="25" fillId="0" borderId="27" xfId="1" applyFont="1" applyBorder="1" applyAlignment="1">
      <alignment horizontal="center"/>
    </xf>
    <xf numFmtId="0" fontId="25" fillId="0" borderId="27" xfId="0" applyFont="1" applyBorder="1" applyAlignment="1">
      <alignment horizontal="center"/>
    </xf>
    <xf numFmtId="0" fontId="25" fillId="0" borderId="27" xfId="3" applyFont="1" applyBorder="1" applyAlignment="1">
      <alignment vertical="center"/>
    </xf>
    <xf numFmtId="0" fontId="3" fillId="5" borderId="27" xfId="0" applyFont="1" applyFill="1" applyBorder="1"/>
    <xf numFmtId="0" fontId="3" fillId="0" borderId="49" xfId="0" applyFont="1" applyBorder="1" applyAlignment="1">
      <alignment horizontal="center"/>
    </xf>
    <xf numFmtId="0" fontId="1" fillId="0" borderId="49" xfId="0" applyFont="1" applyBorder="1" applyAlignment="1">
      <alignment horizontal="center"/>
    </xf>
    <xf numFmtId="0" fontId="12" fillId="0" borderId="49" xfId="0" applyFont="1" applyBorder="1" applyAlignment="1">
      <alignment horizontal="left"/>
    </xf>
    <xf numFmtId="0" fontId="12" fillId="0" borderId="49" xfId="0" applyFont="1" applyBorder="1" applyAlignment="1">
      <alignment horizontal="center"/>
    </xf>
    <xf numFmtId="0" fontId="17" fillId="0" borderId="49" xfId="0" applyFont="1" applyBorder="1" applyAlignment="1">
      <alignment horizontal="center"/>
    </xf>
    <xf numFmtId="0" fontId="6" fillId="0" borderId="49" xfId="0" applyFont="1" applyBorder="1" applyAlignment="1">
      <alignment horizontal="center"/>
    </xf>
    <xf numFmtId="0" fontId="3" fillId="0" borderId="49" xfId="0" applyFont="1" applyBorder="1" applyAlignment="1">
      <alignment horizontal="center" vertical="top"/>
    </xf>
    <xf numFmtId="0" fontId="1" fillId="0" borderId="49" xfId="0" applyFont="1" applyBorder="1" applyProtection="1">
      <protection locked="0"/>
    </xf>
    <xf numFmtId="0" fontId="3" fillId="0" borderId="49" xfId="0" applyFont="1" applyBorder="1"/>
    <xf numFmtId="0" fontId="9" fillId="5" borderId="58" xfId="0" applyFont="1" applyFill="1" applyBorder="1" applyAlignment="1">
      <alignment horizontal="center" vertical="center" wrapText="1"/>
    </xf>
    <xf numFmtId="0" fontId="0" fillId="0" borderId="57" xfId="0" applyBorder="1" applyAlignment="1" applyProtection="1">
      <alignment horizontal="center"/>
      <protection locked="0"/>
    </xf>
    <xf numFmtId="0" fontId="0" fillId="0" borderId="57" xfId="0" applyBorder="1" applyAlignment="1" applyProtection="1">
      <alignment horizontal="left"/>
      <protection locked="0"/>
    </xf>
    <xf numFmtId="0" fontId="20" fillId="0" borderId="0" xfId="0" applyFont="1" applyAlignment="1">
      <alignment horizontal="center" vertical="center"/>
    </xf>
    <xf numFmtId="0" fontId="15" fillId="0" borderId="27" xfId="0" applyFont="1" applyBorder="1" applyAlignment="1">
      <alignment horizontal="center"/>
    </xf>
    <xf numFmtId="0" fontId="0" fillId="4" borderId="40" xfId="0" applyFill="1" applyBorder="1" applyAlignment="1">
      <alignment horizontal="center"/>
    </xf>
    <xf numFmtId="0" fontId="0" fillId="4" borderId="0" xfId="0" applyFill="1"/>
    <xf numFmtId="0" fontId="0" fillId="4" borderId="0" xfId="0" applyFill="1" applyAlignment="1">
      <alignment horizontal="center"/>
    </xf>
    <xf numFmtId="0" fontId="0" fillId="4" borderId="49" xfId="0" applyFill="1" applyBorder="1" applyAlignment="1">
      <alignment horizontal="center"/>
    </xf>
    <xf numFmtId="0" fontId="0" fillId="4" borderId="49" xfId="0" applyFill="1" applyBorder="1"/>
    <xf numFmtId="0" fontId="14" fillId="0" borderId="42" xfId="0" applyFont="1" applyBorder="1" applyAlignment="1">
      <alignment horizontal="center"/>
    </xf>
    <xf numFmtId="0" fontId="15" fillId="0" borderId="42" xfId="0" applyFont="1" applyBorder="1"/>
    <xf numFmtId="4" fontId="20" fillId="0" borderId="42" xfId="0" applyNumberFormat="1" applyFont="1" applyBorder="1" applyAlignment="1">
      <alignment horizontal="center"/>
    </xf>
    <xf numFmtId="0" fontId="19" fillId="0" borderId="42" xfId="0" applyFont="1" applyBorder="1"/>
    <xf numFmtId="0" fontId="20" fillId="0" borderId="0" xfId="0" applyFont="1" applyAlignment="1">
      <alignment horizontal="left" vertical="center"/>
    </xf>
    <xf numFmtId="0" fontId="17" fillId="0" borderId="42" xfId="0" applyFont="1" applyBorder="1" applyAlignment="1">
      <alignment horizontal="center"/>
    </xf>
    <xf numFmtId="0" fontId="6" fillId="0" borderId="42" xfId="0" applyFont="1" applyBorder="1"/>
    <xf numFmtId="0" fontId="3" fillId="0" borderId="42" xfId="0" applyFont="1" applyBorder="1" applyAlignment="1">
      <alignment vertical="top"/>
    </xf>
    <xf numFmtId="0" fontId="1" fillId="0" borderId="42" xfId="0" applyFont="1" applyBorder="1" applyAlignment="1" applyProtection="1">
      <alignment horizontal="center"/>
      <protection locked="0"/>
    </xf>
    <xf numFmtId="0" fontId="9" fillId="5" borderId="58" xfId="7" applyFont="1" applyFill="1" applyBorder="1" applyAlignment="1">
      <alignment horizontal="center" vertical="center" wrapText="1"/>
    </xf>
    <xf numFmtId="0" fontId="16" fillId="0" borderId="0" xfId="0" applyFont="1" applyAlignment="1">
      <alignment horizontal="center" vertical="center" wrapText="1"/>
    </xf>
    <xf numFmtId="0" fontId="8" fillId="0" borderId="0" xfId="0" applyFont="1" applyAlignment="1">
      <alignment horizontal="center" wrapText="1"/>
    </xf>
    <xf numFmtId="0" fontId="8" fillId="0" borderId="0" xfId="0" applyFont="1" applyAlignment="1">
      <alignment horizontal="center"/>
    </xf>
    <xf numFmtId="0" fontId="8" fillId="0" borderId="0" xfId="0" applyFont="1" applyAlignment="1" applyProtection="1">
      <alignment horizontal="center"/>
      <protection locked="0"/>
    </xf>
    <xf numFmtId="0" fontId="13" fillId="5" borderId="41" xfId="0" applyFont="1" applyFill="1" applyBorder="1" applyAlignment="1">
      <alignment horizontal="left"/>
    </xf>
    <xf numFmtId="0" fontId="3" fillId="5" borderId="0" xfId="0" applyFont="1" applyFill="1" applyAlignment="1">
      <alignment horizontal="center"/>
    </xf>
    <xf numFmtId="0" fontId="1" fillId="5" borderId="0" xfId="0" applyFont="1" applyFill="1" applyAlignment="1">
      <alignment horizontal="center"/>
    </xf>
    <xf numFmtId="4" fontId="1" fillId="5" borderId="31" xfId="0" applyNumberFormat="1" applyFont="1" applyFill="1" applyBorder="1" applyAlignment="1">
      <alignment horizontal="center"/>
    </xf>
    <xf numFmtId="164" fontId="1" fillId="5" borderId="32" xfId="0" applyNumberFormat="1" applyFont="1" applyFill="1" applyBorder="1" applyAlignment="1">
      <alignment horizontal="center"/>
    </xf>
    <xf numFmtId="0" fontId="13" fillId="5" borderId="1" xfId="0" applyFont="1" applyFill="1" applyBorder="1" applyAlignment="1">
      <alignment horizontal="left"/>
    </xf>
    <xf numFmtId="0" fontId="3" fillId="5" borderId="31" xfId="0" applyFont="1" applyFill="1" applyBorder="1" applyAlignment="1">
      <alignment horizontal="center"/>
    </xf>
    <xf numFmtId="0" fontId="1" fillId="5" borderId="31" xfId="0" applyFont="1" applyFill="1" applyBorder="1" applyAlignment="1">
      <alignment horizontal="center"/>
    </xf>
    <xf numFmtId="0" fontId="2" fillId="5" borderId="31" xfId="1" applyFont="1" applyFill="1" applyBorder="1" applyAlignment="1">
      <alignment horizontal="center"/>
    </xf>
    <xf numFmtId="0" fontId="1" fillId="5" borderId="1" xfId="0" applyFont="1" applyFill="1" applyBorder="1" applyAlignment="1">
      <alignment horizontal="left"/>
    </xf>
    <xf numFmtId="0" fontId="3" fillId="5" borderId="2" xfId="0" applyFont="1" applyFill="1" applyBorder="1" applyAlignment="1">
      <alignment horizontal="center"/>
    </xf>
    <xf numFmtId="0" fontId="1" fillId="5" borderId="2" xfId="0" applyFont="1" applyFill="1" applyBorder="1" applyAlignment="1">
      <alignment horizontal="center"/>
    </xf>
    <xf numFmtId="4" fontId="1" fillId="5" borderId="2" xfId="0" applyNumberFormat="1" applyFont="1" applyFill="1" applyBorder="1" applyAlignment="1">
      <alignment horizontal="center"/>
    </xf>
    <xf numFmtId="164" fontId="1" fillId="5" borderId="3" xfId="0" applyNumberFormat="1" applyFont="1" applyFill="1" applyBorder="1" applyAlignment="1">
      <alignment horizontal="center"/>
    </xf>
    <xf numFmtId="0" fontId="1" fillId="5" borderId="15" xfId="0" applyFont="1" applyFill="1" applyBorder="1" applyAlignment="1">
      <alignment horizontal="left"/>
    </xf>
    <xf numFmtId="0" fontId="3" fillId="5" borderId="42" xfId="0" applyFont="1" applyFill="1" applyBorder="1" applyAlignment="1" applyProtection="1">
      <alignment horizontal="center"/>
      <protection locked="0"/>
    </xf>
    <xf numFmtId="0" fontId="5" fillId="5" borderId="50" xfId="1" applyFont="1" applyFill="1" applyBorder="1" applyAlignment="1" applyProtection="1">
      <alignment horizontal="center"/>
      <protection locked="0"/>
    </xf>
    <xf numFmtId="0" fontId="5" fillId="5" borderId="1" xfId="1" applyFont="1" applyFill="1" applyBorder="1" applyProtection="1">
      <protection locked="0"/>
    </xf>
    <xf numFmtId="4" fontId="5" fillId="5" borderId="2" xfId="1" applyNumberFormat="1" applyFont="1" applyFill="1" applyBorder="1" applyAlignment="1" applyProtection="1">
      <alignment horizontal="center"/>
      <protection locked="0"/>
    </xf>
    <xf numFmtId="164" fontId="3" fillId="5" borderId="3" xfId="0" applyNumberFormat="1" applyFont="1" applyFill="1" applyBorder="1" applyAlignment="1">
      <alignment horizontal="center"/>
    </xf>
    <xf numFmtId="0" fontId="3" fillId="5" borderId="13" xfId="0" applyFont="1" applyFill="1" applyBorder="1" applyAlignment="1">
      <alignment horizontal="center"/>
    </xf>
    <xf numFmtId="0" fontId="1" fillId="5" borderId="13" xfId="0" applyFont="1" applyFill="1" applyBorder="1" applyAlignment="1">
      <alignment horizontal="center"/>
    </xf>
    <xf numFmtId="0" fontId="15" fillId="0" borderId="2" xfId="0" applyFont="1" applyBorder="1" applyAlignment="1">
      <alignment horizontal="center"/>
    </xf>
    <xf numFmtId="0" fontId="15" fillId="0" borderId="3" xfId="0" applyFont="1" applyBorder="1" applyAlignment="1">
      <alignment horizontal="center"/>
    </xf>
    <xf numFmtId="2" fontId="20" fillId="0" borderId="27" xfId="0" applyNumberFormat="1" applyFont="1" applyBorder="1" applyAlignment="1">
      <alignment horizontal="center"/>
    </xf>
    <xf numFmtId="1" fontId="15" fillId="0" borderId="45" xfId="0" applyNumberFormat="1" applyFont="1" applyBorder="1" applyAlignment="1" applyProtection="1">
      <alignment horizontal="center" wrapText="1"/>
      <protection locked="0"/>
    </xf>
    <xf numFmtId="0" fontId="15" fillId="5" borderId="8" xfId="0" applyFont="1" applyFill="1" applyBorder="1" applyAlignment="1" applyProtection="1">
      <alignment horizontal="center"/>
      <protection locked="0"/>
    </xf>
    <xf numFmtId="0" fontId="15" fillId="0" borderId="26" xfId="0" applyFont="1" applyBorder="1"/>
    <xf numFmtId="0" fontId="15" fillId="0" borderId="33" xfId="0" applyFont="1" applyBorder="1" applyAlignment="1">
      <alignment vertical="top"/>
    </xf>
    <xf numFmtId="0" fontId="15" fillId="0" borderId="4" xfId="0" applyFont="1" applyBorder="1" applyAlignment="1">
      <alignment horizontal="center"/>
    </xf>
    <xf numFmtId="1" fontId="15" fillId="0" borderId="18" xfId="0" applyNumberFormat="1" applyFont="1" applyBorder="1" applyAlignment="1">
      <alignment horizontal="center"/>
    </xf>
    <xf numFmtId="1" fontId="15" fillId="0" borderId="24" xfId="0" applyNumberFormat="1" applyFont="1" applyBorder="1" applyAlignment="1">
      <alignment horizontal="center"/>
    </xf>
    <xf numFmtId="3" fontId="15" fillId="0" borderId="24" xfId="0" applyNumberFormat="1" applyFont="1" applyBorder="1" applyAlignment="1">
      <alignment horizontal="center"/>
    </xf>
    <xf numFmtId="164" fontId="15" fillId="0" borderId="21" xfId="0" applyNumberFormat="1" applyFont="1" applyBorder="1" applyAlignment="1">
      <alignment horizontal="center"/>
    </xf>
    <xf numFmtId="0" fontId="15" fillId="0" borderId="18" xfId="0" applyFont="1" applyBorder="1" applyAlignment="1">
      <alignment horizontal="center"/>
    </xf>
    <xf numFmtId="164" fontId="15" fillId="0" borderId="27" xfId="0" applyNumberFormat="1" applyFont="1" applyBorder="1" applyAlignment="1">
      <alignment horizontal="center"/>
    </xf>
    <xf numFmtId="0" fontId="15" fillId="0" borderId="24" xfId="0" applyFont="1" applyBorder="1" applyAlignment="1">
      <alignment horizontal="center"/>
    </xf>
    <xf numFmtId="164" fontId="15" fillId="0" borderId="30" xfId="0" applyNumberFormat="1" applyFont="1" applyBorder="1" applyAlignment="1">
      <alignment horizontal="center"/>
    </xf>
    <xf numFmtId="164" fontId="15" fillId="0" borderId="34" xfId="0" applyNumberFormat="1" applyFont="1" applyBorder="1" applyAlignment="1">
      <alignment horizontal="center"/>
    </xf>
    <xf numFmtId="0" fontId="15" fillId="0" borderId="35" xfId="0" applyFont="1" applyBorder="1" applyAlignment="1">
      <alignment horizontal="center"/>
    </xf>
    <xf numFmtId="164" fontId="15" fillId="0" borderId="21" xfId="0" applyNumberFormat="1" applyFont="1" applyBorder="1" applyAlignment="1">
      <alignment horizontal="center" vertical="top"/>
    </xf>
    <xf numFmtId="0" fontId="15" fillId="0" borderId="18" xfId="0" applyFont="1" applyBorder="1" applyAlignment="1">
      <alignment horizontal="center" vertical="top"/>
    </xf>
    <xf numFmtId="164" fontId="15" fillId="0" borderId="27" xfId="0" applyNumberFormat="1" applyFont="1" applyBorder="1" applyAlignment="1">
      <alignment horizontal="center" vertical="top"/>
    </xf>
    <xf numFmtId="0" fontId="15" fillId="0" borderId="24" xfId="0" applyFont="1" applyBorder="1" applyAlignment="1">
      <alignment horizontal="center" vertical="top"/>
    </xf>
    <xf numFmtId="164" fontId="15" fillId="0" borderId="30" xfId="0" applyNumberFormat="1" applyFont="1" applyBorder="1" applyAlignment="1">
      <alignment horizontal="center" vertical="top"/>
    </xf>
    <xf numFmtId="0" fontId="15" fillId="0" borderId="28" xfId="0" applyFont="1" applyBorder="1" applyAlignment="1">
      <alignment horizontal="center" vertical="top"/>
    </xf>
    <xf numFmtId="164" fontId="15" fillId="0" borderId="34" xfId="0" applyNumberFormat="1" applyFont="1" applyBorder="1" applyAlignment="1">
      <alignment horizontal="center" vertical="top"/>
    </xf>
    <xf numFmtId="0" fontId="15" fillId="0" borderId="35" xfId="0" applyFont="1" applyBorder="1" applyAlignment="1">
      <alignment horizontal="center" vertical="top"/>
    </xf>
    <xf numFmtId="0" fontId="15" fillId="0" borderId="53" xfId="0" applyFont="1" applyBorder="1" applyAlignment="1">
      <alignment horizontal="center" vertical="top"/>
    </xf>
    <xf numFmtId="14" fontId="15" fillId="0" borderId="2" xfId="0" applyNumberFormat="1" applyFont="1" applyBorder="1"/>
    <xf numFmtId="14" fontId="15" fillId="0" borderId="3" xfId="0" applyNumberFormat="1" applyFont="1" applyBorder="1"/>
    <xf numFmtId="0" fontId="15" fillId="5" borderId="17" xfId="0" applyFont="1" applyFill="1" applyBorder="1" applyProtection="1">
      <protection locked="0"/>
    </xf>
    <xf numFmtId="14" fontId="15" fillId="5" borderId="21" xfId="0" applyNumberFormat="1" applyFont="1" applyFill="1" applyBorder="1" applyProtection="1">
      <protection locked="0"/>
    </xf>
    <xf numFmtId="0" fontId="15" fillId="5" borderId="18" xfId="0" applyFont="1" applyFill="1" applyBorder="1" applyProtection="1">
      <protection locked="0"/>
    </xf>
    <xf numFmtId="0" fontId="15" fillId="5" borderId="23" xfId="0" applyFont="1" applyFill="1" applyBorder="1" applyProtection="1">
      <protection locked="0"/>
    </xf>
    <xf numFmtId="0" fontId="15" fillId="5" borderId="27" xfId="0" applyFont="1" applyFill="1" applyBorder="1" applyProtection="1">
      <protection locked="0"/>
    </xf>
    <xf numFmtId="0" fontId="15" fillId="5" borderId="24" xfId="0" applyFont="1" applyFill="1" applyBorder="1" applyProtection="1">
      <protection locked="0"/>
    </xf>
    <xf numFmtId="0" fontId="15" fillId="5" borderId="33" xfId="0" applyFont="1" applyFill="1" applyBorder="1" applyProtection="1">
      <protection locked="0"/>
    </xf>
    <xf numFmtId="0" fontId="15" fillId="5" borderId="34" xfId="0" applyFont="1" applyFill="1" applyBorder="1" applyProtection="1">
      <protection locked="0"/>
    </xf>
    <xf numFmtId="0" fontId="15" fillId="5" borderId="35" xfId="0" applyFont="1" applyFill="1" applyBorder="1" applyProtection="1">
      <protection locked="0"/>
    </xf>
    <xf numFmtId="0" fontId="15" fillId="5" borderId="18" xfId="0" applyFont="1" applyFill="1" applyBorder="1" applyAlignment="1">
      <alignment horizontal="center"/>
    </xf>
    <xf numFmtId="14" fontId="15" fillId="0" borderId="28" xfId="0" applyNumberFormat="1" applyFont="1" applyBorder="1" applyAlignment="1">
      <alignment horizontal="center"/>
    </xf>
    <xf numFmtId="14" fontId="14" fillId="0" borderId="8" xfId="0" applyNumberFormat="1" applyFont="1" applyBorder="1" applyAlignment="1">
      <alignment horizontal="center" vertical="top" wrapText="1"/>
    </xf>
    <xf numFmtId="0" fontId="15" fillId="0" borderId="8" xfId="0" applyFont="1" applyBorder="1" applyAlignment="1">
      <alignment horizontal="left" vertical="top" wrapText="1"/>
    </xf>
    <xf numFmtId="0" fontId="15" fillId="0" borderId="1" xfId="0" applyFont="1" applyBorder="1" applyAlignment="1">
      <alignment horizontal="center" vertical="top" wrapText="1"/>
    </xf>
    <xf numFmtId="0" fontId="15" fillId="0" borderId="3" xfId="0" applyFont="1" applyBorder="1" applyAlignment="1">
      <alignment horizontal="center" vertical="top" wrapText="1"/>
    </xf>
    <xf numFmtId="0" fontId="31" fillId="0" borderId="0" xfId="0" applyFont="1" applyAlignment="1">
      <alignment horizontal="center" vertical="center"/>
    </xf>
    <xf numFmtId="0" fontId="20" fillId="0" borderId="2" xfId="0" applyFont="1" applyBorder="1" applyAlignment="1" applyProtection="1">
      <alignment horizontal="left"/>
      <protection locked="0"/>
    </xf>
    <xf numFmtId="0" fontId="20" fillId="2" borderId="0" xfId="8" applyFont="1" applyFill="1"/>
    <xf numFmtId="0" fontId="20" fillId="0" borderId="0" xfId="8" applyFont="1"/>
    <xf numFmtId="1" fontId="15" fillId="2" borderId="27" xfId="0" applyNumberFormat="1" applyFont="1" applyFill="1" applyBorder="1" applyAlignment="1">
      <alignment horizontal="center"/>
    </xf>
    <xf numFmtId="0" fontId="0" fillId="8" borderId="10" xfId="0" applyFill="1" applyBorder="1" applyAlignment="1">
      <alignment horizontal="center"/>
    </xf>
    <xf numFmtId="0" fontId="10" fillId="0" borderId="0" xfId="9" applyFont="1" applyFill="1" applyAlignment="1" applyProtection="1">
      <alignment horizontal="center"/>
    </xf>
    <xf numFmtId="2" fontId="20" fillId="5" borderId="27" xfId="0" applyNumberFormat="1" applyFont="1" applyFill="1" applyBorder="1" applyAlignment="1">
      <alignment horizontal="center"/>
    </xf>
    <xf numFmtId="164" fontId="15" fillId="0" borderId="26" xfId="0" applyNumberFormat="1" applyFont="1" applyBorder="1" applyAlignment="1">
      <alignment horizontal="center" vertical="top"/>
    </xf>
    <xf numFmtId="0" fontId="35" fillId="0" borderId="17" xfId="0" applyFont="1" applyBorder="1" applyAlignment="1">
      <alignment horizontal="left"/>
    </xf>
    <xf numFmtId="0" fontId="20" fillId="0" borderId="23" xfId="9" applyFont="1" applyFill="1" applyBorder="1" applyAlignment="1">
      <alignment horizontal="left"/>
    </xf>
    <xf numFmtId="0" fontId="32" fillId="0" borderId="23" xfId="9" applyFont="1" applyFill="1" applyBorder="1" applyAlignment="1">
      <alignment horizontal="left"/>
    </xf>
    <xf numFmtId="0" fontId="35" fillId="0" borderId="23" xfId="0" applyFont="1" applyBorder="1" applyAlignment="1">
      <alignment horizontal="left"/>
    </xf>
    <xf numFmtId="0" fontId="19" fillId="3" borderId="42" xfId="10" applyFont="1" applyFill="1" applyBorder="1" applyAlignment="1" applyProtection="1">
      <alignment horizontal="center" vertical="center" wrapText="1"/>
      <protection locked="0"/>
    </xf>
    <xf numFmtId="0" fontId="20" fillId="5" borderId="45" xfId="1" applyFont="1" applyFill="1" applyBorder="1" applyAlignment="1" applyProtection="1">
      <alignment horizontal="left"/>
      <protection locked="0"/>
    </xf>
    <xf numFmtId="2" fontId="20" fillId="5" borderId="45" xfId="1" applyNumberFormat="1" applyFont="1" applyFill="1" applyBorder="1" applyAlignment="1" applyProtection="1">
      <alignment horizontal="right"/>
      <protection locked="0"/>
    </xf>
    <xf numFmtId="0" fontId="20" fillId="5" borderId="27" xfId="1" applyFont="1" applyFill="1" applyBorder="1" applyAlignment="1" applyProtection="1">
      <alignment horizontal="left"/>
      <protection locked="0"/>
    </xf>
    <xf numFmtId="2" fontId="20" fillId="5" borderId="27" xfId="1" applyNumberFormat="1" applyFont="1" applyFill="1" applyBorder="1" applyAlignment="1" applyProtection="1">
      <alignment horizontal="right"/>
      <protection locked="0"/>
    </xf>
    <xf numFmtId="0" fontId="24" fillId="0" borderId="27" xfId="1" applyFont="1" applyBorder="1" applyAlignment="1" applyProtection="1">
      <alignment horizontal="left"/>
      <protection locked="0"/>
    </xf>
    <xf numFmtId="2" fontId="20" fillId="5" borderId="30" xfId="1" applyNumberFormat="1" applyFont="1" applyFill="1" applyBorder="1" applyAlignment="1" applyProtection="1">
      <alignment horizontal="right"/>
      <protection locked="0"/>
    </xf>
    <xf numFmtId="4" fontId="20" fillId="5" borderId="27" xfId="0" applyNumberFormat="1" applyFont="1" applyFill="1" applyBorder="1" applyAlignment="1" applyProtection="1">
      <alignment horizontal="center"/>
      <protection locked="0"/>
    </xf>
    <xf numFmtId="2" fontId="20" fillId="5" borderId="27" xfId="0" applyNumberFormat="1" applyFont="1" applyFill="1" applyBorder="1" applyAlignment="1" applyProtection="1">
      <alignment horizontal="center"/>
      <protection locked="0"/>
    </xf>
    <xf numFmtId="4" fontId="20" fillId="5" borderId="27" xfId="0" applyNumberFormat="1" applyFont="1" applyFill="1" applyBorder="1" applyAlignment="1">
      <alignment horizontal="center"/>
    </xf>
    <xf numFmtId="2" fontId="20" fillId="5" borderId="30" xfId="0" applyNumberFormat="1" applyFont="1" applyFill="1" applyBorder="1" applyAlignment="1" applyProtection="1">
      <alignment horizontal="center"/>
      <protection locked="0"/>
    </xf>
    <xf numFmtId="2" fontId="20" fillId="5" borderId="30" xfId="1" applyNumberFormat="1" applyFont="1" applyFill="1" applyBorder="1" applyAlignment="1" applyProtection="1">
      <alignment horizontal="center"/>
      <protection locked="0"/>
    </xf>
    <xf numFmtId="43" fontId="15" fillId="0" borderId="30" xfId="0" applyNumberFormat="1" applyFont="1" applyBorder="1" applyAlignment="1" applyProtection="1">
      <alignment horizontal="center"/>
      <protection locked="0"/>
    </xf>
    <xf numFmtId="2" fontId="20" fillId="5" borderId="45" xfId="0" applyNumberFormat="1" applyFont="1" applyFill="1" applyBorder="1" applyAlignment="1" applyProtection="1">
      <alignment horizontal="center"/>
      <protection locked="0"/>
    </xf>
    <xf numFmtId="0" fontId="15" fillId="0" borderId="27" xfId="0" applyFont="1" applyBorder="1" applyAlignment="1" applyProtection="1">
      <alignment horizontal="left"/>
      <protection locked="0"/>
    </xf>
    <xf numFmtId="0" fontId="15" fillId="0" borderId="27" xfId="0" applyFont="1" applyBorder="1" applyProtection="1">
      <protection locked="0"/>
    </xf>
    <xf numFmtId="0" fontId="1" fillId="0" borderId="0" xfId="0" applyFont="1" applyAlignment="1">
      <alignment horizontal="right"/>
    </xf>
    <xf numFmtId="0" fontId="36" fillId="0" borderId="0" xfId="0" applyFont="1" applyAlignment="1">
      <alignment horizontal="center" vertical="center" wrapText="1"/>
    </xf>
    <xf numFmtId="0" fontId="1" fillId="0" borderId="0" xfId="0" applyFont="1" applyAlignment="1">
      <alignment horizontal="center"/>
    </xf>
    <xf numFmtId="164" fontId="1" fillId="0" borderId="0" xfId="0" applyNumberFormat="1" applyFont="1"/>
    <xf numFmtId="164" fontId="1" fillId="0" borderId="0" xfId="0" applyNumberFormat="1" applyFont="1" applyAlignment="1">
      <alignment horizontal="center"/>
    </xf>
    <xf numFmtId="164" fontId="1" fillId="0" borderId="3" xfId="0" applyNumberFormat="1" applyFont="1" applyBorder="1" applyAlignment="1">
      <alignment horizontal="center"/>
    </xf>
    <xf numFmtId="0" fontId="1" fillId="0" borderId="37" xfId="0" applyFont="1" applyBorder="1" applyAlignment="1">
      <alignment horizontal="center"/>
    </xf>
    <xf numFmtId="0" fontId="37" fillId="0" borderId="0" xfId="0" applyFont="1" applyAlignment="1">
      <alignment horizontal="center"/>
    </xf>
    <xf numFmtId="164" fontId="1" fillId="0" borderId="38" xfId="0" applyNumberFormat="1" applyFont="1" applyBorder="1" applyAlignment="1">
      <alignment horizontal="center"/>
    </xf>
    <xf numFmtId="0" fontId="3" fillId="0" borderId="37" xfId="0" applyFont="1" applyBorder="1" applyAlignment="1">
      <alignment horizontal="center"/>
    </xf>
    <xf numFmtId="164" fontId="3" fillId="0" borderId="38" xfId="0" applyNumberFormat="1" applyFont="1" applyBorder="1" applyAlignment="1">
      <alignment horizontal="center"/>
    </xf>
    <xf numFmtId="0" fontId="3" fillId="0" borderId="15" xfId="0" applyFont="1" applyBorder="1" applyAlignment="1">
      <alignment horizontal="center"/>
    </xf>
    <xf numFmtId="0" fontId="3" fillId="0" borderId="13" xfId="0" applyFont="1" applyBorder="1"/>
    <xf numFmtId="164" fontId="3" fillId="0" borderId="14" xfId="0" applyNumberFormat="1" applyFont="1" applyBorder="1" applyAlignment="1">
      <alignment horizontal="center"/>
    </xf>
    <xf numFmtId="0" fontId="3" fillId="0" borderId="41" xfId="0" applyFont="1" applyBorder="1" applyAlignment="1">
      <alignment horizontal="center"/>
    </xf>
    <xf numFmtId="0" fontId="37" fillId="0" borderId="31" xfId="0" applyFont="1" applyBorder="1" applyAlignment="1">
      <alignment horizontal="center"/>
    </xf>
    <xf numFmtId="164" fontId="3" fillId="0" borderId="32" xfId="0" applyNumberFormat="1" applyFont="1" applyBorder="1" applyAlignment="1">
      <alignment horizontal="center"/>
    </xf>
    <xf numFmtId="0" fontId="1" fillId="0" borderId="41" xfId="0" applyFont="1" applyBorder="1" applyAlignment="1">
      <alignment horizontal="center"/>
    </xf>
    <xf numFmtId="164" fontId="0" fillId="0" borderId="0" xfId="0" applyNumberFormat="1"/>
    <xf numFmtId="0" fontId="0" fillId="0" borderId="37" xfId="0" applyBorder="1" applyAlignment="1">
      <alignment horizontal="center"/>
    </xf>
    <xf numFmtId="164" fontId="1" fillId="0" borderId="32" xfId="0" applyNumberFormat="1" applyFont="1" applyBorder="1" applyAlignment="1">
      <alignment horizontal="center"/>
    </xf>
    <xf numFmtId="0" fontId="1" fillId="0" borderId="15" xfId="0" applyFont="1" applyBorder="1" applyAlignment="1">
      <alignment horizontal="center"/>
    </xf>
    <xf numFmtId="0" fontId="3" fillId="0" borderId="13" xfId="0" applyFont="1" applyBorder="1" applyAlignment="1">
      <alignment horizontal="left"/>
    </xf>
    <xf numFmtId="0" fontId="3" fillId="0" borderId="0" xfId="0" applyFont="1" applyAlignment="1">
      <alignment horizontal="left"/>
    </xf>
    <xf numFmtId="0" fontId="37" fillId="0" borderId="31" xfId="0" applyFont="1" applyBorder="1" applyAlignment="1">
      <alignment horizontal="center" vertical="top"/>
    </xf>
    <xf numFmtId="0" fontId="3" fillId="0" borderId="76" xfId="0" applyFont="1" applyBorder="1" applyAlignment="1">
      <alignment horizontal="center"/>
    </xf>
    <xf numFmtId="0" fontId="3" fillId="0" borderId="55" xfId="0" applyFont="1" applyBorder="1" applyAlignment="1">
      <alignment horizontal="left"/>
    </xf>
    <xf numFmtId="164" fontId="3" fillId="0" borderId="77" xfId="0" applyNumberFormat="1" applyFont="1" applyBorder="1" applyAlignment="1">
      <alignment horizontal="center"/>
    </xf>
    <xf numFmtId="164" fontId="1" fillId="0" borderId="14" xfId="0" applyNumberFormat="1" applyFont="1" applyBorder="1" applyAlignment="1">
      <alignment horizontal="center"/>
    </xf>
    <xf numFmtId="0" fontId="13" fillId="0" borderId="2" xfId="0" applyFont="1" applyBorder="1" applyAlignment="1">
      <alignment horizontal="center"/>
    </xf>
    <xf numFmtId="164" fontId="0" fillId="0" borderId="0" xfId="0" applyNumberFormat="1" applyAlignment="1" applyProtection="1">
      <alignment horizontal="center"/>
      <protection locked="0"/>
    </xf>
    <xf numFmtId="0" fontId="11" fillId="0" borderId="0" xfId="0" applyFont="1"/>
    <xf numFmtId="0" fontId="4" fillId="0" borderId="0" xfId="0" applyFont="1"/>
    <xf numFmtId="0" fontId="9" fillId="0" borderId="0" xfId="0" applyFont="1" applyAlignment="1">
      <alignment horizontal="center"/>
    </xf>
    <xf numFmtId="0" fontId="39" fillId="0" borderId="0" xfId="0" applyFont="1"/>
    <xf numFmtId="0" fontId="4" fillId="0" borderId="55" xfId="0" applyFont="1" applyBorder="1" applyAlignment="1">
      <alignment horizontal="center"/>
    </xf>
    <xf numFmtId="0" fontId="4" fillId="0" borderId="0" xfId="0" applyFont="1" applyAlignment="1">
      <alignment horizontal="center"/>
    </xf>
    <xf numFmtId="0" fontId="39" fillId="0" borderId="55" xfId="0" applyFont="1" applyBorder="1" applyProtection="1">
      <protection locked="0"/>
    </xf>
    <xf numFmtId="0" fontId="4" fillId="0" borderId="0" xfId="0" applyFont="1" applyProtection="1">
      <protection locked="0"/>
    </xf>
    <xf numFmtId="0" fontId="4" fillId="5" borderId="40" xfId="0" applyFont="1" applyFill="1" applyBorder="1" applyAlignment="1" applyProtection="1">
      <alignment horizontal="center"/>
      <protection locked="0"/>
    </xf>
    <xf numFmtId="0" fontId="11" fillId="0" borderId="0" xfId="0" applyFont="1" applyAlignment="1" applyProtection="1">
      <alignment horizontal="center"/>
      <protection locked="0"/>
    </xf>
    <xf numFmtId="0" fontId="40" fillId="0" borderId="0" xfId="0" applyFont="1"/>
    <xf numFmtId="0" fontId="4" fillId="0" borderId="40" xfId="0" applyFont="1" applyBorder="1" applyAlignment="1" applyProtection="1">
      <alignment horizontal="center"/>
      <protection locked="0"/>
    </xf>
    <xf numFmtId="0" fontId="4" fillId="0" borderId="0" xfId="0" applyFont="1" applyAlignment="1" applyProtection="1">
      <alignment horizontal="center"/>
      <protection locked="0"/>
    </xf>
    <xf numFmtId="0" fontId="4" fillId="0" borderId="55" xfId="0" applyFont="1" applyBorder="1" applyProtection="1">
      <protection locked="0"/>
    </xf>
    <xf numFmtId="0" fontId="11" fillId="11" borderId="53" xfId="0" applyFont="1" applyFill="1" applyBorder="1" applyAlignment="1">
      <alignment horizontal="center" vertical="center"/>
    </xf>
    <xf numFmtId="0" fontId="11" fillId="11" borderId="30" xfId="0" applyFont="1" applyFill="1" applyBorder="1" applyAlignment="1">
      <alignment horizontal="center" vertical="center"/>
    </xf>
    <xf numFmtId="0" fontId="11" fillId="12" borderId="30" xfId="0" applyFont="1" applyFill="1" applyBorder="1" applyAlignment="1">
      <alignment horizontal="center" vertical="center"/>
    </xf>
    <xf numFmtId="0" fontId="11" fillId="11" borderId="50" xfId="0" applyFont="1" applyFill="1" applyBorder="1" applyAlignment="1">
      <alignment horizontal="center" vertical="center"/>
    </xf>
    <xf numFmtId="0" fontId="11" fillId="11" borderId="42" xfId="0" applyFont="1" applyFill="1" applyBorder="1" applyAlignment="1">
      <alignment horizontal="center" vertical="center"/>
    </xf>
    <xf numFmtId="0" fontId="11" fillId="11" borderId="52" xfId="0" applyFont="1" applyFill="1" applyBorder="1" applyAlignment="1">
      <alignment horizontal="center" vertical="center"/>
    </xf>
    <xf numFmtId="0" fontId="11" fillId="12" borderId="45" xfId="0" applyFont="1" applyFill="1" applyBorder="1" applyAlignment="1">
      <alignment horizontal="center" vertical="center"/>
    </xf>
    <xf numFmtId="0" fontId="0" fillId="0" borderId="27" xfId="0" applyBorder="1" applyProtection="1">
      <protection locked="0"/>
    </xf>
    <xf numFmtId="0" fontId="0" fillId="0" borderId="27" xfId="0" applyBorder="1" applyAlignment="1" applyProtection="1">
      <alignment horizontal="center"/>
      <protection locked="0"/>
    </xf>
    <xf numFmtId="0" fontId="0" fillId="0" borderId="27" xfId="0" applyBorder="1" applyAlignment="1" applyProtection="1">
      <alignment horizontal="left"/>
      <protection locked="0"/>
    </xf>
    <xf numFmtId="0" fontId="11" fillId="0" borderId="27" xfId="0" applyFont="1" applyBorder="1" applyAlignment="1" applyProtection="1">
      <alignment horizontal="left"/>
      <protection locked="0"/>
    </xf>
    <xf numFmtId="0" fontId="11" fillId="0" borderId="27" xfId="0" applyFont="1" applyBorder="1" applyAlignment="1" applyProtection="1">
      <alignment horizontal="center"/>
      <protection locked="0"/>
    </xf>
    <xf numFmtId="44" fontId="11" fillId="0" borderId="27" xfId="2" applyFont="1" applyBorder="1" applyAlignment="1" applyProtection="1">
      <alignment horizontal="left"/>
      <protection locked="0"/>
    </xf>
    <xf numFmtId="0" fontId="4" fillId="0" borderId="27" xfId="0" applyFont="1" applyBorder="1" applyProtection="1">
      <protection locked="0"/>
    </xf>
    <xf numFmtId="0" fontId="11" fillId="0" borderId="27" xfId="0" applyFont="1" applyBorder="1" applyProtection="1">
      <protection locked="0"/>
    </xf>
    <xf numFmtId="44" fontId="11" fillId="0" borderId="27" xfId="2" applyFont="1" applyBorder="1" applyAlignment="1" applyProtection="1">
      <alignment horizontal="center"/>
      <protection locked="0"/>
    </xf>
    <xf numFmtId="0" fontId="4" fillId="0" borderId="27" xfId="0" applyFont="1" applyBorder="1" applyAlignment="1" applyProtection="1">
      <alignment horizontal="center"/>
      <protection locked="0"/>
    </xf>
    <xf numFmtId="44" fontId="11" fillId="0" borderId="27" xfId="2" applyFont="1" applyBorder="1" applyAlignment="1" applyProtection="1">
      <alignment horizontal="right"/>
      <protection locked="0"/>
    </xf>
    <xf numFmtId="0" fontId="11" fillId="0" borderId="27" xfId="0" applyFont="1" applyBorder="1" applyAlignment="1" applyProtection="1">
      <alignment wrapText="1"/>
      <protection locked="0"/>
    </xf>
    <xf numFmtId="0" fontId="4" fillId="0" borderId="30" xfId="0" applyFont="1" applyBorder="1" applyProtection="1">
      <protection locked="0"/>
    </xf>
    <xf numFmtId="0" fontId="11" fillId="0" borderId="30" xfId="0" applyFont="1" applyBorder="1" applyProtection="1">
      <protection locked="0"/>
    </xf>
    <xf numFmtId="0" fontId="11" fillId="0" borderId="27" xfId="0" applyFont="1" applyBorder="1"/>
    <xf numFmtId="0" fontId="11" fillId="0" borderId="26" xfId="0" applyFont="1" applyBorder="1"/>
    <xf numFmtId="44" fontId="11" fillId="0" borderId="26" xfId="0" applyNumberFormat="1" applyFont="1" applyBorder="1" applyAlignment="1">
      <alignment horizontal="center"/>
    </xf>
    <xf numFmtId="0" fontId="4" fillId="0" borderId="53" xfId="0" applyFont="1" applyBorder="1" applyProtection="1">
      <protection locked="0"/>
    </xf>
    <xf numFmtId="9" fontId="11" fillId="0" borderId="26" xfId="0" applyNumberFormat="1" applyFont="1" applyBorder="1"/>
    <xf numFmtId="0" fontId="4" fillId="0" borderId="50" xfId="0" applyFont="1" applyBorder="1" applyProtection="1">
      <protection locked="0"/>
    </xf>
    <xf numFmtId="0" fontId="41" fillId="0" borderId="27" xfId="0" applyFont="1" applyBorder="1"/>
    <xf numFmtId="0" fontId="41" fillId="0" borderId="26" xfId="0" applyFont="1" applyBorder="1"/>
    <xf numFmtId="0" fontId="4" fillId="0" borderId="52" xfId="0" applyFont="1" applyBorder="1" applyProtection="1">
      <protection locked="0"/>
    </xf>
    <xf numFmtId="0" fontId="11" fillId="0" borderId="55" xfId="0" applyFont="1" applyBorder="1" applyProtection="1">
      <protection locked="0"/>
    </xf>
    <xf numFmtId="0" fontId="11" fillId="11" borderId="27" xfId="0" applyFont="1" applyFill="1" applyBorder="1" applyAlignment="1" applyProtection="1">
      <alignment horizontal="center"/>
      <protection locked="0"/>
    </xf>
    <xf numFmtId="0" fontId="11" fillId="11" borderId="27" xfId="0" applyFont="1" applyFill="1" applyBorder="1" applyProtection="1">
      <protection locked="0"/>
    </xf>
    <xf numFmtId="0" fontId="11" fillId="11" borderId="40" xfId="0" applyFont="1" applyFill="1" applyBorder="1" applyProtection="1">
      <protection locked="0"/>
    </xf>
    <xf numFmtId="0" fontId="4" fillId="11" borderId="40" xfId="0" applyFont="1" applyFill="1" applyBorder="1" applyProtection="1">
      <protection locked="0"/>
    </xf>
    <xf numFmtId="0" fontId="4" fillId="11" borderId="25" xfId="0" applyFont="1" applyFill="1" applyBorder="1" applyProtection="1">
      <protection locked="0"/>
    </xf>
    <xf numFmtId="0" fontId="4" fillId="12" borderId="27" xfId="0" applyFont="1" applyFill="1" applyBorder="1" applyProtection="1">
      <protection locked="0"/>
    </xf>
    <xf numFmtId="0" fontId="4" fillId="0" borderId="26" xfId="0" applyFont="1" applyBorder="1" applyProtection="1">
      <protection locked="0"/>
    </xf>
    <xf numFmtId="0" fontId="4" fillId="0" borderId="40" xfId="0" applyFont="1" applyBorder="1" applyProtection="1">
      <protection locked="0"/>
    </xf>
    <xf numFmtId="0" fontId="4" fillId="0" borderId="25" xfId="0" applyFont="1" applyBorder="1" applyProtection="1">
      <protection locked="0"/>
    </xf>
    <xf numFmtId="0" fontId="4" fillId="0" borderId="42" xfId="0" applyFont="1" applyBorder="1" applyProtection="1">
      <protection locked="0"/>
    </xf>
    <xf numFmtId="0" fontId="4" fillId="0" borderId="49" xfId="0" applyFont="1" applyBorder="1" applyProtection="1">
      <protection locked="0"/>
    </xf>
    <xf numFmtId="0" fontId="15" fillId="0" borderId="37" xfId="0" applyFont="1" applyBorder="1"/>
    <xf numFmtId="164" fontId="15" fillId="0" borderId="43" xfId="0" applyNumberFormat="1" applyFont="1" applyBorder="1" applyAlignment="1">
      <alignment horizontal="center"/>
    </xf>
    <xf numFmtId="0" fontId="0" fillId="13" borderId="0" xfId="0" applyFill="1"/>
    <xf numFmtId="0" fontId="0" fillId="4" borderId="40" xfId="0" applyFill="1" applyBorder="1" applyProtection="1">
      <protection locked="0"/>
    </xf>
    <xf numFmtId="0" fontId="0" fillId="4" borderId="40" xfId="0" applyFill="1" applyBorder="1"/>
    <xf numFmtId="0" fontId="0" fillId="4" borderId="25" xfId="0" applyFill="1" applyBorder="1"/>
    <xf numFmtId="0" fontId="0" fillId="4" borderId="26" xfId="0" applyFill="1" applyBorder="1" applyProtection="1">
      <protection locked="0"/>
    </xf>
    <xf numFmtId="0" fontId="42" fillId="4" borderId="0" xfId="0" applyFont="1" applyFill="1"/>
    <xf numFmtId="0" fontId="43" fillId="4" borderId="42" xfId="0" applyFont="1" applyFill="1" applyBorder="1"/>
    <xf numFmtId="0" fontId="43" fillId="4" borderId="65" xfId="0" applyFont="1" applyFill="1" applyBorder="1" applyAlignment="1" applyProtection="1">
      <alignment horizontal="center"/>
      <protection locked="0"/>
    </xf>
    <xf numFmtId="0" fontId="43" fillId="4" borderId="68" xfId="0" applyFont="1" applyFill="1" applyBorder="1"/>
    <xf numFmtId="1" fontId="43" fillId="4" borderId="66" xfId="0" applyNumberFormat="1" applyFont="1" applyFill="1" applyBorder="1"/>
    <xf numFmtId="0" fontId="43" fillId="4" borderId="0" xfId="0" applyFont="1" applyFill="1"/>
    <xf numFmtId="0" fontId="42" fillId="13" borderId="0" xfId="0" applyFont="1" applyFill="1"/>
    <xf numFmtId="0" fontId="42" fillId="0" borderId="0" xfId="0" applyFont="1"/>
    <xf numFmtId="0" fontId="0" fillId="4" borderId="70" xfId="0" applyFill="1" applyBorder="1"/>
    <xf numFmtId="0" fontId="0" fillId="4" borderId="27" xfId="0" applyFill="1" applyBorder="1" applyAlignment="1">
      <alignment horizontal="center"/>
    </xf>
    <xf numFmtId="0" fontId="0" fillId="4" borderId="51" xfId="0" applyFill="1" applyBorder="1" applyAlignment="1">
      <alignment horizontal="center"/>
    </xf>
    <xf numFmtId="0" fontId="44" fillId="4" borderId="50" xfId="0" applyFont="1" applyFill="1" applyBorder="1"/>
    <xf numFmtId="0" fontId="44" fillId="4" borderId="49" xfId="0" applyFont="1" applyFill="1" applyBorder="1"/>
    <xf numFmtId="0" fontId="44" fillId="4" borderId="50" xfId="0" applyFont="1" applyFill="1" applyBorder="1" applyAlignment="1">
      <alignment horizontal="center"/>
    </xf>
    <xf numFmtId="0" fontId="44" fillId="4" borderId="49" xfId="0" applyFont="1" applyFill="1" applyBorder="1" applyAlignment="1">
      <alignment horizontal="center"/>
    </xf>
    <xf numFmtId="0" fontId="42" fillId="0" borderId="0" xfId="0" applyFont="1" applyAlignment="1">
      <alignment horizontal="center"/>
    </xf>
    <xf numFmtId="0" fontId="0" fillId="0" borderId="0" xfId="0" applyAlignment="1">
      <alignment horizontal="left"/>
    </xf>
    <xf numFmtId="0" fontId="0" fillId="0" borderId="57" xfId="0" applyBorder="1" applyAlignment="1">
      <alignment horizontal="center"/>
    </xf>
    <xf numFmtId="0" fontId="0" fillId="0" borderId="57" xfId="0" applyBorder="1" applyAlignment="1">
      <alignment horizontal="left"/>
    </xf>
    <xf numFmtId="0" fontId="2" fillId="5" borderId="45" xfId="1" applyFont="1" applyFill="1" applyBorder="1" applyAlignment="1">
      <alignment vertical="top" wrapText="1"/>
    </xf>
    <xf numFmtId="0" fontId="15" fillId="0" borderId="23" xfId="0" applyFont="1" applyBorder="1" applyAlignment="1">
      <alignment horizontal="left" indent="1"/>
    </xf>
    <xf numFmtId="0" fontId="35" fillId="0" borderId="33" xfId="0" applyFont="1" applyBorder="1" applyAlignment="1">
      <alignment horizontal="left"/>
    </xf>
    <xf numFmtId="3" fontId="15" fillId="0" borderId="35" xfId="0" applyNumberFormat="1" applyFont="1" applyBorder="1" applyAlignment="1">
      <alignment horizontal="center"/>
    </xf>
    <xf numFmtId="0" fontId="22" fillId="4" borderId="0" xfId="0" applyFont="1" applyFill="1" applyAlignment="1">
      <alignment horizontal="center" vertical="center"/>
    </xf>
    <xf numFmtId="0" fontId="14" fillId="4" borderId="50" xfId="0" applyFont="1" applyFill="1" applyBorder="1" applyAlignment="1">
      <alignment vertical="center"/>
    </xf>
    <xf numFmtId="0" fontId="15" fillId="4" borderId="0" xfId="0" applyFont="1" applyFill="1" applyAlignment="1">
      <alignment vertical="center"/>
    </xf>
    <xf numFmtId="0" fontId="15" fillId="4" borderId="50" xfId="0" applyFont="1" applyFill="1" applyBorder="1"/>
    <xf numFmtId="0" fontId="15" fillId="4" borderId="0" xfId="0" applyFont="1" applyFill="1"/>
    <xf numFmtId="0" fontId="22" fillId="4" borderId="27" xfId="0" applyFont="1" applyFill="1" applyBorder="1" applyAlignment="1">
      <alignment horizontal="center" vertical="center"/>
    </xf>
    <xf numFmtId="0" fontId="15" fillId="4" borderId="49" xfId="0" applyFont="1" applyFill="1" applyBorder="1"/>
    <xf numFmtId="0" fontId="22" fillId="4" borderId="25" xfId="0" applyFont="1" applyFill="1" applyBorder="1" applyAlignment="1">
      <alignment horizontal="center" vertical="center"/>
    </xf>
    <xf numFmtId="0" fontId="15" fillId="4" borderId="56" xfId="0" applyFont="1" applyFill="1" applyBorder="1" applyAlignment="1">
      <alignment vertical="center"/>
    </xf>
    <xf numFmtId="0" fontId="15" fillId="4" borderId="61" xfId="0" applyFont="1" applyFill="1" applyBorder="1" applyAlignment="1">
      <alignment horizontal="right" vertical="center"/>
    </xf>
    <xf numFmtId="0" fontId="15" fillId="4" borderId="63" xfId="0" applyFont="1" applyFill="1" applyBorder="1" applyAlignment="1">
      <alignment vertical="center"/>
    </xf>
    <xf numFmtId="0" fontId="15" fillId="4" borderId="61" xfId="0" applyFont="1" applyFill="1" applyBorder="1" applyAlignment="1">
      <alignment vertical="center"/>
    </xf>
    <xf numFmtId="0" fontId="15" fillId="4" borderId="30" xfId="0" applyFont="1" applyFill="1" applyBorder="1" applyAlignment="1">
      <alignment horizontal="right" vertical="center"/>
    </xf>
    <xf numFmtId="0" fontId="15" fillId="4" borderId="64" xfId="0" applyFont="1" applyFill="1" applyBorder="1" applyAlignment="1">
      <alignment horizontal="right" vertical="center"/>
    </xf>
    <xf numFmtId="0" fontId="15" fillId="4" borderId="66" xfId="0" applyFont="1" applyFill="1" applyBorder="1" applyAlignment="1">
      <alignment vertical="center"/>
    </xf>
    <xf numFmtId="0" fontId="15" fillId="4" borderId="67" xfId="0" applyFont="1" applyFill="1" applyBorder="1" applyAlignment="1">
      <alignment vertical="center"/>
    </xf>
    <xf numFmtId="0" fontId="15" fillId="4" borderId="49" xfId="0" applyFont="1" applyFill="1" applyBorder="1" applyAlignment="1">
      <alignment vertical="center"/>
    </xf>
    <xf numFmtId="0" fontId="8" fillId="0" borderId="0" xfId="0" applyFont="1"/>
    <xf numFmtId="0" fontId="8" fillId="4" borderId="0" xfId="0" applyFont="1" applyFill="1"/>
    <xf numFmtId="0" fontId="8" fillId="4" borderId="27" xfId="0" applyFont="1" applyFill="1" applyBorder="1"/>
    <xf numFmtId="0" fontId="8" fillId="4" borderId="26" xfId="0" applyFont="1" applyFill="1" applyBorder="1"/>
    <xf numFmtId="0" fontId="8" fillId="4" borderId="42" xfId="0" applyFont="1" applyFill="1" applyBorder="1"/>
    <xf numFmtId="0" fontId="20" fillId="13" borderId="0" xfId="0" applyFont="1" applyFill="1" applyProtection="1">
      <protection locked="0"/>
    </xf>
    <xf numFmtId="0" fontId="10" fillId="4" borderId="0" xfId="0" applyFont="1" applyFill="1"/>
    <xf numFmtId="1" fontId="10" fillId="4" borderId="66" xfId="0" applyNumberFormat="1" applyFont="1" applyFill="1" applyBorder="1"/>
    <xf numFmtId="0" fontId="10" fillId="4" borderId="66" xfId="0" applyFont="1" applyFill="1" applyBorder="1"/>
    <xf numFmtId="0" fontId="10" fillId="13" borderId="0" xfId="0" applyFont="1" applyFill="1"/>
    <xf numFmtId="0" fontId="8" fillId="4" borderId="45" xfId="0" applyFont="1" applyFill="1" applyBorder="1"/>
    <xf numFmtId="0" fontId="8" fillId="4" borderId="52" xfId="0" applyFont="1" applyFill="1" applyBorder="1" applyAlignment="1">
      <alignment horizontal="center"/>
    </xf>
    <xf numFmtId="0" fontId="8" fillId="4" borderId="55" xfId="0" applyFont="1" applyFill="1" applyBorder="1"/>
    <xf numFmtId="1" fontId="8" fillId="4" borderId="56" xfId="0" applyNumberFormat="1" applyFont="1" applyFill="1" applyBorder="1"/>
    <xf numFmtId="0" fontId="8" fillId="4" borderId="69" xfId="0" applyFont="1" applyFill="1" applyBorder="1"/>
    <xf numFmtId="0" fontId="8" fillId="0" borderId="27" xfId="0" applyFont="1" applyBorder="1" applyAlignment="1">
      <alignment horizontal="center"/>
    </xf>
    <xf numFmtId="0" fontId="8" fillId="4" borderId="0" xfId="0" applyFont="1" applyFill="1" applyAlignment="1">
      <alignment horizontal="center"/>
    </xf>
    <xf numFmtId="0" fontId="8" fillId="0" borderId="40" xfId="0" applyFont="1" applyBorder="1" applyAlignment="1">
      <alignment horizontal="center"/>
    </xf>
    <xf numFmtId="0" fontId="8" fillId="0" borderId="72" xfId="0" applyFont="1" applyBorder="1" applyAlignment="1">
      <alignment horizontal="center"/>
    </xf>
    <xf numFmtId="0" fontId="8" fillId="0" borderId="73" xfId="0" applyFont="1" applyBorder="1" applyAlignment="1">
      <alignment horizontal="center"/>
    </xf>
    <xf numFmtId="0" fontId="8" fillId="0" borderId="26" xfId="0" applyFont="1" applyBorder="1" applyAlignment="1">
      <alignment horizontal="center"/>
    </xf>
    <xf numFmtId="0" fontId="8" fillId="13" borderId="0" xfId="0" applyFont="1" applyFill="1" applyAlignment="1">
      <alignment horizontal="center"/>
    </xf>
    <xf numFmtId="0" fontId="8" fillId="0" borderId="78" xfId="0" applyFont="1" applyBorder="1" applyAlignment="1">
      <alignment horizontal="center"/>
    </xf>
    <xf numFmtId="0" fontId="10" fillId="0" borderId="59" xfId="0" applyFont="1" applyBorder="1" applyAlignment="1" applyProtection="1">
      <alignment horizontal="center" vertical="center"/>
      <protection locked="0"/>
    </xf>
    <xf numFmtId="0" fontId="10" fillId="0" borderId="74" xfId="0" applyFont="1" applyBorder="1" applyAlignment="1" applyProtection="1">
      <alignment horizontal="center"/>
      <protection locked="0"/>
    </xf>
    <xf numFmtId="0" fontId="10" fillId="0" borderId="49" xfId="0" applyFont="1" applyBorder="1" applyAlignment="1" applyProtection="1">
      <alignment horizontal="center"/>
      <protection locked="0"/>
    </xf>
    <xf numFmtId="0" fontId="10" fillId="4" borderId="0" xfId="0" applyFont="1" applyFill="1" applyAlignment="1">
      <alignment horizontal="center"/>
    </xf>
    <xf numFmtId="0" fontId="10" fillId="4" borderId="49" xfId="0" applyFont="1" applyFill="1" applyBorder="1" applyAlignment="1">
      <alignment horizontal="center"/>
    </xf>
    <xf numFmtId="0" fontId="10" fillId="0" borderId="75" xfId="0" applyFont="1" applyBorder="1" applyAlignment="1" applyProtection="1">
      <alignment horizontal="center"/>
      <protection locked="0"/>
    </xf>
    <xf numFmtId="0" fontId="10" fillId="0" borderId="51" xfId="0" applyFont="1" applyBorder="1" applyAlignment="1" applyProtection="1">
      <alignment horizontal="center"/>
      <protection locked="0"/>
    </xf>
    <xf numFmtId="0" fontId="10" fillId="13" borderId="0" xfId="0" applyFont="1" applyFill="1" applyAlignment="1" applyProtection="1">
      <alignment horizontal="center"/>
      <protection locked="0"/>
    </xf>
    <xf numFmtId="0" fontId="10" fillId="0" borderId="50" xfId="0" applyFont="1" applyBorder="1" applyAlignment="1" applyProtection="1">
      <alignment horizontal="center"/>
      <protection locked="0"/>
    </xf>
    <xf numFmtId="0" fontId="10" fillId="0" borderId="60" xfId="0" applyFont="1" applyBorder="1" applyAlignment="1" applyProtection="1">
      <alignment horizontal="center" vertical="center"/>
      <protection locked="0"/>
    </xf>
    <xf numFmtId="0" fontId="10" fillId="4" borderId="0" xfId="0" applyFont="1" applyFill="1" applyAlignment="1" applyProtection="1">
      <alignment horizontal="center"/>
      <protection locked="0"/>
    </xf>
    <xf numFmtId="0" fontId="10" fillId="4" borderId="49" xfId="0" applyFont="1" applyFill="1" applyBorder="1" applyAlignment="1" applyProtection="1">
      <alignment horizontal="center"/>
      <protection locked="0"/>
    </xf>
    <xf numFmtId="0" fontId="10" fillId="0" borderId="50" xfId="0" applyFont="1" applyBorder="1" applyAlignment="1" applyProtection="1">
      <alignment horizontal="center" vertical="center"/>
      <protection locked="0"/>
    </xf>
    <xf numFmtId="0" fontId="10" fillId="0" borderId="79" xfId="0" applyFont="1" applyBorder="1" applyAlignment="1" applyProtection="1">
      <alignment horizontal="center"/>
      <protection locked="0"/>
    </xf>
    <xf numFmtId="0" fontId="10" fillId="4" borderId="80" xfId="0" applyFont="1" applyFill="1" applyBorder="1" applyAlignment="1" applyProtection="1">
      <alignment horizontal="center"/>
      <protection locked="0"/>
    </xf>
    <xf numFmtId="0" fontId="10" fillId="0" borderId="0" xfId="0" applyFont="1" applyAlignment="1" applyProtection="1">
      <alignment horizontal="center"/>
      <protection locked="0"/>
    </xf>
    <xf numFmtId="0" fontId="10" fillId="0" borderId="60" xfId="0" applyFont="1" applyBorder="1" applyAlignment="1" applyProtection="1">
      <alignment horizontal="center"/>
      <protection locked="0"/>
    </xf>
    <xf numFmtId="0" fontId="20" fillId="4" borderId="0" xfId="0" applyFont="1" applyFill="1"/>
    <xf numFmtId="0" fontId="20" fillId="4" borderId="0" xfId="0" applyFont="1" applyFill="1" applyAlignment="1">
      <alignment horizontal="center"/>
    </xf>
    <xf numFmtId="0" fontId="10" fillId="0" borderId="0" xfId="0" applyFont="1" applyAlignment="1">
      <alignment horizontal="center"/>
    </xf>
    <xf numFmtId="0" fontId="10" fillId="13" borderId="0" xfId="0" applyFont="1" applyFill="1" applyAlignment="1">
      <alignment horizontal="center"/>
    </xf>
    <xf numFmtId="0" fontId="10" fillId="0" borderId="0" xfId="0" applyFont="1"/>
    <xf numFmtId="0" fontId="15" fillId="0" borderId="54" xfId="0" applyFont="1" applyBorder="1"/>
    <xf numFmtId="0" fontId="15" fillId="0" borderId="45" xfId="0" applyFont="1" applyBorder="1" applyAlignment="1">
      <alignment horizontal="center"/>
    </xf>
    <xf numFmtId="0" fontId="15" fillId="0" borderId="30" xfId="0" applyFont="1" applyBorder="1" applyAlignment="1">
      <alignment horizontal="center"/>
    </xf>
    <xf numFmtId="0" fontId="4" fillId="0" borderId="27" xfId="3" applyBorder="1" applyAlignment="1">
      <alignment horizontal="center"/>
    </xf>
    <xf numFmtId="0" fontId="0" fillId="0" borderId="27" xfId="0" applyBorder="1"/>
    <xf numFmtId="0" fontId="4" fillId="0" borderId="27" xfId="11" applyNumberFormat="1" applyBorder="1" applyAlignment="1">
      <alignment horizontal="center"/>
    </xf>
    <xf numFmtId="0" fontId="4" fillId="14" borderId="27" xfId="11" applyNumberFormat="1" applyFill="1" applyBorder="1" applyAlignment="1">
      <alignment horizontal="center"/>
    </xf>
    <xf numFmtId="0" fontId="10" fillId="0" borderId="27" xfId="12" applyNumberFormat="1" applyFont="1" applyBorder="1" applyAlignment="1">
      <alignment horizontal="center"/>
    </xf>
    <xf numFmtId="165" fontId="7" fillId="0" borderId="27" xfId="12" applyBorder="1" applyAlignment="1">
      <alignment horizontal="center"/>
    </xf>
    <xf numFmtId="0" fontId="7" fillId="0" borderId="27" xfId="12" applyNumberFormat="1" applyBorder="1" applyAlignment="1">
      <alignment horizontal="center"/>
    </xf>
    <xf numFmtId="0" fontId="4" fillId="15" borderId="27" xfId="11" applyNumberFormat="1" applyFill="1" applyBorder="1" applyAlignment="1">
      <alignment horizontal="center"/>
    </xf>
    <xf numFmtId="0" fontId="4" fillId="16" borderId="27" xfId="11" applyNumberFormat="1" applyFill="1" applyBorder="1" applyAlignment="1">
      <alignment horizontal="center"/>
    </xf>
    <xf numFmtId="0" fontId="46" fillId="17" borderId="27" xfId="11" applyNumberFormat="1" applyFont="1" applyFill="1" applyBorder="1" applyAlignment="1">
      <alignment horizontal="center"/>
    </xf>
    <xf numFmtId="0" fontId="4" fillId="18" borderId="27" xfId="11" applyNumberFormat="1" applyFill="1" applyBorder="1" applyAlignment="1">
      <alignment horizontal="center"/>
    </xf>
    <xf numFmtId="0" fontId="4" fillId="19" borderId="27" xfId="11" applyNumberFormat="1" applyFill="1" applyBorder="1" applyAlignment="1">
      <alignment horizontal="center"/>
    </xf>
    <xf numFmtId="0" fontId="4" fillId="20" borderId="27" xfId="11" applyNumberFormat="1" applyFill="1" applyBorder="1" applyAlignment="1">
      <alignment horizontal="center"/>
    </xf>
    <xf numFmtId="0" fontId="46" fillId="21" borderId="27" xfId="11" applyNumberFormat="1" applyFont="1" applyFill="1" applyBorder="1" applyAlignment="1">
      <alignment horizontal="center"/>
    </xf>
    <xf numFmtId="0" fontId="4" fillId="22" borderId="27" xfId="11" applyNumberFormat="1" applyFill="1" applyBorder="1" applyAlignment="1">
      <alignment horizontal="center"/>
    </xf>
    <xf numFmtId="0" fontId="4" fillId="23" borderId="27" xfId="11" applyNumberFormat="1" applyFill="1" applyBorder="1" applyAlignment="1">
      <alignment horizontal="center"/>
    </xf>
    <xf numFmtId="0" fontId="4" fillId="24" borderId="27" xfId="11" applyNumberFormat="1" applyFill="1" applyBorder="1" applyAlignment="1">
      <alignment horizontal="center"/>
    </xf>
    <xf numFmtId="0" fontId="4" fillId="25" borderId="27" xfId="11" applyNumberFormat="1" applyFill="1" applyBorder="1" applyAlignment="1">
      <alignment horizontal="center"/>
    </xf>
    <xf numFmtId="0" fontId="46" fillId="14" borderId="27" xfId="11" applyNumberFormat="1" applyFont="1" applyFill="1" applyBorder="1" applyAlignment="1">
      <alignment horizontal="center"/>
    </xf>
    <xf numFmtId="0" fontId="4" fillId="17" borderId="27" xfId="11" applyNumberFormat="1" applyFill="1" applyBorder="1" applyAlignment="1">
      <alignment horizontal="center"/>
    </xf>
    <xf numFmtId="0" fontId="4" fillId="21" borderId="27" xfId="11" applyNumberFormat="1" applyFill="1" applyBorder="1" applyAlignment="1">
      <alignment horizontal="center"/>
    </xf>
    <xf numFmtId="0" fontId="4" fillId="0" borderId="0" xfId="11" applyNumberFormat="1" applyAlignment="1">
      <alignment horizontal="center"/>
    </xf>
    <xf numFmtId="0" fontId="46" fillId="0" borderId="0" xfId="11" applyNumberFormat="1" applyFont="1" applyAlignment="1">
      <alignment horizontal="center"/>
    </xf>
    <xf numFmtId="165" fontId="7" fillId="0" borderId="0" xfId="12"/>
    <xf numFmtId="0" fontId="45" fillId="3" borderId="31" xfId="12" applyNumberFormat="1" applyFont="1" applyFill="1" applyBorder="1"/>
    <xf numFmtId="0" fontId="45" fillId="3" borderId="32" xfId="12" applyNumberFormat="1" applyFont="1" applyFill="1" applyBorder="1"/>
    <xf numFmtId="0" fontId="45" fillId="3" borderId="13" xfId="12" applyNumberFormat="1" applyFont="1" applyFill="1" applyBorder="1"/>
    <xf numFmtId="0" fontId="45" fillId="3" borderId="14" xfId="12" applyNumberFormat="1" applyFont="1" applyFill="1" applyBorder="1"/>
    <xf numFmtId="0" fontId="4" fillId="14" borderId="45" xfId="11" applyNumberFormat="1" applyFill="1" applyBorder="1" applyAlignment="1">
      <alignment horizontal="center"/>
    </xf>
    <xf numFmtId="0" fontId="10" fillId="0" borderId="45" xfId="12" applyNumberFormat="1" applyFont="1" applyBorder="1" applyAlignment="1">
      <alignment horizontal="center"/>
    </xf>
    <xf numFmtId="0" fontId="4" fillId="26" borderId="45" xfId="12" applyNumberFormat="1" applyFont="1" applyFill="1" applyBorder="1" applyAlignment="1">
      <alignment horizontal="center"/>
    </xf>
    <xf numFmtId="0" fontId="4" fillId="27" borderId="27" xfId="12" applyNumberFormat="1" applyFont="1" applyFill="1" applyBorder="1" applyAlignment="1">
      <alignment horizontal="center"/>
    </xf>
    <xf numFmtId="0" fontId="4" fillId="28" borderId="27" xfId="12" applyNumberFormat="1" applyFont="1" applyFill="1" applyBorder="1" applyAlignment="1">
      <alignment horizontal="center"/>
    </xf>
    <xf numFmtId="0" fontId="47" fillId="29" borderId="27" xfId="12" applyNumberFormat="1" applyFont="1" applyFill="1" applyBorder="1" applyAlignment="1">
      <alignment horizontal="center"/>
    </xf>
    <xf numFmtId="0" fontId="4" fillId="30" borderId="27" xfId="12" applyNumberFormat="1" applyFont="1" applyFill="1" applyBorder="1" applyAlignment="1">
      <alignment horizontal="center"/>
    </xf>
    <xf numFmtId="0" fontId="4" fillId="13" borderId="27" xfId="12" applyNumberFormat="1" applyFont="1" applyFill="1" applyBorder="1" applyAlignment="1">
      <alignment horizontal="center"/>
    </xf>
    <xf numFmtId="0" fontId="4" fillId="31" borderId="27" xfId="12" applyNumberFormat="1" applyFont="1" applyFill="1" applyBorder="1" applyAlignment="1">
      <alignment horizontal="center"/>
    </xf>
    <xf numFmtId="0" fontId="47" fillId="32" borderId="27" xfId="12" applyNumberFormat="1" applyFont="1" applyFill="1" applyBorder="1" applyAlignment="1">
      <alignment horizontal="center"/>
    </xf>
    <xf numFmtId="0" fontId="4" fillId="5" borderId="27" xfId="12" applyNumberFormat="1" applyFont="1" applyFill="1" applyBorder="1" applyAlignment="1">
      <alignment horizontal="center"/>
    </xf>
    <xf numFmtId="0" fontId="4" fillId="33" borderId="27" xfId="12" applyNumberFormat="1" applyFont="1" applyFill="1" applyBorder="1" applyAlignment="1">
      <alignment horizontal="center"/>
    </xf>
    <xf numFmtId="0" fontId="4" fillId="34" borderId="27" xfId="12" applyNumberFormat="1" applyFont="1" applyFill="1" applyBorder="1" applyAlignment="1">
      <alignment horizontal="center"/>
    </xf>
    <xf numFmtId="0" fontId="4" fillId="35" borderId="27" xfId="12" applyNumberFormat="1" applyFont="1" applyFill="1" applyBorder="1" applyAlignment="1">
      <alignment horizontal="center"/>
    </xf>
    <xf numFmtId="14" fontId="15" fillId="0" borderId="28" xfId="0" applyNumberFormat="1" applyFont="1" applyBorder="1" applyAlignment="1" applyProtection="1">
      <alignment horizontal="center"/>
      <protection locked="0"/>
    </xf>
    <xf numFmtId="0" fontId="15" fillId="0" borderId="30" xfId="0" applyFont="1" applyBorder="1" applyProtection="1">
      <protection locked="0"/>
    </xf>
    <xf numFmtId="0" fontId="0" fillId="7" borderId="9" xfId="0" applyFill="1" applyBorder="1" applyAlignment="1">
      <alignment horizontal="center"/>
    </xf>
    <xf numFmtId="0" fontId="10" fillId="0" borderId="0" xfId="9" applyFont="1" applyFill="1" applyAlignment="1" applyProtection="1">
      <alignment horizontal="center" wrapText="1"/>
    </xf>
    <xf numFmtId="0" fontId="15" fillId="0" borderId="45" xfId="0" applyFont="1" applyBorder="1"/>
    <xf numFmtId="0" fontId="15" fillId="0" borderId="22" xfId="0" applyFont="1" applyBorder="1" applyAlignment="1">
      <alignment horizontal="left" indent="1"/>
    </xf>
    <xf numFmtId="0" fontId="35" fillId="0" borderId="12" xfId="0" applyFont="1" applyBorder="1"/>
    <xf numFmtId="0" fontId="14" fillId="0" borderId="11" xfId="0" applyFont="1" applyBorder="1" applyAlignment="1">
      <alignment horizontal="center"/>
    </xf>
    <xf numFmtId="0" fontId="15" fillId="0" borderId="51" xfId="0" applyFont="1" applyBorder="1" applyAlignment="1">
      <alignment vertical="top"/>
    </xf>
    <xf numFmtId="0" fontId="15" fillId="0" borderId="53" xfId="0" applyFont="1" applyBorder="1"/>
    <xf numFmtId="0" fontId="35" fillId="0" borderId="45" xfId="0" applyFont="1" applyBorder="1"/>
    <xf numFmtId="0" fontId="14" fillId="0" borderId="45" xfId="0" applyFont="1" applyBorder="1"/>
    <xf numFmtId="0" fontId="15" fillId="0" borderId="52" xfId="0" applyFont="1" applyBorder="1"/>
    <xf numFmtId="0" fontId="15" fillId="0" borderId="46" xfId="0" applyFont="1" applyBorder="1" applyAlignment="1">
      <alignment horizontal="center"/>
    </xf>
    <xf numFmtId="0" fontId="15" fillId="0" borderId="28" xfId="0" applyFont="1" applyBorder="1" applyAlignment="1">
      <alignment horizontal="center"/>
    </xf>
    <xf numFmtId="0" fontId="0" fillId="0" borderId="0" xfId="0" applyAlignment="1" applyProtection="1">
      <alignment horizontal="center" wrapText="1"/>
      <protection locked="0"/>
    </xf>
    <xf numFmtId="0" fontId="20" fillId="4" borderId="30" xfId="0" applyFont="1" applyFill="1" applyBorder="1" applyProtection="1">
      <protection locked="0"/>
    </xf>
    <xf numFmtId="0" fontId="15" fillId="5" borderId="27" xfId="0" applyFont="1" applyFill="1" applyBorder="1" applyAlignment="1" applyProtection="1">
      <alignment horizontal="left"/>
      <protection locked="0"/>
    </xf>
    <xf numFmtId="0" fontId="15" fillId="4" borderId="45" xfId="0" applyFont="1" applyFill="1" applyBorder="1" applyAlignment="1">
      <alignment horizontal="right" vertical="center"/>
    </xf>
    <xf numFmtId="0" fontId="15" fillId="4" borderId="45" xfId="0" applyFont="1" applyFill="1" applyBorder="1" applyAlignment="1">
      <alignment vertical="center"/>
    </xf>
    <xf numFmtId="0" fontId="20" fillId="4" borderId="27" xfId="1" applyFont="1" applyFill="1" applyBorder="1" applyProtection="1">
      <protection locked="0"/>
    </xf>
    <xf numFmtId="2" fontId="20" fillId="5" borderId="27" xfId="1" applyNumberFormat="1" applyFont="1" applyFill="1" applyBorder="1" applyAlignment="1" applyProtection="1">
      <alignment horizontal="center"/>
      <protection locked="0"/>
    </xf>
    <xf numFmtId="0" fontId="0" fillId="0" borderId="26" xfId="0" applyBorder="1" applyAlignment="1">
      <alignment horizontal="center"/>
    </xf>
    <xf numFmtId="0" fontId="0" fillId="0" borderId="50" xfId="0" applyBorder="1"/>
    <xf numFmtId="0" fontId="5" fillId="4" borderId="27" xfId="1" applyFont="1" applyFill="1" applyBorder="1" applyProtection="1">
      <protection locked="0"/>
    </xf>
    <xf numFmtId="0" fontId="5" fillId="5" borderId="27" xfId="1" applyFont="1" applyFill="1" applyBorder="1"/>
    <xf numFmtId="0" fontId="5" fillId="5" borderId="27" xfId="3" applyFont="1" applyFill="1" applyBorder="1" applyAlignment="1">
      <alignment vertical="top" wrapText="1"/>
    </xf>
    <xf numFmtId="166" fontId="0" fillId="0" borderId="0" xfId="0" applyNumberFormat="1" applyAlignment="1">
      <alignment horizontal="left"/>
    </xf>
    <xf numFmtId="166" fontId="0" fillId="0" borderId="0" xfId="0" applyNumberFormat="1" applyAlignment="1">
      <alignment horizontal="center"/>
    </xf>
    <xf numFmtId="0" fontId="3" fillId="5" borderId="0" xfId="0" applyFont="1" applyFill="1" applyAlignment="1">
      <alignment horizontal="center" vertical="center"/>
    </xf>
    <xf numFmtId="167" fontId="8" fillId="0" borderId="0" xfId="0" applyNumberFormat="1" applyFont="1" applyAlignment="1">
      <alignment horizontal="center" vertical="center"/>
    </xf>
    <xf numFmtId="0" fontId="15" fillId="0" borderId="30" xfId="0" applyFont="1" applyBorder="1" applyAlignment="1" applyProtection="1">
      <alignment horizontal="left"/>
      <protection locked="0"/>
    </xf>
    <xf numFmtId="0" fontId="14" fillId="0" borderId="0" xfId="0" applyFont="1" applyAlignment="1" applyProtection="1">
      <alignment horizontal="right"/>
      <protection locked="0"/>
    </xf>
    <xf numFmtId="0" fontId="20" fillId="4" borderId="30" xfId="0" applyFont="1" applyFill="1" applyBorder="1" applyAlignment="1" applyProtection="1">
      <alignment horizontal="left"/>
      <protection locked="0"/>
    </xf>
    <xf numFmtId="2" fontId="20" fillId="4" borderId="45" xfId="0" applyNumberFormat="1" applyFont="1" applyFill="1" applyBorder="1" applyAlignment="1" applyProtection="1">
      <alignment horizontal="center"/>
      <protection locked="0"/>
    </xf>
    <xf numFmtId="0" fontId="48" fillId="5" borderId="0" xfId="0" applyFont="1" applyFill="1"/>
    <xf numFmtId="0" fontId="10" fillId="0" borderId="60" xfId="0" applyFont="1" applyBorder="1" applyAlignment="1" applyProtection="1">
      <alignment horizontal="center" vertical="center"/>
      <protection locked="0"/>
    </xf>
    <xf numFmtId="0" fontId="15" fillId="0" borderId="41" xfId="0" applyFont="1" applyBorder="1" applyAlignment="1">
      <alignment horizontal="left" vertical="top" wrapText="1"/>
    </xf>
    <xf numFmtId="0" fontId="15" fillId="0" borderId="31" xfId="0" applyFont="1" applyBorder="1" applyAlignment="1">
      <alignment horizontal="left" vertical="top" wrapText="1"/>
    </xf>
    <xf numFmtId="0" fontId="15" fillId="0" borderId="32" xfId="0" applyFont="1" applyBorder="1" applyAlignment="1">
      <alignment horizontal="left" vertical="top" wrapText="1"/>
    </xf>
    <xf numFmtId="0" fontId="15" fillId="0" borderId="37" xfId="0" applyFont="1" applyBorder="1" applyAlignment="1">
      <alignment horizontal="left" vertical="top" wrapText="1"/>
    </xf>
    <xf numFmtId="0" fontId="15" fillId="0" borderId="0" xfId="0" applyFont="1" applyAlignment="1">
      <alignment horizontal="left" vertical="top" wrapText="1"/>
    </xf>
    <xf numFmtId="0" fontId="15" fillId="0" borderId="38" xfId="0" applyFont="1" applyBorder="1" applyAlignment="1">
      <alignment horizontal="left" vertical="top" wrapText="1"/>
    </xf>
    <xf numFmtId="0" fontId="15" fillId="0" borderId="15" xfId="0" applyFont="1" applyBorder="1" applyAlignment="1">
      <alignment horizontal="left" vertical="top" wrapText="1"/>
    </xf>
    <xf numFmtId="0" fontId="15" fillId="0" borderId="13" xfId="0" applyFont="1" applyBorder="1" applyAlignment="1">
      <alignment horizontal="left" vertical="top" wrapText="1"/>
    </xf>
    <xf numFmtId="0" fontId="15" fillId="0" borderId="14" xfId="0" applyFont="1" applyBorder="1" applyAlignment="1">
      <alignment horizontal="left" vertical="top" wrapText="1"/>
    </xf>
    <xf numFmtId="0" fontId="14" fillId="0" borderId="1" xfId="0" applyFont="1" applyBorder="1" applyAlignment="1">
      <alignment horizontal="center" vertical="top" wrapText="1"/>
    </xf>
    <xf numFmtId="0" fontId="14" fillId="0" borderId="3" xfId="0" applyFont="1" applyBorder="1" applyAlignment="1">
      <alignment horizontal="center" vertical="top" wrapText="1"/>
    </xf>
    <xf numFmtId="0" fontId="14" fillId="0" borderId="1" xfId="0" applyFont="1" applyBorder="1" applyAlignment="1">
      <alignment horizontal="left" vertical="top" wrapText="1"/>
    </xf>
    <xf numFmtId="0" fontId="14" fillId="0" borderId="3" xfId="0" applyFont="1" applyBorder="1" applyAlignment="1">
      <alignment horizontal="left" vertical="top" wrapText="1"/>
    </xf>
    <xf numFmtId="0" fontId="15" fillId="5" borderId="27" xfId="0" applyFont="1" applyFill="1" applyBorder="1" applyAlignment="1" applyProtection="1">
      <alignment horizontal="center"/>
      <protection locked="0"/>
    </xf>
    <xf numFmtId="0" fontId="15" fillId="5" borderId="34" xfId="0" applyFont="1" applyFill="1" applyBorder="1" applyAlignment="1" applyProtection="1">
      <alignment horizontal="center"/>
      <protection locked="0"/>
    </xf>
    <xf numFmtId="0" fontId="14" fillId="0" borderId="37" xfId="0" applyFont="1" applyBorder="1" applyAlignment="1">
      <alignment horizontal="center"/>
    </xf>
    <xf numFmtId="0" fontId="14" fillId="0" borderId="0" xfId="0" applyFont="1" applyAlignment="1">
      <alignment horizontal="center"/>
    </xf>
    <xf numFmtId="0" fontId="14" fillId="0" borderId="38" xfId="0" applyFont="1" applyBorder="1" applyAlignment="1">
      <alignment horizontal="center"/>
    </xf>
    <xf numFmtId="0" fontId="14" fillId="0" borderId="2" xfId="0" applyFont="1" applyBorder="1" applyAlignment="1">
      <alignment horizontal="center" vertical="top" wrapText="1"/>
    </xf>
    <xf numFmtId="49" fontId="15" fillId="5" borderId="27" xfId="0" applyNumberFormat="1" applyFont="1" applyFill="1" applyBorder="1" applyAlignment="1" applyProtection="1">
      <alignment horizontal="center"/>
      <protection locked="0"/>
    </xf>
    <xf numFmtId="0" fontId="15" fillId="0" borderId="12" xfId="0" applyFont="1" applyBorder="1" applyAlignment="1">
      <alignment horizontal="left"/>
    </xf>
    <xf numFmtId="0" fontId="15" fillId="0" borderId="11" xfId="0" applyFont="1" applyBorder="1" applyAlignment="1">
      <alignment horizontal="left"/>
    </xf>
    <xf numFmtId="164" fontId="15" fillId="0" borderId="13" xfId="0" applyNumberFormat="1" applyFont="1" applyBorder="1" applyAlignment="1">
      <alignment horizontal="center"/>
    </xf>
    <xf numFmtId="0" fontId="15" fillId="0" borderId="41" xfId="0" applyFont="1" applyBorder="1" applyAlignment="1">
      <alignment horizontal="center" vertical="top"/>
    </xf>
    <xf numFmtId="0" fontId="15" fillId="0" borderId="32" xfId="0" applyFont="1" applyBorder="1" applyAlignment="1">
      <alignment horizontal="center" vertical="top"/>
    </xf>
    <xf numFmtId="0" fontId="15" fillId="0" borderId="41" xfId="0" applyFont="1" applyBorder="1" applyAlignment="1">
      <alignment horizontal="center"/>
    </xf>
    <xf numFmtId="0" fontId="15" fillId="0" borderId="31" xfId="0" applyFont="1" applyBorder="1" applyAlignment="1">
      <alignment horizontal="center"/>
    </xf>
    <xf numFmtId="0" fontId="15" fillId="0" borderId="32" xfId="0" applyFont="1" applyBorder="1" applyAlignment="1">
      <alignment horizontal="center"/>
    </xf>
    <xf numFmtId="8" fontId="15" fillId="5" borderId="21" xfId="0" applyNumberFormat="1" applyFont="1" applyFill="1" applyBorder="1" applyAlignment="1" applyProtection="1">
      <alignment horizontal="center"/>
      <protection locked="0"/>
    </xf>
    <xf numFmtId="0" fontId="15" fillId="5" borderId="21" xfId="0" applyFont="1" applyFill="1" applyBorder="1" applyAlignment="1" applyProtection="1">
      <alignment horizontal="center"/>
      <protection locked="0"/>
    </xf>
    <xf numFmtId="8" fontId="15" fillId="5" borderId="27" xfId="0" applyNumberFormat="1" applyFont="1" applyFill="1" applyBorder="1" applyAlignment="1" applyProtection="1">
      <alignment horizontal="center"/>
      <protection locked="0"/>
    </xf>
    <xf numFmtId="0" fontId="15" fillId="0" borderId="15" xfId="0" applyFont="1" applyBorder="1" applyAlignment="1">
      <alignment horizontal="center"/>
    </xf>
    <xf numFmtId="0" fontId="15" fillId="0" borderId="13" xfId="0" applyFont="1" applyBorder="1" applyAlignment="1">
      <alignment horizontal="center"/>
    </xf>
    <xf numFmtId="0" fontId="15" fillId="5" borderId="1" xfId="0" applyFont="1" applyFill="1" applyBorder="1" applyAlignment="1" applyProtection="1">
      <alignment horizontal="center"/>
      <protection locked="0"/>
    </xf>
    <xf numFmtId="0" fontId="15" fillId="5" borderId="2" xfId="0" applyFont="1" applyFill="1" applyBorder="1" applyAlignment="1" applyProtection="1">
      <alignment horizontal="center"/>
      <protection locked="0"/>
    </xf>
    <xf numFmtId="0" fontId="15" fillId="5" borderId="3" xfId="0" applyFont="1" applyFill="1" applyBorder="1" applyAlignment="1" applyProtection="1">
      <alignment horizontal="center"/>
      <protection locked="0"/>
    </xf>
    <xf numFmtId="0" fontId="15" fillId="5" borderId="9" xfId="0" applyFont="1" applyFill="1" applyBorder="1" applyAlignment="1" applyProtection="1">
      <alignment horizontal="center"/>
      <protection locked="0"/>
    </xf>
    <xf numFmtId="0" fontId="15" fillId="5" borderId="11" xfId="0" applyFont="1" applyFill="1" applyBorder="1" applyAlignment="1" applyProtection="1">
      <alignment horizontal="center"/>
      <protection locked="0"/>
    </xf>
    <xf numFmtId="0" fontId="14" fillId="0" borderId="1" xfId="0" applyFont="1" applyBorder="1" applyAlignment="1">
      <alignment horizontal="center"/>
    </xf>
    <xf numFmtId="0" fontId="14" fillId="0" borderId="2" xfId="0" applyFont="1" applyBorder="1" applyAlignment="1">
      <alignment horizontal="center"/>
    </xf>
    <xf numFmtId="0" fontId="14" fillId="0" borderId="3" xfId="0" applyFont="1" applyBorder="1" applyAlignment="1">
      <alignment horizontal="center"/>
    </xf>
    <xf numFmtId="0" fontId="15" fillId="5" borderId="5" xfId="0" applyFont="1" applyFill="1" applyBorder="1" applyAlignment="1" applyProtection="1">
      <alignment horizontal="center"/>
      <protection locked="0"/>
    </xf>
    <xf numFmtId="0" fontId="15" fillId="5" borderId="7" xfId="0" applyFont="1" applyFill="1" applyBorder="1" applyAlignment="1" applyProtection="1">
      <alignment horizontal="center"/>
      <protection locked="0"/>
    </xf>
    <xf numFmtId="14" fontId="15" fillId="5" borderId="9" xfId="0" applyNumberFormat="1" applyFont="1" applyFill="1" applyBorder="1" applyAlignment="1" applyProtection="1">
      <alignment horizontal="center"/>
      <protection locked="0"/>
    </xf>
    <xf numFmtId="14" fontId="15" fillId="5" borderId="11" xfId="0" applyNumberFormat="1" applyFont="1" applyFill="1" applyBorder="1" applyAlignment="1" applyProtection="1">
      <alignment horizontal="center"/>
      <protection locked="0"/>
    </xf>
    <xf numFmtId="0" fontId="15" fillId="5" borderId="1" xfId="0" quotePrefix="1" applyFont="1" applyFill="1" applyBorder="1" applyAlignment="1" applyProtection="1">
      <alignment horizontal="center" shrinkToFit="1"/>
      <protection locked="0"/>
    </xf>
    <xf numFmtId="0" fontId="15" fillId="5" borderId="2" xfId="0" quotePrefix="1" applyFont="1" applyFill="1" applyBorder="1" applyAlignment="1" applyProtection="1">
      <alignment horizontal="center" shrinkToFit="1"/>
      <protection locked="0"/>
    </xf>
    <xf numFmtId="0" fontId="15" fillId="5" borderId="3" xfId="0" quotePrefix="1" applyFont="1" applyFill="1" applyBorder="1" applyAlignment="1" applyProtection="1">
      <alignment horizontal="center" shrinkToFit="1"/>
      <protection locked="0"/>
    </xf>
    <xf numFmtId="0" fontId="14" fillId="0" borderId="27" xfId="0" applyFont="1" applyBorder="1" applyAlignment="1">
      <alignment horizontal="center"/>
    </xf>
    <xf numFmtId="0" fontId="14" fillId="0" borderId="0" xfId="0" applyFont="1" applyAlignment="1">
      <alignment horizontal="right"/>
    </xf>
    <xf numFmtId="0" fontId="14" fillId="0" borderId="27" xfId="0" applyFont="1" applyBorder="1" applyAlignment="1">
      <alignment horizontal="left"/>
    </xf>
    <xf numFmtId="0" fontId="1" fillId="0" borderId="0" xfId="0" applyFont="1" applyAlignment="1">
      <alignment horizontal="right"/>
    </xf>
    <xf numFmtId="0" fontId="20" fillId="4" borderId="0" xfId="0" applyFont="1" applyFill="1" applyAlignment="1">
      <alignment horizontal="center"/>
    </xf>
    <xf numFmtId="0" fontId="10" fillId="0" borderId="60" xfId="0" applyFont="1" applyBorder="1" applyAlignment="1" applyProtection="1">
      <alignment horizontal="center" vertical="center"/>
      <protection locked="0"/>
    </xf>
    <xf numFmtId="0" fontId="20" fillId="4" borderId="65" xfId="0" applyFont="1" applyFill="1" applyBorder="1" applyAlignment="1" applyProtection="1">
      <alignment wrapText="1"/>
      <protection locked="0"/>
    </xf>
    <xf numFmtId="0" fontId="20" fillId="4" borderId="68" xfId="0" applyFont="1" applyFill="1" applyBorder="1" applyProtection="1">
      <protection locked="0"/>
    </xf>
    <xf numFmtId="0" fontId="20" fillId="4" borderId="66" xfId="0" applyFont="1" applyFill="1" applyBorder="1" applyProtection="1">
      <protection locked="0"/>
    </xf>
    <xf numFmtId="0" fontId="20" fillId="4" borderId="62" xfId="0" applyFont="1" applyFill="1" applyBorder="1" applyAlignment="1" applyProtection="1">
      <alignment wrapText="1"/>
      <protection locked="0"/>
    </xf>
    <xf numFmtId="0" fontId="20" fillId="4" borderId="71" xfId="0" applyFont="1" applyFill="1" applyBorder="1" applyProtection="1">
      <protection locked="0"/>
    </xf>
    <xf numFmtId="0" fontId="20" fillId="4" borderId="63" xfId="0" applyFont="1" applyFill="1" applyBorder="1" applyProtection="1">
      <protection locked="0"/>
    </xf>
    <xf numFmtId="0" fontId="20" fillId="4" borderId="62" xfId="0" applyFont="1" applyFill="1" applyBorder="1" applyAlignment="1" applyProtection="1">
      <alignment horizontal="left" wrapText="1"/>
      <protection locked="0"/>
    </xf>
    <xf numFmtId="0" fontId="20" fillId="4" borderId="71" xfId="0" applyFont="1" applyFill="1" applyBorder="1" applyAlignment="1" applyProtection="1">
      <alignment horizontal="left" wrapText="1"/>
      <protection locked="0"/>
    </xf>
    <xf numFmtId="0" fontId="20" fillId="4" borderId="63" xfId="0" applyFont="1" applyFill="1" applyBorder="1" applyAlignment="1" applyProtection="1">
      <alignment horizontal="left" wrapText="1"/>
      <protection locked="0"/>
    </xf>
    <xf numFmtId="0" fontId="20" fillId="4" borderId="65" xfId="0" applyFont="1" applyFill="1" applyBorder="1" applyAlignment="1" applyProtection="1">
      <alignment horizontal="left" wrapText="1"/>
      <protection locked="0"/>
    </xf>
    <xf numFmtId="0" fontId="20" fillId="4" borderId="68" xfId="0" applyFont="1" applyFill="1" applyBorder="1" applyAlignment="1" applyProtection="1">
      <alignment horizontal="left" wrapText="1"/>
      <protection locked="0"/>
    </xf>
    <xf numFmtId="0" fontId="20" fillId="4" borderId="66" xfId="0" applyFont="1" applyFill="1" applyBorder="1" applyAlignment="1" applyProtection="1">
      <alignment horizontal="left" wrapText="1"/>
      <protection locked="0"/>
    </xf>
    <xf numFmtId="0" fontId="20" fillId="4" borderId="26" xfId="0" applyFont="1" applyFill="1" applyBorder="1" applyAlignment="1" applyProtection="1">
      <alignment horizontal="left" wrapText="1"/>
      <protection locked="0"/>
    </xf>
    <xf numFmtId="0" fontId="20" fillId="4" borderId="40" xfId="0" applyFont="1" applyFill="1" applyBorder="1" applyAlignment="1" applyProtection="1">
      <alignment horizontal="left" wrapText="1"/>
      <protection locked="0"/>
    </xf>
    <xf numFmtId="0" fontId="20" fillId="4" borderId="25" xfId="0" applyFont="1" applyFill="1" applyBorder="1" applyAlignment="1" applyProtection="1">
      <alignment horizontal="left" wrapText="1"/>
      <protection locked="0"/>
    </xf>
    <xf numFmtId="0" fontId="20" fillId="4" borderId="26" xfId="0" applyFont="1" applyFill="1" applyBorder="1" applyAlignment="1" applyProtection="1">
      <alignment horizontal="left"/>
      <protection locked="0"/>
    </xf>
    <xf numFmtId="0" fontId="20" fillId="4" borderId="40" xfId="0" applyFont="1" applyFill="1" applyBorder="1" applyAlignment="1" applyProtection="1">
      <alignment horizontal="left"/>
      <protection locked="0"/>
    </xf>
    <xf numFmtId="0" fontId="20" fillId="4" borderId="25" xfId="0" applyFont="1" applyFill="1" applyBorder="1" applyAlignment="1" applyProtection="1">
      <alignment horizontal="left"/>
      <protection locked="0"/>
    </xf>
    <xf numFmtId="0" fontId="20" fillId="4" borderId="62" xfId="0" applyFont="1" applyFill="1" applyBorder="1" applyAlignment="1" applyProtection="1">
      <alignment horizontal="left"/>
      <protection locked="0"/>
    </xf>
    <xf numFmtId="0" fontId="20" fillId="4" borderId="71" xfId="0" applyFont="1" applyFill="1" applyBorder="1" applyAlignment="1" applyProtection="1">
      <alignment horizontal="left"/>
      <protection locked="0"/>
    </xf>
    <xf numFmtId="0" fontId="20" fillId="4" borderId="63" xfId="0" applyFont="1" applyFill="1" applyBorder="1" applyAlignment="1" applyProtection="1">
      <alignment horizontal="left"/>
      <protection locked="0"/>
    </xf>
    <xf numFmtId="0" fontId="22" fillId="4" borderId="30" xfId="0" applyFont="1" applyFill="1" applyBorder="1" applyAlignment="1">
      <alignment horizontal="center" vertical="center" textRotation="90"/>
    </xf>
    <xf numFmtId="0" fontId="22" fillId="4" borderId="42" xfId="0" applyFont="1" applyFill="1" applyBorder="1" applyAlignment="1">
      <alignment horizontal="center" vertical="center" textRotation="90"/>
    </xf>
    <xf numFmtId="0" fontId="22" fillId="4" borderId="45" xfId="0" applyFont="1" applyFill="1" applyBorder="1" applyAlignment="1">
      <alignment horizontal="center" vertical="center" textRotation="90"/>
    </xf>
    <xf numFmtId="0" fontId="8" fillId="6" borderId="1"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0" fillId="0" borderId="22" xfId="0" applyBorder="1" applyAlignment="1">
      <alignment horizontal="center" wrapText="1"/>
    </xf>
    <xf numFmtId="0" fontId="0" fillId="0" borderId="45" xfId="0" applyBorder="1" applyAlignment="1">
      <alignment horizontal="center" wrapText="1"/>
    </xf>
    <xf numFmtId="0" fontId="0" fillId="0" borderId="46" xfId="0" applyBorder="1" applyAlignment="1">
      <alignment horizontal="center" wrapText="1"/>
    </xf>
    <xf numFmtId="0" fontId="0" fillId="7" borderId="1" xfId="0" applyFill="1" applyBorder="1" applyAlignment="1">
      <alignment horizontal="center"/>
    </xf>
    <xf numFmtId="0" fontId="0" fillId="7" borderId="9" xfId="0" applyFill="1" applyBorder="1" applyAlignment="1">
      <alignment horizontal="center"/>
    </xf>
    <xf numFmtId="0" fontId="4" fillId="0" borderId="55" xfId="0" applyFont="1" applyBorder="1" applyAlignment="1">
      <alignment horizontal="center"/>
    </xf>
    <xf numFmtId="0" fontId="11" fillId="0" borderId="0" xfId="0" applyFont="1" applyAlignment="1">
      <alignment horizontal="right"/>
    </xf>
    <xf numFmtId="14" fontId="4" fillId="0" borderId="55" xfId="0" applyNumberFormat="1" applyFont="1" applyBorder="1" applyAlignment="1">
      <alignment horizontal="center"/>
    </xf>
    <xf numFmtId="0" fontId="4" fillId="0" borderId="53" xfId="0" applyFont="1" applyBorder="1" applyAlignment="1" applyProtection="1">
      <alignment horizontal="left" vertical="top" wrapText="1"/>
      <protection locked="0"/>
    </xf>
    <xf numFmtId="0" fontId="4" fillId="0" borderId="51" xfId="0" applyFont="1" applyBorder="1" applyAlignment="1" applyProtection="1">
      <alignment horizontal="left" vertical="top" wrapText="1"/>
      <protection locked="0"/>
    </xf>
    <xf numFmtId="0" fontId="4" fillId="0" borderId="50" xfId="0" applyFont="1" applyBorder="1" applyAlignment="1" applyProtection="1">
      <alignment horizontal="left" vertical="top" wrapText="1"/>
      <protection locked="0"/>
    </xf>
    <xf numFmtId="0" fontId="4" fillId="0" borderId="49" xfId="0" applyFont="1" applyBorder="1" applyAlignment="1" applyProtection="1">
      <alignment horizontal="left" vertical="top" wrapText="1"/>
      <protection locked="0"/>
    </xf>
    <xf numFmtId="0" fontId="4" fillId="0" borderId="52" xfId="0" applyFont="1" applyBorder="1" applyAlignment="1" applyProtection="1">
      <alignment horizontal="left" vertical="top" wrapText="1"/>
      <protection locked="0"/>
    </xf>
    <xf numFmtId="0" fontId="4" fillId="0" borderId="56" xfId="0" applyFont="1" applyBorder="1" applyAlignment="1" applyProtection="1">
      <alignment horizontal="left" vertical="top" wrapText="1"/>
      <protection locked="0"/>
    </xf>
    <xf numFmtId="0" fontId="38" fillId="0" borderId="0" xfId="0" applyFont="1" applyAlignment="1">
      <alignment horizontal="center"/>
    </xf>
    <xf numFmtId="0" fontId="4" fillId="0" borderId="0" xfId="0" applyFont="1" applyAlignment="1">
      <alignment horizontal="center"/>
    </xf>
    <xf numFmtId="164" fontId="3" fillId="2" borderId="27" xfId="0" applyNumberFormat="1" applyFont="1" applyFill="1" applyBorder="1" applyAlignment="1">
      <alignment horizontal="center"/>
    </xf>
    <xf numFmtId="0" fontId="5" fillId="0" borderId="27" xfId="0" applyFont="1" applyBorder="1" applyAlignment="1" applyProtection="1">
      <alignment horizontal="center" vertical="center" wrapText="1"/>
      <protection locked="0"/>
    </xf>
    <xf numFmtId="165" fontId="5" fillId="0" borderId="27" xfId="2" applyNumberFormat="1" applyFont="1" applyFill="1" applyBorder="1" applyAlignment="1" applyProtection="1">
      <alignment horizontal="center" vertical="center"/>
      <protection locked="0"/>
    </xf>
    <xf numFmtId="0" fontId="5" fillId="0" borderId="27" xfId="0" applyFont="1" applyBorder="1" applyAlignment="1" applyProtection="1">
      <alignment horizontal="center" vertical="center"/>
      <protection locked="0"/>
    </xf>
    <xf numFmtId="165" fontId="5" fillId="0" borderId="27" xfId="0" applyNumberFormat="1" applyFont="1" applyBorder="1" applyAlignment="1">
      <alignment horizontal="center" vertical="center"/>
    </xf>
    <xf numFmtId="0" fontId="5" fillId="0" borderId="27" xfId="0" applyFont="1" applyBorder="1" applyAlignment="1">
      <alignment horizontal="center" vertical="center" wrapText="1"/>
    </xf>
    <xf numFmtId="165" fontId="5" fillId="0" borderId="27" xfId="2" applyNumberFormat="1" applyFont="1" applyFill="1" applyBorder="1" applyAlignment="1" applyProtection="1">
      <alignment horizontal="center" vertical="center"/>
    </xf>
    <xf numFmtId="0" fontId="5" fillId="0" borderId="27" xfId="0" applyFont="1" applyBorder="1" applyAlignment="1">
      <alignment horizontal="center" vertical="center"/>
    </xf>
    <xf numFmtId="164" fontId="3" fillId="2" borderId="45" xfId="0" applyNumberFormat="1" applyFont="1" applyFill="1" applyBorder="1" applyAlignment="1">
      <alignment horizontal="center"/>
    </xf>
    <xf numFmtId="164" fontId="3" fillId="2" borderId="20" xfId="0" applyNumberFormat="1" applyFont="1" applyFill="1" applyBorder="1" applyAlignment="1">
      <alignment horizontal="center"/>
    </xf>
    <xf numFmtId="164" fontId="3" fillId="2" borderId="39" xfId="0" applyNumberFormat="1" applyFont="1" applyFill="1" applyBorder="1" applyAlignment="1">
      <alignment horizontal="center"/>
    </xf>
    <xf numFmtId="164" fontId="3" fillId="2" borderId="19" xfId="0" applyNumberFormat="1" applyFont="1" applyFill="1" applyBorder="1" applyAlignment="1">
      <alignment horizontal="center"/>
    </xf>
    <xf numFmtId="0" fontId="3" fillId="7" borderId="27" xfId="0" applyFont="1" applyFill="1" applyBorder="1" applyAlignment="1" applyProtection="1">
      <alignment horizontal="center"/>
      <protection locked="0"/>
    </xf>
    <xf numFmtId="164" fontId="3" fillId="7" borderId="27" xfId="0" applyNumberFormat="1" applyFont="1" applyFill="1" applyBorder="1" applyAlignment="1" applyProtection="1">
      <alignment horizontal="center"/>
      <protection locked="0"/>
    </xf>
    <xf numFmtId="0" fontId="3" fillId="0" borderId="27" xfId="0" applyFont="1" applyBorder="1" applyAlignment="1" applyProtection="1">
      <alignment horizontal="center"/>
      <protection locked="0"/>
    </xf>
    <xf numFmtId="164" fontId="3" fillId="0" borderId="27" xfId="0" applyNumberFormat="1" applyFont="1" applyBorder="1" applyAlignment="1" applyProtection="1">
      <alignment horizontal="center"/>
      <protection locked="0"/>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3" fillId="2" borderId="50" xfId="0" applyFont="1" applyFill="1" applyBorder="1" applyAlignment="1">
      <alignment horizontal="center"/>
    </xf>
    <xf numFmtId="0" fontId="3" fillId="2" borderId="49" xfId="0" applyFont="1" applyFill="1" applyBorder="1" applyAlignment="1">
      <alignment horizontal="center"/>
    </xf>
    <xf numFmtId="0" fontId="3" fillId="2" borderId="0" xfId="0" applyFont="1" applyFill="1" applyAlignment="1">
      <alignment horizontal="center"/>
    </xf>
    <xf numFmtId="0" fontId="1" fillId="0" borderId="26" xfId="0" applyFont="1" applyBorder="1" applyAlignment="1" applyProtection="1">
      <alignment horizontal="center"/>
      <protection locked="0"/>
    </xf>
    <xf numFmtId="0" fontId="1" fillId="0" borderId="40" xfId="0" applyFont="1" applyBorder="1" applyAlignment="1" applyProtection="1">
      <alignment horizontal="center"/>
      <protection locked="0"/>
    </xf>
    <xf numFmtId="0" fontId="1" fillId="0" borderId="25" xfId="0" applyFont="1" applyBorder="1" applyAlignment="1" applyProtection="1">
      <alignment horizontal="center"/>
      <protection locked="0"/>
    </xf>
    <xf numFmtId="164" fontId="3" fillId="0" borderId="26" xfId="0" applyNumberFormat="1" applyFont="1" applyBorder="1" applyAlignment="1" applyProtection="1">
      <alignment horizontal="center"/>
      <protection locked="0"/>
    </xf>
    <xf numFmtId="164" fontId="3" fillId="0" borderId="25" xfId="0" applyNumberFormat="1" applyFont="1" applyBorder="1" applyAlignment="1" applyProtection="1">
      <alignment horizontal="center"/>
      <protection locked="0"/>
    </xf>
    <xf numFmtId="0" fontId="3" fillId="0" borderId="26" xfId="0" applyFont="1" applyBorder="1" applyAlignment="1" applyProtection="1">
      <alignment horizontal="center"/>
      <protection locked="0"/>
    </xf>
    <xf numFmtId="0" fontId="3" fillId="0" borderId="40" xfId="0" applyFont="1" applyBorder="1" applyAlignment="1" applyProtection="1">
      <alignment horizontal="center"/>
      <protection locked="0"/>
    </xf>
    <xf numFmtId="0" fontId="3" fillId="0" borderId="25" xfId="0" applyFont="1" applyBorder="1" applyAlignment="1" applyProtection="1">
      <alignment horizontal="center"/>
      <protection locked="0"/>
    </xf>
    <xf numFmtId="1" fontId="3" fillId="0" borderId="27" xfId="0" applyNumberFormat="1" applyFont="1" applyBorder="1" applyAlignment="1" applyProtection="1">
      <alignment horizontal="center"/>
      <protection locked="0"/>
    </xf>
    <xf numFmtId="4" fontId="1" fillId="2" borderId="1" xfId="0" applyNumberFormat="1" applyFont="1" applyFill="1" applyBorder="1" applyAlignment="1">
      <alignment horizontal="center"/>
    </xf>
    <xf numFmtId="4" fontId="1" fillId="2" borderId="2" xfId="0" applyNumberFormat="1" applyFont="1" applyFill="1" applyBorder="1" applyAlignment="1">
      <alignment horizontal="center"/>
    </xf>
    <xf numFmtId="4" fontId="1" fillId="2" borderId="3" xfId="0" applyNumberFormat="1" applyFont="1" applyFill="1" applyBorder="1" applyAlignment="1">
      <alignment horizontal="center"/>
    </xf>
    <xf numFmtId="0" fontId="45" fillId="3" borderId="0" xfId="12" applyNumberFormat="1" applyFont="1" applyFill="1" applyAlignment="1">
      <alignment horizontal="center"/>
    </xf>
    <xf numFmtId="0" fontId="45" fillId="3" borderId="41" xfId="12" applyNumberFormat="1" applyFont="1" applyFill="1" applyBorder="1" applyAlignment="1">
      <alignment horizontal="center"/>
    </xf>
    <xf numFmtId="0" fontId="45" fillId="3" borderId="31" xfId="12" applyNumberFormat="1" applyFont="1" applyFill="1" applyBorder="1" applyAlignment="1">
      <alignment horizontal="center"/>
    </xf>
    <xf numFmtId="0" fontId="45" fillId="3" borderId="32" xfId="12" applyNumberFormat="1" applyFont="1" applyFill="1" applyBorder="1" applyAlignment="1">
      <alignment horizontal="center"/>
    </xf>
    <xf numFmtId="0" fontId="45" fillId="3" borderId="15" xfId="12" applyNumberFormat="1" applyFont="1" applyFill="1" applyBorder="1" applyAlignment="1">
      <alignment horizontal="center"/>
    </xf>
    <xf numFmtId="0" fontId="45" fillId="3" borderId="13" xfId="12" applyNumberFormat="1" applyFont="1" applyFill="1" applyBorder="1" applyAlignment="1">
      <alignment horizontal="center"/>
    </xf>
    <xf numFmtId="0" fontId="45" fillId="3" borderId="14" xfId="12" applyNumberFormat="1" applyFont="1" applyFill="1" applyBorder="1" applyAlignment="1">
      <alignment horizontal="center"/>
    </xf>
    <xf numFmtId="0" fontId="49" fillId="36" borderId="27" xfId="0" applyFont="1" applyFill="1" applyBorder="1" applyAlignment="1">
      <alignment horizontal="centerContinuous"/>
    </xf>
    <xf numFmtId="0" fontId="50" fillId="36" borderId="27" xfId="0" applyFont="1" applyFill="1" applyBorder="1" applyAlignment="1">
      <alignment horizontal="centerContinuous"/>
    </xf>
    <xf numFmtId="0" fontId="50" fillId="0" borderId="0" xfId="0" applyFont="1"/>
    <xf numFmtId="0" fontId="4" fillId="37" borderId="27" xfId="11" applyNumberFormat="1" applyFill="1" applyBorder="1"/>
    <xf numFmtId="0" fontId="4" fillId="38" borderId="27" xfId="11" applyNumberFormat="1" applyFill="1" applyBorder="1" applyAlignment="1">
      <alignment horizontal="center"/>
    </xf>
    <xf numFmtId="0" fontId="50" fillId="0" borderId="27" xfId="0" applyFont="1" applyBorder="1" applyAlignment="1">
      <alignment horizontal="center"/>
    </xf>
    <xf numFmtId="0" fontId="49" fillId="36" borderId="27" xfId="0" applyFont="1" applyFill="1" applyBorder="1" applyAlignment="1">
      <alignment horizontal="center" vertical="center"/>
    </xf>
    <xf numFmtId="0" fontId="51" fillId="36" borderId="27" xfId="0" applyFont="1" applyFill="1" applyBorder="1" applyAlignment="1">
      <alignment horizontal="center" vertical="center"/>
    </xf>
    <xf numFmtId="0" fontId="0" fillId="0" borderId="45" xfId="0" applyBorder="1"/>
    <xf numFmtId="16" fontId="50" fillId="0" borderId="27" xfId="0" applyNumberFormat="1" applyFont="1" applyBorder="1" applyAlignment="1">
      <alignment horizontal="center"/>
    </xf>
    <xf numFmtId="0" fontId="50" fillId="0" borderId="0" xfId="0" applyFont="1" applyAlignment="1">
      <alignment horizontal="center"/>
    </xf>
    <xf numFmtId="0" fontId="52" fillId="39" borderId="55" xfId="0" applyFont="1" applyFill="1" applyBorder="1" applyAlignment="1">
      <alignment horizontal="center"/>
    </xf>
    <xf numFmtId="0" fontId="0" fillId="0" borderId="0" xfId="0"/>
    <xf numFmtId="0" fontId="0" fillId="0" borderId="50" xfId="0" applyBorder="1"/>
    <xf numFmtId="0" fontId="0" fillId="0" borderId="0" xfId="0" applyAlignment="1">
      <alignment horizontal="center"/>
    </xf>
    <xf numFmtId="0" fontId="0" fillId="0" borderId="55" xfId="0" applyBorder="1"/>
    <xf numFmtId="0" fontId="53" fillId="36" borderId="27" xfId="3" applyFont="1" applyFill="1" applyBorder="1" applyAlignment="1">
      <alignment horizontal="center" vertical="center"/>
    </xf>
    <xf numFmtId="0" fontId="0" fillId="0" borderId="81" xfId="0" applyBorder="1"/>
    <xf numFmtId="0" fontId="0" fillId="0" borderId="51" xfId="0" applyBorder="1"/>
    <xf numFmtId="0" fontId="54" fillId="36" borderId="27" xfId="0" applyFont="1" applyFill="1" applyBorder="1" applyAlignment="1">
      <alignment horizontal="center" vertical="center"/>
    </xf>
    <xf numFmtId="0" fontId="55" fillId="0" borderId="0" xfId="0" applyFont="1" applyAlignment="1">
      <alignment vertical="center"/>
    </xf>
    <xf numFmtId="0" fontId="0" fillId="0" borderId="52" xfId="0" applyBorder="1"/>
    <xf numFmtId="0" fontId="0" fillId="0" borderId="56" xfId="0" applyBorder="1"/>
    <xf numFmtId="0" fontId="4" fillId="38" borderId="27" xfId="3" applyFill="1" applyBorder="1" applyAlignment="1">
      <alignment horizontal="center"/>
    </xf>
    <xf numFmtId="0" fontId="0" fillId="40" borderId="26" xfId="0" applyFill="1" applyBorder="1"/>
    <xf numFmtId="0" fontId="0" fillId="40" borderId="27" xfId="0" applyFill="1" applyBorder="1"/>
    <xf numFmtId="0" fontId="4" fillId="41" borderId="27" xfId="3" applyFill="1" applyBorder="1" applyAlignment="1">
      <alignment horizontal="center"/>
    </xf>
    <xf numFmtId="0" fontId="4" fillId="42" borderId="27" xfId="3" applyFill="1" applyBorder="1" applyAlignment="1">
      <alignment horizontal="center"/>
    </xf>
    <xf numFmtId="0" fontId="4" fillId="43" borderId="27" xfId="3" applyFill="1" applyBorder="1" applyAlignment="1">
      <alignment horizontal="center"/>
    </xf>
    <xf numFmtId="0" fontId="4" fillId="44" borderId="27" xfId="3" applyFill="1" applyBorder="1" applyAlignment="1">
      <alignment horizontal="center"/>
    </xf>
    <xf numFmtId="0" fontId="4" fillId="45" borderId="27" xfId="3" applyFill="1" applyBorder="1" applyAlignment="1">
      <alignment horizontal="center"/>
    </xf>
    <xf numFmtId="0" fontId="4" fillId="37" borderId="27" xfId="3" applyFill="1" applyBorder="1" applyAlignment="1">
      <alignment horizontal="center"/>
    </xf>
    <xf numFmtId="0" fontId="4" fillId="46" borderId="27" xfId="3" applyFill="1" applyBorder="1" applyAlignment="1">
      <alignment horizontal="center"/>
    </xf>
    <xf numFmtId="0" fontId="4" fillId="47" borderId="27" xfId="3" applyFill="1" applyBorder="1" applyAlignment="1">
      <alignment horizontal="center"/>
    </xf>
    <xf numFmtId="0" fontId="4" fillId="48" borderId="27" xfId="3" applyFill="1" applyBorder="1" applyAlignment="1">
      <alignment horizontal="center"/>
    </xf>
    <xf numFmtId="0" fontId="4" fillId="49" borderId="27" xfId="3" applyFill="1" applyBorder="1" applyAlignment="1">
      <alignment horizontal="center"/>
    </xf>
    <xf numFmtId="0" fontId="4" fillId="50" borderId="27" xfId="3" applyFill="1" applyBorder="1" applyAlignment="1">
      <alignment horizontal="center"/>
    </xf>
    <xf numFmtId="0" fontId="4" fillId="44" borderId="27" xfId="3" applyFill="1" applyBorder="1"/>
    <xf numFmtId="0" fontId="4" fillId="45" borderId="27" xfId="3" applyFill="1" applyBorder="1"/>
    <xf numFmtId="0" fontId="4" fillId="37" borderId="27" xfId="3" applyFill="1" applyBorder="1"/>
    <xf numFmtId="0" fontId="0" fillId="40" borderId="26" xfId="0" applyFill="1" applyBorder="1" applyAlignment="1">
      <alignment horizontal="center"/>
    </xf>
    <xf numFmtId="0" fontId="0" fillId="40" borderId="27" xfId="0" applyFill="1" applyBorder="1" applyAlignment="1">
      <alignment horizontal="center"/>
    </xf>
    <xf numFmtId="0" fontId="4" fillId="46" borderId="27" xfId="3" applyFill="1" applyBorder="1"/>
    <xf numFmtId="0" fontId="50" fillId="40" borderId="26" xfId="0" applyFont="1" applyFill="1" applyBorder="1"/>
    <xf numFmtId="0" fontId="50" fillId="40" borderId="27" xfId="0" applyFont="1" applyFill="1" applyBorder="1"/>
    <xf numFmtId="0" fontId="0" fillId="0" borderId="0" xfId="0" applyAlignment="1">
      <alignment vertical="center" wrapText="1"/>
    </xf>
  </cellXfs>
  <cellStyles count="13">
    <cellStyle name="Bad" xfId="10" builtinId="27"/>
    <cellStyle name="Currency" xfId="2" builtinId="4"/>
    <cellStyle name="Currency 2 2" xfId="4" xr:uid="{00000000-0005-0000-0000-000002000000}"/>
    <cellStyle name="Currency 3" xfId="5" xr:uid="{00000000-0005-0000-0000-000003000000}"/>
    <cellStyle name="Good" xfId="9" builtinId="26"/>
    <cellStyle name="Normal" xfId="0" builtinId="0"/>
    <cellStyle name="Normal 2" xfId="8" xr:uid="{00000000-0005-0000-0000-000006000000}"/>
    <cellStyle name="Normal 2 2" xfId="1" xr:uid="{00000000-0005-0000-0000-000007000000}"/>
    <cellStyle name="Normal 3" xfId="3" xr:uid="{00000000-0005-0000-0000-000008000000}"/>
    <cellStyle name="Normal 3 3" xfId="11" xr:uid="{279FF7C5-3EE7-48F2-BA2C-505E873372D4}"/>
    <cellStyle name="Normal 30" xfId="12" xr:uid="{81208865-6C87-46D2-9E13-56D8A70CD077}"/>
    <cellStyle name="Normal 4" xfId="6" xr:uid="{00000000-0005-0000-0000-000009000000}"/>
    <cellStyle name="Normal 6 4" xfId="7" xr:uid="{00000000-0005-0000-0000-00000A000000}"/>
  </cellStyles>
  <dxfs count="614">
    <dxf>
      <fill>
        <patternFill>
          <bgColor rgb="FFFF9999"/>
        </patternFill>
      </fill>
    </dxf>
    <dxf>
      <font>
        <color rgb="FFFF9900"/>
      </font>
      <fill>
        <patternFill>
          <bgColor rgb="FFFF9900"/>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ill>
        <patternFill>
          <bgColor rgb="FF00FF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ill>
        <patternFill>
          <bgColor rgb="FFFFFF00"/>
        </patternFill>
      </fill>
    </dxf>
    <dxf>
      <font>
        <color rgb="FF00FF00"/>
      </font>
      <fill>
        <patternFill>
          <bgColor rgb="FF00FF00"/>
        </patternFill>
      </fill>
    </dxf>
    <dxf>
      <fill>
        <patternFill>
          <bgColor rgb="FFCC99FF"/>
        </patternFill>
      </fill>
    </dxf>
    <dxf>
      <fill>
        <patternFill>
          <bgColor rgb="FFFF99CC"/>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99CC"/>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ill>
        <patternFill>
          <bgColor rgb="FFCC99FF"/>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ill>
        <patternFill>
          <bgColor rgb="FF00FFFF"/>
        </patternFill>
      </fill>
    </dxf>
    <dxf>
      <font>
        <color rgb="FF800000"/>
      </font>
      <fill>
        <patternFill>
          <bgColor rgb="FF800000"/>
        </patternFill>
      </fill>
    </dxf>
    <dxf>
      <font>
        <color rgb="FFFF0000"/>
      </font>
      <fill>
        <patternFill>
          <bgColor rgb="FFFF0000"/>
        </patternFill>
      </fill>
    </dxf>
    <dxf>
      <fill>
        <patternFill>
          <bgColor rgb="FFCC99FF"/>
        </patternFill>
      </fill>
    </dxf>
    <dxf>
      <font>
        <color rgb="FFFF0000"/>
      </font>
      <fill>
        <patternFill>
          <bgColor rgb="FFFF0000"/>
        </patternFill>
      </fill>
    </dxf>
    <dxf>
      <font>
        <color rgb="FF000000"/>
      </font>
      <fill>
        <patternFill>
          <bgColor rgb="FF000000"/>
        </patternFill>
      </fill>
    </dxf>
    <dxf>
      <fill>
        <patternFill>
          <bgColor rgb="FFFF99CC"/>
        </patternFill>
      </fill>
    </dxf>
    <dxf>
      <fill>
        <patternFill>
          <bgColor rgb="FFFFFF00"/>
        </patternFill>
      </fill>
    </dxf>
    <dxf>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ill>
        <patternFill>
          <bgColor rgb="FFFF99CC"/>
        </patternFill>
      </fill>
    </dxf>
    <dxf>
      <font>
        <color rgb="FF00FF00"/>
      </font>
      <fill>
        <patternFill>
          <bgColor rgb="FF00FF00"/>
        </patternFill>
      </fill>
    </dxf>
    <dxf>
      <font>
        <color rgb="FF800000"/>
      </font>
      <fill>
        <patternFill>
          <bgColor rgb="FF800000"/>
        </patternFill>
      </fill>
    </dxf>
    <dxf>
      <font>
        <color rgb="FF0000FF"/>
      </font>
      <fill>
        <patternFill>
          <bgColor rgb="FF0000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ont>
        <color rgb="FFFF9900"/>
      </font>
      <fill>
        <patternFill>
          <bgColor rgb="FFFF9900"/>
        </patternFill>
      </fill>
    </dxf>
    <dxf>
      <fill>
        <patternFill>
          <bgColor rgb="FF00FFFF"/>
        </patternFill>
      </fill>
    </dxf>
    <dxf>
      <font>
        <color rgb="FF969696"/>
      </font>
      <fill>
        <patternFill>
          <bgColor rgb="FF969696"/>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0000"/>
      </font>
      <fill>
        <patternFill>
          <bgColor rgb="FFFF0000"/>
        </patternFill>
      </fill>
    </dxf>
    <dxf>
      <fill>
        <patternFill>
          <bgColor rgb="FFCC99FF"/>
        </patternFill>
      </fill>
    </dxf>
    <dxf>
      <fill>
        <patternFill>
          <bgColor rgb="FFFFFF00"/>
        </patternFill>
      </fill>
    </dxf>
    <dxf>
      <fill>
        <patternFill>
          <bgColor rgb="FFFF99CC"/>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9900"/>
      </font>
      <fill>
        <patternFill>
          <bgColor rgb="FFFF99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969696"/>
      </font>
      <fill>
        <patternFill>
          <bgColor rgb="FF969696"/>
        </patternFill>
      </fill>
    </dxf>
    <dxf>
      <font>
        <color rgb="FF0000FF"/>
      </font>
      <fill>
        <patternFill>
          <bgColor rgb="FF0000FF"/>
        </patternFill>
      </fill>
    </dxf>
    <dxf>
      <font>
        <color rgb="FFFF99CC"/>
      </font>
      <fill>
        <patternFill>
          <bgColor rgb="FFFF99CC"/>
        </patternFill>
      </fill>
    </dxf>
    <dxf>
      <font>
        <color rgb="FF000000"/>
      </font>
      <fill>
        <patternFill>
          <bgColor rgb="FF000000"/>
        </patternFill>
      </fill>
    </dxf>
    <dxf>
      <font>
        <color rgb="FF0000FF"/>
      </font>
      <fill>
        <patternFill>
          <bgColor rgb="FF0000FF"/>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0000"/>
      </font>
      <fill>
        <patternFill>
          <bgColor rgb="FFFF0000"/>
        </patternFill>
      </fill>
    </dxf>
    <dxf>
      <font>
        <color rgb="FFFF99CC"/>
      </font>
      <fill>
        <patternFill>
          <bgColor rgb="FFFF99CC"/>
        </patternFill>
      </fill>
    </dxf>
    <dxf>
      <font>
        <color rgb="FFCC99FF"/>
      </font>
      <fill>
        <patternFill>
          <bgColor rgb="FFCC99FF"/>
        </patternFill>
      </fill>
    </dxf>
    <dxf>
      <font>
        <color rgb="FF0000FF"/>
      </font>
      <fill>
        <patternFill>
          <bgColor rgb="FF0000FF"/>
        </patternFill>
      </fill>
    </dxf>
    <dxf>
      <font>
        <color rgb="FFFF9900"/>
      </font>
      <fill>
        <patternFill>
          <bgColor rgb="FFFF9900"/>
        </patternFill>
      </fill>
    </dxf>
    <dxf>
      <font>
        <color rgb="FF00FFFF"/>
      </font>
      <fill>
        <patternFill>
          <bgColor rgb="FF00FFFF"/>
        </patternFill>
      </fill>
    </dxf>
    <dxf>
      <font>
        <color rgb="FFFFFF00"/>
      </font>
      <fill>
        <patternFill>
          <bgColor rgb="FFFF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00FF00"/>
      </font>
      <fill>
        <patternFill>
          <bgColor rgb="FF00FF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00FF"/>
      </font>
      <fill>
        <patternFill>
          <bgColor rgb="FF0000FF"/>
        </patternFill>
      </fill>
    </dxf>
    <dxf>
      <font>
        <color rgb="FFCC99FF"/>
      </font>
      <fill>
        <patternFill>
          <bgColor rgb="FFCC99FF"/>
        </patternFill>
      </fill>
    </dxf>
    <dxf>
      <font>
        <color rgb="FF00FFFF"/>
      </font>
      <fill>
        <patternFill>
          <bgColor rgb="FF00FFFF"/>
        </patternFill>
      </fill>
    </dxf>
    <dxf>
      <font>
        <color rgb="FFFF99CC"/>
      </font>
      <fill>
        <patternFill>
          <bgColor rgb="FFFF99CC"/>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00"/>
      </font>
      <fill>
        <patternFill>
          <bgColor rgb="FF000000"/>
        </patternFill>
      </fill>
    </dxf>
    <dxf>
      <font>
        <color rgb="FFFFFF00"/>
      </font>
      <fill>
        <patternFill>
          <bgColor rgb="FFFFFF00"/>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0000"/>
      </font>
      <fill>
        <patternFill>
          <bgColor rgb="FFFF0000"/>
        </patternFill>
      </fill>
    </dxf>
    <dxf>
      <font>
        <color rgb="FFFFFF00"/>
      </font>
      <fill>
        <patternFill>
          <bgColor rgb="FFFFFF00"/>
        </patternFill>
      </fill>
    </dxf>
    <dxf>
      <font>
        <color rgb="FF000000"/>
      </font>
      <fill>
        <patternFill>
          <bgColor rgb="FF000000"/>
        </patternFill>
      </fill>
    </dxf>
    <dxf>
      <font>
        <color rgb="FFFFFFFF"/>
      </font>
      <fill>
        <patternFill>
          <bgColor rgb="FFFFFFFF"/>
        </patternFill>
      </fill>
    </dxf>
    <dxf>
      <font>
        <color rgb="FF969696"/>
      </font>
      <fill>
        <patternFill>
          <bgColor rgb="FF969696"/>
        </patternFill>
      </fill>
    </dxf>
    <dxf>
      <font>
        <color rgb="FFFF0000"/>
      </font>
      <fill>
        <patternFill>
          <bgColor rgb="FFFF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800000"/>
      </font>
      <fill>
        <patternFill>
          <bgColor rgb="FF8000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99CC"/>
      </font>
      <fill>
        <patternFill>
          <bgColor rgb="FFFF99CC"/>
        </patternFill>
      </fill>
    </dxf>
    <dxf>
      <font>
        <color rgb="FFFFFFFF"/>
      </font>
      <fill>
        <patternFill>
          <bgColor rgb="FFFFFFFF"/>
        </patternFill>
      </fill>
    </dxf>
    <dxf>
      <font>
        <color rgb="FFFF9900"/>
      </font>
      <fill>
        <patternFill>
          <bgColor rgb="FFFF9900"/>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ill>
        <patternFill>
          <bgColor rgb="FF00FF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800000"/>
      </font>
      <fill>
        <patternFill>
          <bgColor rgb="FF800000"/>
        </patternFill>
      </fill>
    </dxf>
    <dxf>
      <font>
        <color rgb="FF969696"/>
      </font>
      <fill>
        <patternFill>
          <bgColor rgb="FF969696"/>
        </patternFill>
      </fill>
    </dxf>
    <dxf>
      <fill>
        <patternFill>
          <bgColor rgb="FFFFFF00"/>
        </patternFill>
      </fill>
    </dxf>
    <dxf>
      <font>
        <color rgb="FF00FF00"/>
      </font>
      <fill>
        <patternFill>
          <bgColor rgb="FF00FF00"/>
        </patternFill>
      </fill>
    </dxf>
    <dxf>
      <fill>
        <patternFill>
          <bgColor rgb="FFCC99FF"/>
        </patternFill>
      </fill>
    </dxf>
    <dxf>
      <fill>
        <patternFill>
          <bgColor rgb="FFFF99CC"/>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99CC"/>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00FF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ill>
        <patternFill>
          <bgColor rgb="FFCC99FF"/>
        </patternFill>
      </fill>
    </dxf>
    <dxf>
      <font>
        <color rgb="FFFFFFFF"/>
      </font>
      <fill>
        <patternFill>
          <bgColor rgb="FFFFFFFF"/>
        </patternFill>
      </fill>
    </dxf>
    <dxf>
      <font>
        <color rgb="FF969696"/>
      </font>
      <fill>
        <patternFill>
          <bgColor rgb="FF969696"/>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ill>
        <patternFill>
          <bgColor rgb="FF00FFFF"/>
        </patternFill>
      </fill>
    </dxf>
    <dxf>
      <font>
        <color rgb="FF800000"/>
      </font>
      <fill>
        <patternFill>
          <bgColor rgb="FF800000"/>
        </patternFill>
      </fill>
    </dxf>
    <dxf>
      <font>
        <color rgb="FFFF0000"/>
      </font>
      <fill>
        <patternFill>
          <bgColor rgb="FFFF0000"/>
        </patternFill>
      </fill>
    </dxf>
    <dxf>
      <fill>
        <patternFill>
          <bgColor rgb="FFCC99FF"/>
        </patternFill>
      </fill>
    </dxf>
    <dxf>
      <font>
        <color rgb="FFFF0000"/>
      </font>
      <fill>
        <patternFill>
          <bgColor rgb="FFFF0000"/>
        </patternFill>
      </fill>
    </dxf>
    <dxf>
      <font>
        <color rgb="FF000000"/>
      </font>
      <fill>
        <patternFill>
          <bgColor rgb="FF000000"/>
        </patternFill>
      </fill>
    </dxf>
    <dxf>
      <fill>
        <patternFill>
          <bgColor rgb="FFFF99CC"/>
        </patternFill>
      </fill>
    </dxf>
    <dxf>
      <fill>
        <patternFill>
          <bgColor rgb="FFFFFF00"/>
        </patternFill>
      </fill>
    </dxf>
    <dxf>
      <fill>
        <patternFill>
          <bgColor rgb="FF00FF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ill>
        <patternFill>
          <bgColor rgb="FFFF99CC"/>
        </patternFill>
      </fill>
    </dxf>
    <dxf>
      <font>
        <color rgb="FF00FF00"/>
      </font>
      <fill>
        <patternFill>
          <bgColor rgb="FF00FF00"/>
        </patternFill>
      </fill>
    </dxf>
    <dxf>
      <font>
        <color rgb="FF800000"/>
      </font>
      <fill>
        <patternFill>
          <bgColor rgb="FF800000"/>
        </patternFill>
      </fill>
    </dxf>
    <dxf>
      <font>
        <color rgb="FF0000FF"/>
      </font>
      <fill>
        <patternFill>
          <bgColor rgb="FF0000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ont>
        <color rgb="FFFF9900"/>
      </font>
      <fill>
        <patternFill>
          <bgColor rgb="FFFF9900"/>
        </patternFill>
      </fill>
    </dxf>
    <dxf>
      <fill>
        <patternFill>
          <bgColor rgb="FF00FFFF"/>
        </patternFill>
      </fill>
    </dxf>
    <dxf>
      <font>
        <color rgb="FF969696"/>
      </font>
      <fill>
        <patternFill>
          <bgColor rgb="FF969696"/>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FF0000"/>
      </font>
      <fill>
        <patternFill>
          <bgColor rgb="FFFF0000"/>
        </patternFill>
      </fill>
    </dxf>
    <dxf>
      <fill>
        <patternFill>
          <bgColor rgb="FFCC99FF"/>
        </patternFill>
      </fill>
    </dxf>
    <dxf>
      <fill>
        <patternFill>
          <bgColor rgb="FFFFFF00"/>
        </patternFill>
      </fill>
    </dxf>
    <dxf>
      <fill>
        <patternFill>
          <bgColor rgb="FFFF99CC"/>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ill>
        <patternFill>
          <bgColor rgb="FF00FFFF"/>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ill>
        <patternFill>
          <bgColor rgb="FFFFFF00"/>
        </patternFill>
      </fill>
    </dxf>
    <dxf>
      <fill>
        <patternFill>
          <bgColor rgb="FFCC99FF"/>
        </patternFill>
      </fill>
    </dxf>
    <dxf>
      <fill>
        <patternFill>
          <bgColor rgb="FFFF99CC"/>
        </patternFill>
      </fill>
    </dxf>
    <dxf>
      <fill>
        <patternFill>
          <bgColor rgb="FF00FFFF"/>
        </patternFill>
      </fill>
    </dxf>
    <dxf>
      <font>
        <color rgb="FF0000FF"/>
      </font>
      <fill>
        <patternFill>
          <bgColor rgb="FF0000FF"/>
        </patternFill>
      </fill>
    </dxf>
    <dxf>
      <fill>
        <patternFill>
          <bgColor rgb="FF00FFFF"/>
        </patternFill>
      </fill>
    </dxf>
    <dxf>
      <fill>
        <patternFill>
          <bgColor rgb="FFFF99CC"/>
        </patternFill>
      </fill>
    </dxf>
    <dxf>
      <fill>
        <patternFill>
          <bgColor rgb="FFCC99FF"/>
        </patternFill>
      </fill>
    </dxf>
    <dxf>
      <fill>
        <patternFill>
          <bgColor rgb="FFFFFF00"/>
        </patternFill>
      </fill>
    </dxf>
    <dxf>
      <font>
        <color rgb="FF000000"/>
      </font>
      <fill>
        <patternFill>
          <bgColor rgb="FF000000"/>
        </patternFill>
      </fill>
    </dxf>
    <dxf>
      <font>
        <color rgb="FFFF9900"/>
      </font>
      <fill>
        <patternFill>
          <bgColor rgb="FFFF99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969696"/>
      </font>
      <fill>
        <patternFill>
          <bgColor rgb="FF969696"/>
        </patternFill>
      </fill>
    </dxf>
    <dxf>
      <font>
        <color rgb="FF0000FF"/>
      </font>
      <fill>
        <patternFill>
          <bgColor rgb="FF0000FF"/>
        </patternFill>
      </fill>
    </dxf>
    <dxf>
      <font>
        <color rgb="FFFF99CC"/>
      </font>
      <fill>
        <patternFill>
          <bgColor rgb="FFFF99CC"/>
        </patternFill>
      </fill>
    </dxf>
    <dxf>
      <font>
        <color rgb="FF000000"/>
      </font>
      <fill>
        <patternFill>
          <bgColor rgb="FF000000"/>
        </patternFill>
      </fill>
    </dxf>
    <dxf>
      <font>
        <color rgb="FF0000FF"/>
      </font>
      <fill>
        <patternFill>
          <bgColor rgb="FF0000FF"/>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FF0000"/>
      </font>
      <fill>
        <patternFill>
          <bgColor rgb="FFFF0000"/>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FFFFFF"/>
      </font>
      <fill>
        <patternFill>
          <bgColor rgb="FFFFFFFF"/>
        </patternFill>
      </fill>
    </dxf>
    <dxf>
      <font>
        <color rgb="FFFF9900"/>
      </font>
      <fill>
        <patternFill>
          <bgColor rgb="FFFF9900"/>
        </patternFill>
      </fill>
    </dxf>
    <dxf>
      <font>
        <color rgb="FF0000FF"/>
      </font>
      <fill>
        <patternFill>
          <bgColor rgb="FF0000FF"/>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FF0000"/>
      </font>
      <fill>
        <patternFill>
          <bgColor rgb="FFFF0000"/>
        </patternFill>
      </fill>
    </dxf>
    <dxf>
      <font>
        <color rgb="FFFF99CC"/>
      </font>
      <fill>
        <patternFill>
          <bgColor rgb="FFFF99CC"/>
        </patternFill>
      </fill>
    </dxf>
    <dxf>
      <font>
        <color rgb="FFCC99FF"/>
      </font>
      <fill>
        <patternFill>
          <bgColor rgb="FFCC99FF"/>
        </patternFill>
      </fill>
    </dxf>
    <dxf>
      <font>
        <color rgb="FF0000FF"/>
      </font>
      <fill>
        <patternFill>
          <bgColor rgb="FF0000FF"/>
        </patternFill>
      </fill>
    </dxf>
    <dxf>
      <font>
        <color rgb="FFFF9900"/>
      </font>
      <fill>
        <patternFill>
          <bgColor rgb="FFFF9900"/>
        </patternFill>
      </fill>
    </dxf>
    <dxf>
      <font>
        <color rgb="FF00FFFF"/>
      </font>
      <fill>
        <patternFill>
          <bgColor rgb="FF00FFFF"/>
        </patternFill>
      </fill>
    </dxf>
    <dxf>
      <font>
        <color rgb="FFFFFF00"/>
      </font>
      <fill>
        <patternFill>
          <bgColor rgb="FFFF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00FF00"/>
      </font>
      <fill>
        <patternFill>
          <bgColor rgb="FF00FF00"/>
        </patternFill>
      </fill>
    </dxf>
    <dxf>
      <font>
        <color rgb="FFFF9900"/>
      </font>
      <fill>
        <patternFill>
          <bgColor rgb="FFFF9900"/>
        </patternFill>
      </fill>
    </dxf>
    <dxf>
      <font>
        <color rgb="FF00FF00"/>
      </font>
      <fill>
        <patternFill>
          <bgColor rgb="FF00FF00"/>
        </patternFill>
      </fill>
    </dxf>
    <dxf>
      <font>
        <color rgb="FF800000"/>
      </font>
      <fill>
        <patternFill>
          <bgColor rgb="FF800000"/>
        </patternFill>
      </fill>
    </dxf>
    <dxf>
      <font>
        <color rgb="FF969696"/>
      </font>
      <fill>
        <patternFill>
          <bgColor rgb="FF969696"/>
        </patternFill>
      </fill>
    </dxf>
    <dxf>
      <font>
        <color rgb="FFFFFFFF"/>
      </font>
      <fill>
        <patternFill>
          <bgColor rgb="FFFFFFFF"/>
        </patternFill>
      </fill>
    </dxf>
    <dxf>
      <font>
        <color rgb="FFFF0000"/>
      </font>
      <fill>
        <patternFill>
          <bgColor rgb="FFFF0000"/>
        </patternFill>
      </fill>
    </dxf>
    <dxf>
      <font>
        <color rgb="FF000000"/>
      </font>
      <fill>
        <patternFill>
          <bgColor rgb="FF000000"/>
        </patternFill>
      </fill>
    </dxf>
    <dxf>
      <font>
        <color rgb="FFFFFF00"/>
      </font>
      <fill>
        <patternFill>
          <bgColor rgb="FFFFFF00"/>
        </patternFill>
      </fill>
    </dxf>
    <dxf>
      <font>
        <color rgb="FFCC99FF"/>
      </font>
      <fill>
        <patternFill>
          <bgColor rgb="FFCC99FF"/>
        </patternFill>
      </fill>
    </dxf>
    <dxf>
      <font>
        <color rgb="FFFF99CC"/>
      </font>
      <fill>
        <patternFill>
          <bgColor rgb="FFFF99CC"/>
        </patternFill>
      </fill>
    </dxf>
    <dxf>
      <font>
        <color rgb="FF00FFFF"/>
      </font>
      <fill>
        <patternFill>
          <bgColor rgb="FF00FFFF"/>
        </patternFill>
      </fill>
    </dxf>
    <dxf>
      <font>
        <color rgb="FF0000FF"/>
      </font>
      <fill>
        <patternFill>
          <bgColor rgb="FF0000FF"/>
        </patternFill>
      </fill>
    </dxf>
    <dxf>
      <font>
        <color rgb="FF0000FF"/>
      </font>
      <fill>
        <patternFill>
          <bgColor rgb="FF0000FF"/>
        </patternFill>
      </fill>
    </dxf>
    <dxf>
      <font>
        <color rgb="FFCC99FF"/>
      </font>
      <fill>
        <patternFill>
          <bgColor rgb="FFCC99FF"/>
        </patternFill>
      </fill>
    </dxf>
    <dxf>
      <font>
        <color rgb="FF00FFFF"/>
      </font>
      <fill>
        <patternFill>
          <bgColor rgb="FF00FFFF"/>
        </patternFill>
      </fill>
    </dxf>
    <dxf>
      <font>
        <color rgb="FFFF99CC"/>
      </font>
      <fill>
        <patternFill>
          <bgColor rgb="FFFF99CC"/>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00"/>
      </font>
      <fill>
        <patternFill>
          <bgColor rgb="FF000000"/>
        </patternFill>
      </fill>
    </dxf>
    <dxf>
      <font>
        <color rgb="FFFFFF00"/>
      </font>
      <fill>
        <patternFill>
          <bgColor rgb="FFFFFF00"/>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0000"/>
      </font>
      <fill>
        <patternFill>
          <bgColor rgb="FFFF0000"/>
        </patternFill>
      </fill>
    </dxf>
    <dxf>
      <font>
        <color rgb="FFFFFF00"/>
      </font>
      <fill>
        <patternFill>
          <bgColor rgb="FFFFFF00"/>
        </patternFill>
      </fill>
    </dxf>
    <dxf>
      <font>
        <color rgb="FF000000"/>
      </font>
      <fill>
        <patternFill>
          <bgColor rgb="FF000000"/>
        </patternFill>
      </fill>
    </dxf>
    <dxf>
      <font>
        <color rgb="FFFFFFFF"/>
      </font>
      <fill>
        <patternFill>
          <bgColor rgb="FFFFFFFF"/>
        </patternFill>
      </fill>
    </dxf>
    <dxf>
      <font>
        <color rgb="FF969696"/>
      </font>
      <fill>
        <patternFill>
          <bgColor rgb="FF969696"/>
        </patternFill>
      </fill>
    </dxf>
    <dxf>
      <font>
        <color rgb="FFFF0000"/>
      </font>
      <fill>
        <patternFill>
          <bgColor rgb="FFFF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00FFFF"/>
      </font>
      <fill>
        <patternFill>
          <bgColor rgb="FF00FFFF"/>
        </patternFill>
      </fill>
    </dxf>
    <dxf>
      <font>
        <color rgb="FFFF99CC"/>
      </font>
      <fill>
        <patternFill>
          <bgColor rgb="FFFF99CC"/>
        </patternFill>
      </fill>
    </dxf>
    <dxf>
      <font>
        <color rgb="FFCC99FF"/>
      </font>
      <fill>
        <patternFill>
          <bgColor rgb="FFCC99FF"/>
        </patternFill>
      </fill>
    </dxf>
    <dxf>
      <font>
        <color rgb="FF800000"/>
      </font>
      <fill>
        <patternFill>
          <bgColor rgb="FF800000"/>
        </patternFill>
      </fill>
    </dxf>
    <dxf>
      <font>
        <color rgb="FF0000FF"/>
      </font>
      <fill>
        <patternFill>
          <bgColor rgb="FF0000FF"/>
        </patternFill>
      </fill>
    </dxf>
    <dxf>
      <font>
        <color rgb="FFFF9900"/>
      </font>
      <fill>
        <patternFill>
          <bgColor rgb="FFFF9900"/>
        </patternFill>
      </fill>
    </dxf>
    <dxf>
      <font>
        <color rgb="FF00FF00"/>
      </font>
      <fill>
        <patternFill>
          <bgColor rgb="FF00FF00"/>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FFFFFF"/>
      </font>
      <fill>
        <patternFill>
          <bgColor rgb="FFFFFFFF"/>
        </patternFill>
      </fill>
    </dxf>
    <dxf>
      <font>
        <color rgb="FF969696"/>
      </font>
      <fill>
        <patternFill>
          <bgColor rgb="FF969696"/>
        </patternFill>
      </fill>
    </dxf>
    <dxf>
      <font>
        <color rgb="FF800000"/>
      </font>
      <fill>
        <patternFill>
          <bgColor rgb="FF800000"/>
        </patternFill>
      </fill>
    </dxf>
    <dxf>
      <font>
        <color rgb="FFFF99CC"/>
      </font>
      <fill>
        <patternFill>
          <bgColor rgb="FFFF99CC"/>
        </patternFill>
      </fill>
    </dxf>
    <dxf>
      <font>
        <color rgb="FF00FFFF"/>
      </font>
      <fill>
        <patternFill>
          <bgColor rgb="FF00FFFF"/>
        </patternFill>
      </fill>
    </dxf>
    <dxf>
      <font>
        <color rgb="FFCC99FF"/>
      </font>
      <fill>
        <patternFill>
          <bgColor rgb="FFCC99FF"/>
        </patternFill>
      </fill>
    </dxf>
    <dxf>
      <font>
        <color rgb="FFFFFF00"/>
      </font>
      <fill>
        <patternFill>
          <bgColor rgb="FFFFFF00"/>
        </patternFill>
      </fill>
    </dxf>
    <dxf>
      <font>
        <color rgb="FF000000"/>
      </font>
      <fill>
        <patternFill>
          <bgColor rgb="FF000000"/>
        </patternFill>
      </fill>
    </dxf>
    <dxf>
      <font>
        <color rgb="FFFF0000"/>
      </font>
      <fill>
        <patternFill>
          <bgColor rgb="FFFF0000"/>
        </patternFill>
      </fill>
    </dxf>
    <dxf>
      <font>
        <color rgb="FF00FFFF"/>
      </font>
      <fill>
        <patternFill>
          <bgColor rgb="FF00FFFF"/>
        </patternFill>
      </fill>
    </dxf>
    <dxf>
      <font>
        <color rgb="FF969696"/>
      </font>
      <fill>
        <patternFill>
          <bgColor rgb="FF969696"/>
        </patternFill>
      </fill>
    </dxf>
    <dxf>
      <font>
        <color rgb="FF800000"/>
      </font>
      <fill>
        <patternFill>
          <bgColor rgb="FF800000"/>
        </patternFill>
      </fill>
    </dxf>
    <dxf>
      <font>
        <color rgb="FF00FF00"/>
      </font>
      <fill>
        <patternFill>
          <bgColor rgb="FF00FF00"/>
        </patternFill>
      </fill>
    </dxf>
    <dxf>
      <font>
        <color rgb="FFFF9900"/>
      </font>
      <fill>
        <patternFill>
          <bgColor rgb="FFFF9900"/>
        </patternFill>
      </fill>
    </dxf>
    <dxf>
      <font>
        <color rgb="FF0000FF"/>
      </font>
      <fill>
        <patternFill>
          <bgColor rgb="FF0000FF"/>
        </patternFill>
      </fill>
    </dxf>
    <dxf>
      <font>
        <color rgb="FFFF99CC"/>
      </font>
      <fill>
        <patternFill>
          <bgColor rgb="FFFF99CC"/>
        </patternFill>
      </fill>
    </dxf>
    <dxf>
      <font>
        <color rgb="FFFFFFFF"/>
      </font>
      <fill>
        <patternFill>
          <bgColor rgb="FFFFFFFF"/>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FF00"/>
        </patternFill>
      </fill>
    </dxf>
    <dxf>
      <fill>
        <patternFill patternType="solid">
          <bgColor rgb="FFFF9999"/>
        </patternFill>
      </fill>
    </dxf>
    <dxf>
      <fill>
        <patternFill patternType="solid">
          <bgColor rgb="FFFFFF00"/>
        </patternFill>
      </fill>
    </dxf>
    <dxf>
      <fill>
        <patternFill patternType="solid">
          <bgColor rgb="FFFF9999"/>
        </patternFill>
      </fill>
    </dxf>
  </dxfs>
  <tableStyles count="0" defaultTableStyle="TableStyleMedium2" defaultPivotStyle="PivotStyleLight16"/>
  <colors>
    <mruColors>
      <color rgb="FFFF7C80"/>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14</xdr:col>
      <xdr:colOff>115507</xdr:colOff>
      <xdr:row>18</xdr:row>
      <xdr:rowOff>57637</xdr:rowOff>
    </xdr:to>
    <xdr:pic>
      <xdr:nvPicPr>
        <xdr:cNvPr id="2" name="Picture 1">
          <a:extLst>
            <a:ext uri="{FF2B5EF4-FFF2-40B4-BE49-F238E27FC236}">
              <a16:creationId xmlns:a16="http://schemas.microsoft.com/office/drawing/2014/main" id="{70405179-7A25-6767-F89D-A0784FC01A51}"/>
            </a:ext>
          </a:extLst>
        </xdr:cNvPr>
        <xdr:cNvPicPr>
          <a:picLocks noChangeAspect="1"/>
        </xdr:cNvPicPr>
      </xdr:nvPicPr>
      <xdr:blipFill>
        <a:blip xmlns:r="http://schemas.openxmlformats.org/officeDocument/2006/relationships" r:embed="rId1"/>
        <a:stretch>
          <a:fillRect/>
        </a:stretch>
      </xdr:blipFill>
      <xdr:spPr>
        <a:xfrm>
          <a:off x="0" y="0"/>
          <a:ext cx="8649907" cy="348663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ee, Timothy" id="{FDD77027-03A0-41BF-A116-8936582AECB8}" userId="Agee, Timothy" providerId="None"/>
  <person displayName="Van Lew, John" id="{8F840EF9-8198-4E86-AB62-5C3441D1CBAF}" userId="Van Lew, John" providerId="Non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9" personId="{FDD77027-03A0-41BF-A116-8936582AECB8}" id="{A219C05B-C764-4352-A9BD-195F6D576382}">
    <text xml:space="preserve">MINIMUM CHARGE IF FLAT RATE IS LESS THAN MINIMUM OPTION
</text>
  </threadedComment>
  <threadedComment ref="D188" personId="{8F840EF9-8198-4E86-AB62-5C3441D1CBAF}" id="{A4F931B9-0967-467F-B093-BF9F84805966}">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text>
  </threadedComment>
  <threadedComment ref="D200" personId="{8F840EF9-8198-4E86-AB62-5C3441D1CBAF}" id="{DCD75B6F-4AB5-411A-AA47-65ACE0223E2B}">
    <text>Place aerial fiber to include strand, anchors, down guys, span guys, tree trimming, grounding, guy shields, placement fiber and lashing to include loops &amp; snow shoes, traffic control. This unit also includes concrete and asphalt restoration up to 36" x 36".  All work must be done acdording to telecordia specs. This does not include placement of poles.  This unit includes (1 cable and up to 2 Multiports) or (#2 and 3 Multiports) if lashed at the same time.  (Can be used for (2) copper cables upto 200pr)</text>
  </threadedComment>
  <threadedComment ref="D201" personId="{8F840EF9-8198-4E86-AB62-5C3441D1CBAF}" id="{7C0A7016-B069-4983-AC87-A9C9F5235E9F}">
    <text xml:space="preserve">  This unit includes (1 cable and up to 2 multiports) or #2 and 3 Multiports only) if lashed at the same time.  (Can be used for (2 Copper Cables up to 200pr)</text>
  </threadedComment>
</ThreadedComments>
</file>

<file path=xl/threadedComments/threadedComment2.xml><?xml version="1.0" encoding="utf-8"?>
<ThreadedComments xmlns="http://schemas.microsoft.com/office/spreadsheetml/2018/threadedcomments" xmlns:x="http://schemas.openxmlformats.org/spreadsheetml/2006/main">
  <threadedComment ref="AM64" personId="{8F840EF9-8198-4E86-AB62-5C3441D1CBAF}" id="{44B01994-5FB1-4C70-9D3E-70DBCAD16252}">
    <text>3 RAISES (TV AND 2LMS) RESAG 2</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G48"/>
  <sheetViews>
    <sheetView tabSelected="1" zoomScaleNormal="100" workbookViewId="0">
      <selection activeCell="F29" sqref="F29"/>
    </sheetView>
  </sheetViews>
  <sheetFormatPr defaultColWidth="8.85546875" defaultRowHeight="12.75" x14ac:dyDescent="0.2"/>
  <cols>
    <col min="1" max="1" width="28.140625" style="160" customWidth="1"/>
    <col min="2" max="2" width="13.28515625" style="160" customWidth="1"/>
    <col min="3" max="3" width="38.5703125" style="160" bestFit="1" customWidth="1"/>
    <col min="4" max="4" width="14.42578125" style="160" customWidth="1"/>
    <col min="5" max="5" width="15.140625" style="160" bestFit="1" customWidth="1"/>
    <col min="6" max="6" width="10.85546875" style="160" bestFit="1" customWidth="1"/>
    <col min="7" max="7" width="9.42578125" style="160" bestFit="1" customWidth="1"/>
    <col min="8" max="16384" width="8.85546875" style="160"/>
  </cols>
  <sheetData>
    <row r="1" spans="1:7" ht="13.5" thickBot="1" x14ac:dyDescent="0.25">
      <c r="A1" s="962" t="s">
        <v>0</v>
      </c>
      <c r="B1" s="963"/>
      <c r="C1" s="963"/>
      <c r="D1" s="963"/>
      <c r="E1" s="963"/>
      <c r="F1" s="963"/>
      <c r="G1" s="964"/>
    </row>
    <row r="2" spans="1:7" ht="13.5" thickBot="1" x14ac:dyDescent="0.25">
      <c r="A2" s="161" t="s">
        <v>1</v>
      </c>
      <c r="B2" s="957" t="s">
        <v>2</v>
      </c>
      <c r="C2" s="958"/>
      <c r="D2" s="959"/>
      <c r="E2" s="161" t="s">
        <v>3</v>
      </c>
      <c r="F2" s="965" t="s">
        <v>1094</v>
      </c>
      <c r="G2" s="966"/>
    </row>
    <row r="3" spans="1:7" ht="15.75" customHeight="1" thickBot="1" x14ac:dyDescent="0.25">
      <c r="A3" s="162" t="s">
        <v>4</v>
      </c>
      <c r="B3" s="969" t="s">
        <v>1093</v>
      </c>
      <c r="C3" s="970"/>
      <c r="D3" s="971"/>
      <c r="E3" s="162" t="s">
        <v>5</v>
      </c>
      <c r="F3" s="967">
        <v>46110</v>
      </c>
      <c r="G3" s="968"/>
    </row>
    <row r="4" spans="1:7" ht="13.5" thickBot="1" x14ac:dyDescent="0.25">
      <c r="A4" s="162" t="s">
        <v>6</v>
      </c>
      <c r="B4" s="957" t="s">
        <v>1098</v>
      </c>
      <c r="C4" s="958"/>
      <c r="D4" s="959"/>
      <c r="E4" s="163" t="s">
        <v>7</v>
      </c>
      <c r="F4" s="960" t="s">
        <v>1284</v>
      </c>
      <c r="G4" s="961"/>
    </row>
    <row r="5" spans="1:7" ht="13.5" thickBot="1" x14ac:dyDescent="0.25">
      <c r="A5" s="189"/>
      <c r="B5" s="189"/>
      <c r="C5" s="164" t="s">
        <v>8</v>
      </c>
      <c r="D5" s="617"/>
      <c r="E5" s="944"/>
      <c r="F5" s="945"/>
      <c r="G5" s="618"/>
    </row>
    <row r="6" spans="1:7" ht="13.5" thickBot="1" x14ac:dyDescent="0.25">
      <c r="A6" s="165" t="s">
        <v>9</v>
      </c>
      <c r="B6" s="594" t="str">
        <f>IF(ISBLANK(F4), "", F4)</f>
        <v>CHST 02-01</v>
      </c>
      <c r="C6" s="165" t="s">
        <v>10</v>
      </c>
      <c r="D6" s="163"/>
      <c r="F6" s="166"/>
      <c r="G6" s="167"/>
    </row>
    <row r="7" spans="1:7" ht="13.5" thickBot="1" x14ac:dyDescent="0.25">
      <c r="A7" s="168"/>
      <c r="B7" s="946"/>
      <c r="C7" s="946"/>
      <c r="F7" s="169" t="s">
        <v>11</v>
      </c>
      <c r="G7" s="170" t="s">
        <v>12</v>
      </c>
    </row>
    <row r="8" spans="1:7" x14ac:dyDescent="0.2">
      <c r="A8" s="171" t="s">
        <v>7</v>
      </c>
      <c r="B8" s="628" t="str">
        <f>IF(ISBLANK(F4), "", F4)</f>
        <v>CHST 02-01</v>
      </c>
      <c r="C8" s="643" t="s">
        <v>1087</v>
      </c>
      <c r="D8" s="598">
        <f>D9+D10</f>
        <v>0</v>
      </c>
      <c r="E8" s="172" t="s">
        <v>1025</v>
      </c>
      <c r="F8" s="601">
        <f>LABOR!F49</f>
        <v>0</v>
      </c>
      <c r="G8" s="602"/>
    </row>
    <row r="9" spans="1:7" x14ac:dyDescent="0.2">
      <c r="A9" s="173"/>
      <c r="B9" s="604"/>
      <c r="C9" s="174" t="s">
        <v>13</v>
      </c>
      <c r="D9" s="599">
        <f>SUM(LABOR!B162:B170,LABOR!B200)</f>
        <v>0</v>
      </c>
      <c r="E9" s="173" t="s">
        <v>14</v>
      </c>
      <c r="F9" s="603">
        <f>LABOR!F50</f>
        <v>0</v>
      </c>
      <c r="G9" s="604"/>
    </row>
    <row r="10" spans="1:7" x14ac:dyDescent="0.2">
      <c r="A10" s="173"/>
      <c r="B10" s="604"/>
      <c r="C10" s="644" t="s">
        <v>15</v>
      </c>
      <c r="D10" s="599">
        <f>SUM(LABOR!B176,LABOR!B201,LABOR!B205,LABOR!B206)</f>
        <v>0</v>
      </c>
      <c r="E10" s="173" t="s">
        <v>16</v>
      </c>
      <c r="F10" s="603">
        <f>LABOR!F51</f>
        <v>0</v>
      </c>
      <c r="G10" s="604"/>
    </row>
    <row r="11" spans="1:7" x14ac:dyDescent="0.2">
      <c r="A11" s="173" t="s">
        <v>17</v>
      </c>
      <c r="B11" s="629"/>
      <c r="C11" s="645" t="s">
        <v>1088</v>
      </c>
      <c r="D11" s="600">
        <f>SUM('LABOR SPAN SHEET'!AD2)</f>
        <v>10899</v>
      </c>
      <c r="E11" s="173" t="s">
        <v>18</v>
      </c>
      <c r="F11" s="603">
        <f>TOTALS!C27</f>
        <v>0</v>
      </c>
      <c r="G11" s="604"/>
    </row>
    <row r="12" spans="1:7" x14ac:dyDescent="0.2">
      <c r="A12" s="175" t="s">
        <v>19</v>
      </c>
      <c r="B12" s="887"/>
      <c r="C12" s="174" t="s">
        <v>20</v>
      </c>
      <c r="D12" s="600">
        <f>'LABOR SPAN SHEET'!AA2</f>
        <v>0</v>
      </c>
      <c r="E12" s="173" t="s">
        <v>21</v>
      </c>
      <c r="F12" s="603">
        <f>LABOR!F52</f>
        <v>0</v>
      </c>
      <c r="G12" s="604"/>
    </row>
    <row r="13" spans="1:7" x14ac:dyDescent="0.2">
      <c r="A13" s="175" t="s">
        <v>22</v>
      </c>
      <c r="B13" s="485"/>
      <c r="C13" s="646" t="s">
        <v>1089</v>
      </c>
      <c r="D13" s="600">
        <f>SUM(MATERIAL!B31:B37,MATERIAL!B107:B113,MATERIAL!B175:B181)</f>
        <v>17319</v>
      </c>
      <c r="E13" s="173" t="s">
        <v>23</v>
      </c>
      <c r="F13" s="603">
        <f>LABOR!F53</f>
        <v>0</v>
      </c>
      <c r="G13" s="604"/>
    </row>
    <row r="14" spans="1:7" ht="13.5" thickBot="1" x14ac:dyDescent="0.25">
      <c r="A14" s="175" t="s">
        <v>24</v>
      </c>
      <c r="B14" s="485"/>
      <c r="C14" s="778" t="s">
        <v>1090</v>
      </c>
      <c r="D14" s="779">
        <f>D8+D11+D12</f>
        <v>10899</v>
      </c>
      <c r="E14" s="173" t="s">
        <v>25</v>
      </c>
      <c r="F14" s="605">
        <v>10000</v>
      </c>
      <c r="G14" s="604"/>
    </row>
    <row r="15" spans="1:7" ht="13.5" thickBot="1" x14ac:dyDescent="0.25">
      <c r="A15" s="175"/>
      <c r="B15" s="485"/>
      <c r="C15" s="947" t="s">
        <v>26</v>
      </c>
      <c r="D15" s="948"/>
      <c r="E15" s="176" t="s">
        <v>27</v>
      </c>
      <c r="F15" s="606">
        <f>TOTALS!C30</f>
        <v>0</v>
      </c>
      <c r="G15" s="607"/>
    </row>
    <row r="16" spans="1:7" ht="13.5" thickBot="1" x14ac:dyDescent="0.25">
      <c r="A16" s="177"/>
      <c r="B16" s="487"/>
      <c r="C16" s="173" t="s">
        <v>28</v>
      </c>
      <c r="D16" s="642"/>
      <c r="E16" s="178" t="s">
        <v>29</v>
      </c>
      <c r="F16" s="608">
        <f>SUM(TOTALS!C9:C12)</f>
        <v>5449.5</v>
      </c>
      <c r="G16" s="609"/>
    </row>
    <row r="17" spans="1:7" ht="13.5" thickBot="1" x14ac:dyDescent="0.25">
      <c r="A17" s="179" t="s">
        <v>1092</v>
      </c>
      <c r="B17" s="180">
        <f>TOTALS!C71-F16</f>
        <v>155279.61199999999</v>
      </c>
      <c r="C17" s="477" t="s">
        <v>30</v>
      </c>
      <c r="D17" s="616"/>
      <c r="E17" s="181" t="s">
        <v>31</v>
      </c>
      <c r="F17" s="610">
        <f>SUM(TOTALS!C14:C15)</f>
        <v>0</v>
      </c>
      <c r="G17" s="611"/>
    </row>
    <row r="18" spans="1:7" ht="13.5" thickBot="1" x14ac:dyDescent="0.25">
      <c r="A18" s="179" t="s">
        <v>32</v>
      </c>
      <c r="B18" s="180">
        <f>B17+F21</f>
        <v>155279.61199999999</v>
      </c>
      <c r="C18" s="478"/>
      <c r="D18" s="595"/>
      <c r="E18" s="181" t="s">
        <v>33</v>
      </c>
      <c r="F18" s="610">
        <f>SUM(TOTALS!C17:C28)</f>
        <v>10000</v>
      </c>
      <c r="G18" s="611"/>
    </row>
    <row r="19" spans="1:7" ht="13.5" thickBot="1" x14ac:dyDescent="0.25">
      <c r="A19" s="750"/>
      <c r="B19" s="751"/>
      <c r="C19" s="477"/>
      <c r="D19" s="896"/>
      <c r="E19" s="181" t="s">
        <v>34</v>
      </c>
      <c r="F19" s="610">
        <f>SUM(TOTALS!C32,TOTALS!C35,TOTALS!C37,TOTALS!C40:C41,TOTALS!C44:C45,TOTALS!C48,TOTALS!C52,TOTALS!C64,TOTALS!C66)</f>
        <v>138776.5</v>
      </c>
      <c r="G19" s="611"/>
    </row>
    <row r="20" spans="1:7" ht="13.5" thickBot="1" x14ac:dyDescent="0.25">
      <c r="A20" s="893" t="s">
        <v>35</v>
      </c>
      <c r="B20" s="894" t="s">
        <v>36</v>
      </c>
      <c r="C20" s="893" t="s">
        <v>37</v>
      </c>
      <c r="D20" s="894" t="s">
        <v>36</v>
      </c>
      <c r="E20" s="895" t="s">
        <v>38</v>
      </c>
      <c r="F20" s="612">
        <f>SUM(TOTALS!C54,TOTALS!C57,TOTALS!C59,TOTALS!C62)</f>
        <v>6503.1120000000001</v>
      </c>
      <c r="G20" s="613"/>
    </row>
    <row r="21" spans="1:7" x14ac:dyDescent="0.2">
      <c r="A21" s="892" t="s">
        <v>39</v>
      </c>
      <c r="B21" s="900">
        <f>COUNTIFS('House Count'!F:F, "RES-HOA",'House Count'!H:H,"Y")+COUNTIFS('House Count'!F:F, "RES-SFU",'House Count'!H:H,"Y")</f>
        <v>17</v>
      </c>
      <c r="C21" s="892" t="s">
        <v>40</v>
      </c>
      <c r="D21" s="900">
        <f>COUNTIFS('House Count'!F:F, "RES-HOA",'House Count'!H:H,"N")+COUNTIFS('House Count'!F:F, "RES-SFU",'House Count'!H:H,"N")</f>
        <v>0</v>
      </c>
      <c r="E21" s="895" t="s">
        <v>41</v>
      </c>
      <c r="F21" s="612">
        <f>TOTALS!C67</f>
        <v>0</v>
      </c>
      <c r="G21" s="613"/>
    </row>
    <row r="22" spans="1:7" x14ac:dyDescent="0.2">
      <c r="A22" s="777" t="s">
        <v>42</v>
      </c>
      <c r="B22" s="604">
        <f>COUNTIFS('House Count'!F:F, "RES-MDU",'House Count'!H:H,"Y")</f>
        <v>0</v>
      </c>
      <c r="C22" s="777" t="s">
        <v>43</v>
      </c>
      <c r="D22" s="604">
        <f>COUNTIFS('House Count'!F:F, "RES-MDU",'House Count'!H:H,"N")</f>
        <v>0</v>
      </c>
      <c r="E22" s="895" t="s">
        <v>44</v>
      </c>
      <c r="F22" s="612">
        <f>MATERIAL!H340</f>
        <v>0</v>
      </c>
      <c r="G22" s="613"/>
    </row>
    <row r="23" spans="1:7" x14ac:dyDescent="0.2">
      <c r="A23" s="777" t="s">
        <v>45</v>
      </c>
      <c r="B23" s="604">
        <f>COUNTIFS('House Count'!F:F, "COMM-SU",'House Count'!H:H,"Y")+COUNTIFS('House Count'!F:F, "COM-MTU",'House Count'!H:H,"Y")</f>
        <v>30</v>
      </c>
      <c r="C23" s="777" t="s">
        <v>46</v>
      </c>
      <c r="D23" s="604">
        <f>COUNTIFS('House Count'!F:F, "COMM-SU",'House Count'!H:H,"N")+COUNTIFS('House Count'!F:F, "COM-MTU",'House Count'!H:H,"N")</f>
        <v>0</v>
      </c>
      <c r="E23" s="895"/>
      <c r="F23" s="612"/>
      <c r="G23" s="613"/>
    </row>
    <row r="24" spans="1:7" ht="13.5" thickBot="1" x14ac:dyDescent="0.25">
      <c r="A24" s="842" t="s">
        <v>47</v>
      </c>
      <c r="B24" s="901">
        <f>COUNTIFS('House Count'!F:F, "VL",'House Count'!H:H,"Y")</f>
        <v>0</v>
      </c>
      <c r="C24" s="842" t="s">
        <v>48</v>
      </c>
      <c r="D24" s="901">
        <f>COUNTIFS('House Count'!F:F, "VL",'House Count'!H:H,"N")</f>
        <v>23</v>
      </c>
      <c r="E24" s="895"/>
      <c r="F24" s="612"/>
      <c r="G24" s="613"/>
    </row>
    <row r="25" spans="1:7" ht="13.5" thickBot="1" x14ac:dyDescent="0.25">
      <c r="A25" s="893" t="s">
        <v>49</v>
      </c>
      <c r="B25" s="894">
        <f>SUM(B21:B24)</f>
        <v>47</v>
      </c>
      <c r="C25" s="893" t="s">
        <v>50</v>
      </c>
      <c r="D25" s="894">
        <f>SUM(D21:D24)</f>
        <v>23</v>
      </c>
      <c r="E25" s="895"/>
      <c r="F25" s="612"/>
      <c r="G25" s="613"/>
    </row>
    <row r="26" spans="1:7" ht="13.5" thickBot="1" x14ac:dyDescent="0.25">
      <c r="A26" s="897"/>
      <c r="B26" s="898"/>
      <c r="C26" s="891"/>
      <c r="D26" s="899"/>
      <c r="E26" s="596"/>
      <c r="F26" s="614"/>
      <c r="G26" s="615"/>
    </row>
    <row r="27" spans="1:7" ht="13.5" thickBot="1" x14ac:dyDescent="0.25">
      <c r="A27" s="955" t="s">
        <v>51</v>
      </c>
      <c r="B27" s="956"/>
      <c r="C27" s="956"/>
      <c r="D27" s="956"/>
      <c r="E27" s="168"/>
      <c r="F27" s="166"/>
      <c r="G27" s="167"/>
    </row>
    <row r="28" spans="1:7" ht="13.5" thickBot="1" x14ac:dyDescent="0.25">
      <c r="A28" s="597" t="s">
        <v>52</v>
      </c>
      <c r="B28" s="949" t="s">
        <v>53</v>
      </c>
      <c r="C28" s="950"/>
      <c r="D28" s="951"/>
      <c r="E28" s="597" t="s">
        <v>54</v>
      </c>
      <c r="F28" s="597" t="s">
        <v>55</v>
      </c>
      <c r="G28" s="597" t="s">
        <v>56</v>
      </c>
    </row>
    <row r="29" spans="1:7" x14ac:dyDescent="0.2">
      <c r="A29" s="619"/>
      <c r="B29" s="952"/>
      <c r="C29" s="953"/>
      <c r="D29" s="953"/>
      <c r="E29" s="620"/>
      <c r="F29" s="620"/>
      <c r="G29" s="621"/>
    </row>
    <row r="30" spans="1:7" x14ac:dyDescent="0.2">
      <c r="A30" s="622"/>
      <c r="B30" s="954"/>
      <c r="C30" s="937"/>
      <c r="D30" s="937"/>
      <c r="E30" s="623"/>
      <c r="F30" s="623"/>
      <c r="G30" s="624"/>
    </row>
    <row r="31" spans="1:7" x14ac:dyDescent="0.2">
      <c r="A31" s="622"/>
      <c r="B31" s="937"/>
      <c r="C31" s="937"/>
      <c r="D31" s="937"/>
      <c r="E31" s="623"/>
      <c r="F31" s="623"/>
      <c r="G31" s="624"/>
    </row>
    <row r="32" spans="1:7" x14ac:dyDescent="0.2">
      <c r="A32" s="622"/>
      <c r="B32" s="937"/>
      <c r="C32" s="937"/>
      <c r="D32" s="937"/>
      <c r="E32" s="623"/>
      <c r="F32" s="623"/>
      <c r="G32" s="624"/>
    </row>
    <row r="33" spans="1:7" x14ac:dyDescent="0.2">
      <c r="A33" s="622"/>
      <c r="B33" s="943"/>
      <c r="C33" s="943"/>
      <c r="D33" s="943"/>
      <c r="E33" s="623"/>
      <c r="F33" s="623"/>
      <c r="G33" s="624"/>
    </row>
    <row r="34" spans="1:7" x14ac:dyDescent="0.2">
      <c r="A34" s="622"/>
      <c r="B34" s="937"/>
      <c r="C34" s="937"/>
      <c r="D34" s="937"/>
      <c r="E34" s="623"/>
      <c r="F34" s="623"/>
      <c r="G34" s="624"/>
    </row>
    <row r="35" spans="1:7" x14ac:dyDescent="0.2">
      <c r="A35" s="622"/>
      <c r="B35" s="937"/>
      <c r="C35" s="937"/>
      <c r="D35" s="937"/>
      <c r="E35" s="623"/>
      <c r="F35" s="623"/>
      <c r="G35" s="624"/>
    </row>
    <row r="36" spans="1:7" x14ac:dyDescent="0.2">
      <c r="A36" s="622"/>
      <c r="B36" s="937"/>
      <c r="C36" s="937"/>
      <c r="D36" s="937"/>
      <c r="E36" s="623"/>
      <c r="F36" s="623"/>
      <c r="G36" s="624"/>
    </row>
    <row r="37" spans="1:7" ht="13.5" thickBot="1" x14ac:dyDescent="0.25">
      <c r="A37" s="625"/>
      <c r="B37" s="938"/>
      <c r="C37" s="938"/>
      <c r="D37" s="938"/>
      <c r="E37" s="626"/>
      <c r="F37" s="626"/>
      <c r="G37" s="627"/>
    </row>
    <row r="38" spans="1:7" ht="13.5" thickBot="1" x14ac:dyDescent="0.25">
      <c r="A38" s="939" t="s">
        <v>57</v>
      </c>
      <c r="B38" s="940"/>
      <c r="C38" s="940"/>
      <c r="D38" s="940"/>
      <c r="E38" s="940"/>
      <c r="F38" s="940"/>
      <c r="G38" s="941"/>
    </row>
    <row r="39" spans="1:7" x14ac:dyDescent="0.2">
      <c r="A39" s="924"/>
      <c r="B39" s="925"/>
      <c r="C39" s="925"/>
      <c r="D39" s="925"/>
      <c r="E39" s="925"/>
      <c r="F39" s="925"/>
      <c r="G39" s="926"/>
    </row>
    <row r="40" spans="1:7" x14ac:dyDescent="0.2">
      <c r="A40" s="927"/>
      <c r="B40" s="928"/>
      <c r="C40" s="928"/>
      <c r="D40" s="928"/>
      <c r="E40" s="928"/>
      <c r="F40" s="928"/>
      <c r="G40" s="929"/>
    </row>
    <row r="41" spans="1:7" x14ac:dyDescent="0.2">
      <c r="A41" s="927"/>
      <c r="B41" s="928"/>
      <c r="C41" s="928"/>
      <c r="D41" s="928"/>
      <c r="E41" s="928"/>
      <c r="F41" s="928"/>
      <c r="G41" s="929"/>
    </row>
    <row r="42" spans="1:7" x14ac:dyDescent="0.2">
      <c r="A42" s="927"/>
      <c r="B42" s="928"/>
      <c r="C42" s="928"/>
      <c r="D42" s="928"/>
      <c r="E42" s="928"/>
      <c r="F42" s="928"/>
      <c r="G42" s="929"/>
    </row>
    <row r="43" spans="1:7" x14ac:dyDescent="0.2">
      <c r="A43" s="927"/>
      <c r="B43" s="928"/>
      <c r="C43" s="928"/>
      <c r="D43" s="928"/>
      <c r="E43" s="928"/>
      <c r="F43" s="928"/>
      <c r="G43" s="929"/>
    </row>
    <row r="44" spans="1:7" ht="13.5" thickBot="1" x14ac:dyDescent="0.25">
      <c r="A44" s="930"/>
      <c r="B44" s="931"/>
      <c r="C44" s="931"/>
      <c r="D44" s="931"/>
      <c r="E44" s="931"/>
      <c r="F44" s="931"/>
      <c r="G44" s="932"/>
    </row>
    <row r="45" spans="1:7" ht="15" customHeight="1" thickBot="1" x14ac:dyDescent="0.25">
      <c r="A45" s="933" t="s">
        <v>58</v>
      </c>
      <c r="B45" s="942"/>
      <c r="C45" s="942"/>
      <c r="D45" s="942"/>
      <c r="E45" s="942"/>
      <c r="F45" s="942"/>
      <c r="G45" s="934"/>
    </row>
    <row r="46" spans="1:7" ht="13.5" thickBot="1" x14ac:dyDescent="0.25">
      <c r="A46" s="182" t="s">
        <v>59</v>
      </c>
      <c r="B46" s="630"/>
      <c r="C46" s="182" t="s">
        <v>60</v>
      </c>
      <c r="D46" s="182"/>
      <c r="E46" s="935" t="s">
        <v>61</v>
      </c>
      <c r="F46" s="936"/>
      <c r="G46" s="630"/>
    </row>
    <row r="47" spans="1:7" ht="15" customHeight="1" thickBot="1" x14ac:dyDescent="0.25">
      <c r="A47" s="933" t="s">
        <v>62</v>
      </c>
      <c r="B47" s="934"/>
      <c r="C47" s="631"/>
      <c r="D47" s="933" t="s">
        <v>63</v>
      </c>
      <c r="E47" s="934"/>
      <c r="F47" s="632"/>
      <c r="G47" s="633"/>
    </row>
    <row r="48" spans="1:7" ht="13.5" thickBot="1" x14ac:dyDescent="0.25">
      <c r="A48" s="183" t="s">
        <v>1091</v>
      </c>
      <c r="B48" s="590"/>
      <c r="C48" s="590"/>
      <c r="D48" s="590"/>
      <c r="E48" s="590"/>
      <c r="F48" s="590"/>
      <c r="G48" s="591"/>
    </row>
  </sheetData>
  <sheetProtection algorithmName="SHA-512" hashValue="LoX845qOF4kizBtSczXa1q7bNSzzyhRJwIR0+IKCDqYMpAIfOhkvvQHO4PvCz5z8Av/K4eHmeXgQ8crcr6X8Vg==" saltValue="xsuxsOgNrfkfcJY+I7jKNQ==" spinCount="100000" sheet="1" selectLockedCells="1"/>
  <mergeCells count="27">
    <mergeCell ref="B4:D4"/>
    <mergeCell ref="F4:G4"/>
    <mergeCell ref="A1:G1"/>
    <mergeCell ref="F2:G2"/>
    <mergeCell ref="F3:G3"/>
    <mergeCell ref="B2:D2"/>
    <mergeCell ref="B3:D3"/>
    <mergeCell ref="B32:D32"/>
    <mergeCell ref="B33:D33"/>
    <mergeCell ref="E5:F5"/>
    <mergeCell ref="B7:C7"/>
    <mergeCell ref="C15:D15"/>
    <mergeCell ref="B28:D28"/>
    <mergeCell ref="B29:D29"/>
    <mergeCell ref="B30:D30"/>
    <mergeCell ref="B31:D31"/>
    <mergeCell ref="A27:D27"/>
    <mergeCell ref="A39:G44"/>
    <mergeCell ref="A47:B47"/>
    <mergeCell ref="E46:F46"/>
    <mergeCell ref="B34:D34"/>
    <mergeCell ref="B35:D35"/>
    <mergeCell ref="B36:D36"/>
    <mergeCell ref="B37:D37"/>
    <mergeCell ref="A38:G38"/>
    <mergeCell ref="A45:G45"/>
    <mergeCell ref="D47:E47"/>
  </mergeCells>
  <dataValidations count="1">
    <dataValidation type="list" allowBlank="1" showInputMessage="1" showErrorMessage="1" sqref="B19" xr:uid="{00000000-0002-0000-0000-000000000000}">
      <formula1>"144,288,432"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
  <sheetViews>
    <sheetView zoomScaleNormal="100" workbookViewId="0"/>
  </sheetViews>
  <sheetFormatPr defaultRowHeight="15" x14ac:dyDescent="0.25"/>
  <sheetData>
    <row r="1" spans="1:1" x14ac:dyDescent="0.25">
      <c r="A1" t="s">
        <v>64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384"/>
  <sheetViews>
    <sheetView zoomScaleNormal="100" workbookViewId="0">
      <pane ySplit="4" topLeftCell="A5" activePane="bottomLeft" state="frozen"/>
      <selection pane="bottomLeft" activeCell="E304" sqref="E304"/>
    </sheetView>
  </sheetViews>
  <sheetFormatPr defaultColWidth="8.85546875" defaultRowHeight="12.75" outlineLevelRow="1" x14ac:dyDescent="0.2"/>
  <cols>
    <col min="1" max="1" width="15.85546875" style="184" customWidth="1"/>
    <col min="2" max="2" width="12.42578125" style="473" bestFit="1" customWidth="1"/>
    <col min="3" max="3" width="9.42578125" style="306" customWidth="1"/>
    <col min="4" max="4" width="10" style="306" customWidth="1"/>
    <col min="5" max="5" width="26.140625" style="474" bestFit="1" customWidth="1"/>
    <col min="6" max="6" width="101.85546875" style="184" customWidth="1"/>
    <col min="7" max="7" width="13.42578125" style="475" bestFit="1" customWidth="1"/>
    <col min="8" max="8" width="11" style="184" bestFit="1" customWidth="1"/>
    <col min="9" max="9" width="8.85546875" style="184"/>
    <col min="10" max="10" width="21.5703125" style="498" bestFit="1" customWidth="1"/>
    <col min="11" max="11" width="8.85546875" style="555"/>
    <col min="12" max="16384" width="8.85546875" style="184"/>
  </cols>
  <sheetData>
    <row r="1" spans="1:10" x14ac:dyDescent="0.2">
      <c r="A1" s="973" t="s">
        <v>1</v>
      </c>
      <c r="B1" s="973"/>
      <c r="C1" s="974" t="str">
        <f>'COVER SHEET'!B2</f>
        <v>LUMOS</v>
      </c>
      <c r="D1" s="974"/>
      <c r="E1" s="974"/>
      <c r="F1" s="974"/>
      <c r="G1" s="288" t="s">
        <v>65</v>
      </c>
      <c r="H1" s="289">
        <v>0.05</v>
      </c>
    </row>
    <row r="2" spans="1:10" x14ac:dyDescent="0.2">
      <c r="A2" s="973" t="s">
        <v>3</v>
      </c>
      <c r="B2" s="973"/>
      <c r="C2" s="974" t="str">
        <f>'COVER SHEET'!F2</f>
        <v>CHAD ROBERTSON</v>
      </c>
      <c r="D2" s="974"/>
      <c r="E2" s="974"/>
      <c r="F2" s="974"/>
      <c r="G2" s="288" t="s">
        <v>66</v>
      </c>
      <c r="H2" s="289">
        <v>0.1</v>
      </c>
    </row>
    <row r="3" spans="1:10" x14ac:dyDescent="0.2">
      <c r="A3" s="973" t="s">
        <v>7</v>
      </c>
      <c r="B3" s="973"/>
      <c r="C3" s="974" t="str">
        <f>IF(ISBLANK('COVER SHEET'!F4),"",'COVER SHEET'!F4)</f>
        <v>CHST 02-01</v>
      </c>
      <c r="D3" s="974"/>
      <c r="E3" s="974"/>
      <c r="F3" s="974"/>
      <c r="G3" s="972"/>
      <c r="H3" s="972"/>
    </row>
    <row r="4" spans="1:10" ht="26.25" thickBot="1" x14ac:dyDescent="0.25">
      <c r="A4" s="290" t="s">
        <v>67</v>
      </c>
      <c r="B4" s="647" t="s">
        <v>68</v>
      </c>
      <c r="C4" s="292" t="s">
        <v>69</v>
      </c>
      <c r="D4" s="292" t="s">
        <v>70</v>
      </c>
      <c r="E4" s="480" t="s">
        <v>71</v>
      </c>
      <c r="F4" s="291" t="s">
        <v>53</v>
      </c>
      <c r="G4" s="293" t="s">
        <v>72</v>
      </c>
      <c r="H4" s="294" t="s">
        <v>73</v>
      </c>
    </row>
    <row r="5" spans="1:10" ht="13.5" thickBot="1" x14ac:dyDescent="0.25">
      <c r="A5" s="295"/>
      <c r="B5" s="482"/>
      <c r="C5" s="296"/>
      <c r="D5" s="296"/>
      <c r="E5" s="297"/>
      <c r="F5" s="298" t="s">
        <v>74</v>
      </c>
      <c r="G5" s="299"/>
      <c r="H5" s="300"/>
    </row>
    <row r="6" spans="1:10" hidden="1" outlineLevel="1" x14ac:dyDescent="0.2">
      <c r="A6" s="301" t="s">
        <v>75</v>
      </c>
      <c r="B6" s="302"/>
      <c r="C6" s="303"/>
      <c r="D6" s="303"/>
      <c r="E6" s="648" t="s">
        <v>76</v>
      </c>
      <c r="F6" s="304" t="s">
        <v>77</v>
      </c>
      <c r="G6" s="649">
        <v>265.72000000000003</v>
      </c>
      <c r="H6" s="305">
        <f t="shared" ref="H6:H25" si="0">B6*G6</f>
        <v>0</v>
      </c>
      <c r="I6" s="306"/>
    </row>
    <row r="7" spans="1:10" hidden="1" outlineLevel="1" x14ac:dyDescent="0.2">
      <c r="A7" s="307" t="s">
        <v>75</v>
      </c>
      <c r="B7" s="308"/>
      <c r="C7" s="309"/>
      <c r="D7" s="309"/>
      <c r="E7" s="650" t="s">
        <v>78</v>
      </c>
      <c r="F7" s="310" t="s">
        <v>79</v>
      </c>
      <c r="G7" s="651">
        <v>221.98</v>
      </c>
      <c r="H7" s="312">
        <f>G7*B7</f>
        <v>0</v>
      </c>
    </row>
    <row r="8" spans="1:10" hidden="1" outlineLevel="1" x14ac:dyDescent="0.2">
      <c r="A8" s="307" t="s">
        <v>75</v>
      </c>
      <c r="B8" s="308"/>
      <c r="C8" s="309"/>
      <c r="D8" s="309"/>
      <c r="E8" s="650" t="s">
        <v>80</v>
      </c>
      <c r="F8" s="310" t="s">
        <v>81</v>
      </c>
      <c r="G8" s="651">
        <v>195.39</v>
      </c>
      <c r="H8" s="312">
        <f t="shared" si="0"/>
        <v>0</v>
      </c>
      <c r="J8" s="499"/>
    </row>
    <row r="9" spans="1:10" hidden="1" outlineLevel="1" x14ac:dyDescent="0.2">
      <c r="A9" s="307" t="s">
        <v>75</v>
      </c>
      <c r="B9" s="308"/>
      <c r="C9" s="309"/>
      <c r="D9" s="309"/>
      <c r="E9" s="650" t="s">
        <v>82</v>
      </c>
      <c r="F9" s="310" t="s">
        <v>83</v>
      </c>
      <c r="G9" s="651">
        <v>280.86</v>
      </c>
      <c r="H9" s="312">
        <f t="shared" si="0"/>
        <v>0</v>
      </c>
    </row>
    <row r="10" spans="1:10" hidden="1" outlineLevel="1" x14ac:dyDescent="0.2">
      <c r="A10" s="307" t="s">
        <v>75</v>
      </c>
      <c r="B10" s="308"/>
      <c r="C10" s="309"/>
      <c r="D10" s="309"/>
      <c r="E10" s="650" t="s">
        <v>84</v>
      </c>
      <c r="F10" s="310" t="s">
        <v>85</v>
      </c>
      <c r="G10" s="651">
        <v>235.85</v>
      </c>
      <c r="H10" s="312">
        <f t="shared" si="0"/>
        <v>0</v>
      </c>
    </row>
    <row r="11" spans="1:10" hidden="1" outlineLevel="1" x14ac:dyDescent="0.2">
      <c r="A11" s="307" t="s">
        <v>75</v>
      </c>
      <c r="B11" s="308"/>
      <c r="C11" s="309"/>
      <c r="D11" s="309"/>
      <c r="E11" s="650" t="s">
        <v>86</v>
      </c>
      <c r="F11" s="310" t="s">
        <v>87</v>
      </c>
      <c r="G11" s="651">
        <v>395</v>
      </c>
      <c r="H11" s="312">
        <f t="shared" si="0"/>
        <v>0</v>
      </c>
    </row>
    <row r="12" spans="1:10" hidden="1" outlineLevel="1" x14ac:dyDescent="0.2">
      <c r="A12" s="307" t="s">
        <v>75</v>
      </c>
      <c r="B12" s="308"/>
      <c r="C12" s="309"/>
      <c r="D12" s="309"/>
      <c r="E12" s="650" t="s">
        <v>88</v>
      </c>
      <c r="F12" s="310" t="s">
        <v>89</v>
      </c>
      <c r="G12" s="651">
        <v>381.29</v>
      </c>
      <c r="H12" s="312">
        <f t="shared" si="0"/>
        <v>0</v>
      </c>
    </row>
    <row r="13" spans="1:10" hidden="1" outlineLevel="1" x14ac:dyDescent="0.2">
      <c r="A13" s="307" t="s">
        <v>75</v>
      </c>
      <c r="B13" s="308"/>
      <c r="C13" s="309"/>
      <c r="D13" s="309"/>
      <c r="E13" s="650" t="s">
        <v>90</v>
      </c>
      <c r="F13" s="310" t="s">
        <v>91</v>
      </c>
      <c r="G13" s="651">
        <v>325.97000000000003</v>
      </c>
      <c r="H13" s="312">
        <f t="shared" si="0"/>
        <v>0</v>
      </c>
    </row>
    <row r="14" spans="1:10" hidden="1" outlineLevel="1" x14ac:dyDescent="0.2">
      <c r="A14" s="307" t="s">
        <v>75</v>
      </c>
      <c r="B14" s="308"/>
      <c r="C14" s="309"/>
      <c r="D14" s="309"/>
      <c r="E14" s="650" t="s">
        <v>92</v>
      </c>
      <c r="F14" s="310" t="s">
        <v>93</v>
      </c>
      <c r="G14" s="651">
        <v>274.22000000000003</v>
      </c>
      <c r="H14" s="312">
        <f t="shared" si="0"/>
        <v>0</v>
      </c>
    </row>
    <row r="15" spans="1:10" hidden="1" outlineLevel="1" x14ac:dyDescent="0.2">
      <c r="A15" s="307" t="s">
        <v>75</v>
      </c>
      <c r="B15" s="308"/>
      <c r="C15" s="309"/>
      <c r="D15" s="309"/>
      <c r="E15" s="652" t="s">
        <v>94</v>
      </c>
      <c r="F15" s="310" t="s">
        <v>95</v>
      </c>
      <c r="G15" s="311"/>
      <c r="H15" s="312">
        <f t="shared" si="0"/>
        <v>0</v>
      </c>
    </row>
    <row r="16" spans="1:10" hidden="1" outlineLevel="1" x14ac:dyDescent="0.2">
      <c r="A16" s="307" t="s">
        <v>75</v>
      </c>
      <c r="B16" s="308"/>
      <c r="C16" s="309"/>
      <c r="D16" s="309"/>
      <c r="E16" s="652" t="s">
        <v>96</v>
      </c>
      <c r="F16" s="310" t="s">
        <v>97</v>
      </c>
      <c r="G16" s="311"/>
      <c r="H16" s="312">
        <f t="shared" si="0"/>
        <v>0</v>
      </c>
    </row>
    <row r="17" spans="1:11" hidden="1" outlineLevel="1" x14ac:dyDescent="0.2">
      <c r="A17" s="307" t="s">
        <v>75</v>
      </c>
      <c r="B17" s="308"/>
      <c r="C17" s="309"/>
      <c r="D17" s="309"/>
      <c r="E17" s="650" t="s">
        <v>98</v>
      </c>
      <c r="F17" s="310" t="s">
        <v>99</v>
      </c>
      <c r="G17" s="651">
        <v>480.52</v>
      </c>
      <c r="H17" s="312">
        <f t="shared" si="0"/>
        <v>0</v>
      </c>
    </row>
    <row r="18" spans="1:11" hidden="1" outlineLevel="1" x14ac:dyDescent="0.2">
      <c r="A18" s="307" t="s">
        <v>75</v>
      </c>
      <c r="B18" s="308"/>
      <c r="C18" s="309"/>
      <c r="D18" s="309"/>
      <c r="E18" s="650" t="s">
        <v>100</v>
      </c>
      <c r="F18" s="310" t="s">
        <v>101</v>
      </c>
      <c r="G18" s="651">
        <v>325.97000000000003</v>
      </c>
      <c r="H18" s="312">
        <f t="shared" si="0"/>
        <v>0</v>
      </c>
    </row>
    <row r="19" spans="1:11" hidden="1" outlineLevel="1" x14ac:dyDescent="0.2">
      <c r="A19" s="307" t="s">
        <v>75</v>
      </c>
      <c r="B19" s="308"/>
      <c r="C19" s="309"/>
      <c r="D19" s="309"/>
      <c r="E19" s="650" t="s">
        <v>102</v>
      </c>
      <c r="F19" s="310" t="s">
        <v>103</v>
      </c>
      <c r="G19" s="651">
        <v>624.08000000000004</v>
      </c>
      <c r="H19" s="312">
        <f t="shared" si="0"/>
        <v>0</v>
      </c>
    </row>
    <row r="20" spans="1:11" hidden="1" outlineLevel="1" x14ac:dyDescent="0.2">
      <c r="A20" s="307" t="s">
        <v>75</v>
      </c>
      <c r="B20" s="308"/>
      <c r="C20" s="309"/>
      <c r="D20" s="309"/>
      <c r="E20" s="652" t="s">
        <v>104</v>
      </c>
      <c r="F20" s="310" t="s">
        <v>105</v>
      </c>
      <c r="G20" s="311"/>
      <c r="H20" s="312">
        <f t="shared" si="0"/>
        <v>0</v>
      </c>
    </row>
    <row r="21" spans="1:11" hidden="1" outlineLevel="1" x14ac:dyDescent="0.2">
      <c r="A21" s="313" t="s">
        <v>75</v>
      </c>
      <c r="B21" s="314"/>
      <c r="C21" s="315"/>
      <c r="D21" s="315"/>
      <c r="E21" s="479" t="s">
        <v>106</v>
      </c>
      <c r="F21" s="317" t="s">
        <v>107</v>
      </c>
      <c r="G21" s="653">
        <v>733.14</v>
      </c>
      <c r="H21" s="312">
        <f t="shared" si="0"/>
        <v>0</v>
      </c>
    </row>
    <row r="22" spans="1:11" hidden="1" outlineLevel="1" x14ac:dyDescent="0.2">
      <c r="A22" s="313" t="s">
        <v>108</v>
      </c>
      <c r="B22" s="314"/>
      <c r="C22" s="315"/>
      <c r="D22" s="315"/>
      <c r="E22" s="316"/>
      <c r="F22" s="317"/>
      <c r="G22" s="318"/>
      <c r="H22" s="312">
        <f t="shared" si="0"/>
        <v>0</v>
      </c>
    </row>
    <row r="23" spans="1:11" hidden="1" outlineLevel="1" x14ac:dyDescent="0.2">
      <c r="A23" s="313" t="s">
        <v>108</v>
      </c>
      <c r="B23" s="314"/>
      <c r="C23" s="315"/>
      <c r="D23" s="315"/>
      <c r="E23" s="316"/>
      <c r="F23" s="317"/>
      <c r="G23" s="318"/>
      <c r="H23" s="312">
        <f t="shared" si="0"/>
        <v>0</v>
      </c>
    </row>
    <row r="24" spans="1:11" hidden="1" outlineLevel="1" x14ac:dyDescent="0.2">
      <c r="A24" s="313" t="s">
        <v>108</v>
      </c>
      <c r="B24" s="314"/>
      <c r="C24" s="315"/>
      <c r="D24" s="315"/>
      <c r="E24" s="316"/>
      <c r="F24" s="317"/>
      <c r="G24" s="318"/>
      <c r="H24" s="312">
        <f t="shared" si="0"/>
        <v>0</v>
      </c>
    </row>
    <row r="25" spans="1:11" ht="13.5" hidden="1" outlineLevel="1" thickBot="1" x14ac:dyDescent="0.25">
      <c r="A25" s="313" t="s">
        <v>108</v>
      </c>
      <c r="B25" s="314"/>
      <c r="C25" s="315"/>
      <c r="D25" s="315"/>
      <c r="E25" s="316"/>
      <c r="F25" s="317"/>
      <c r="G25" s="318"/>
      <c r="H25" s="312">
        <f t="shared" si="0"/>
        <v>0</v>
      </c>
    </row>
    <row r="26" spans="1:11" ht="13.5" hidden="1" outlineLevel="1" thickBot="1" x14ac:dyDescent="0.25">
      <c r="A26" s="319"/>
      <c r="B26" s="320"/>
      <c r="C26" s="321"/>
      <c r="D26" s="321"/>
      <c r="E26" s="322"/>
      <c r="F26" s="323" t="s">
        <v>109</v>
      </c>
      <c r="G26" s="324"/>
      <c r="H26" s="325">
        <f>SUM(H6:H25)</f>
        <v>0</v>
      </c>
    </row>
    <row r="27" spans="1:11" ht="13.5" hidden="1" outlineLevel="1" thickBot="1" x14ac:dyDescent="0.25">
      <c r="A27" s="319"/>
      <c r="B27" s="320"/>
      <c r="C27" s="321"/>
      <c r="D27" s="321"/>
      <c r="E27" s="322"/>
      <c r="F27" s="323" t="s">
        <v>110</v>
      </c>
      <c r="G27" s="324"/>
      <c r="H27" s="325">
        <f>H26*(H1+H2)</f>
        <v>0</v>
      </c>
    </row>
    <row r="28" spans="1:11" ht="13.5" hidden="1" outlineLevel="1" thickBot="1" x14ac:dyDescent="0.25">
      <c r="A28" s="319"/>
      <c r="B28" s="320"/>
      <c r="C28" s="321"/>
      <c r="D28" s="321"/>
      <c r="E28" s="322"/>
      <c r="F28" s="326" t="s">
        <v>111</v>
      </c>
      <c r="G28" s="327"/>
      <c r="H28" s="328">
        <f>H27+H26</f>
        <v>0</v>
      </c>
    </row>
    <row r="29" spans="1:11" ht="13.5" collapsed="1" thickBot="1" x14ac:dyDescent="0.25">
      <c r="A29" s="329" t="s">
        <v>112</v>
      </c>
      <c r="B29" s="330"/>
      <c r="C29" s="331"/>
      <c r="D29" s="331"/>
      <c r="E29" s="332"/>
      <c r="F29" s="333"/>
      <c r="G29" s="334"/>
      <c r="H29" s="335"/>
    </row>
    <row r="30" spans="1:11" ht="13.5" thickBot="1" x14ac:dyDescent="0.25">
      <c r="A30" s="336"/>
      <c r="B30" s="483" t="s">
        <v>393</v>
      </c>
      <c r="C30" s="337"/>
      <c r="D30" s="337"/>
      <c r="E30" s="338"/>
      <c r="F30" s="339" t="s">
        <v>113</v>
      </c>
      <c r="G30" s="340"/>
      <c r="H30" s="341"/>
    </row>
    <row r="31" spans="1:11" hidden="1" outlineLevel="1" x14ac:dyDescent="0.2">
      <c r="A31" s="342" t="s">
        <v>114</v>
      </c>
      <c r="B31" s="343"/>
      <c r="C31" s="344"/>
      <c r="D31" s="344"/>
      <c r="E31" s="345" t="s">
        <v>115</v>
      </c>
      <c r="F31" s="346" t="s">
        <v>116</v>
      </c>
      <c r="G31" s="494"/>
      <c r="H31" s="488">
        <f>B31*G31</f>
        <v>0</v>
      </c>
    </row>
    <row r="32" spans="1:11" hidden="1" outlineLevel="1" x14ac:dyDescent="0.2">
      <c r="A32" s="342" t="s">
        <v>114</v>
      </c>
      <c r="B32" s="502">
        <f>'CABLE SHEET'!I3</f>
        <v>0</v>
      </c>
      <c r="C32" s="344"/>
      <c r="D32" s="344"/>
      <c r="E32" s="353" t="s">
        <v>117</v>
      </c>
      <c r="F32" s="346" t="s">
        <v>118</v>
      </c>
      <c r="G32" s="641">
        <v>0.31</v>
      </c>
      <c r="H32" s="488">
        <f t="shared" ref="H32:H37" si="1">B32*G32</f>
        <v>0</v>
      </c>
      <c r="K32" s="556"/>
    </row>
    <row r="33" spans="1:11" hidden="1" outlineLevel="1" x14ac:dyDescent="0.2">
      <c r="A33" s="342" t="s">
        <v>114</v>
      </c>
      <c r="B33" s="502">
        <f>'CABLE SHEET'!I4</f>
        <v>0</v>
      </c>
      <c r="C33" s="344"/>
      <c r="D33" s="344"/>
      <c r="E33" s="353" t="s">
        <v>120</v>
      </c>
      <c r="F33" s="346" t="s">
        <v>121</v>
      </c>
      <c r="G33" s="641">
        <v>0.62</v>
      </c>
      <c r="H33" s="488">
        <f t="shared" si="1"/>
        <v>0</v>
      </c>
      <c r="K33" s="556"/>
    </row>
    <row r="34" spans="1:11" hidden="1" outlineLevel="1" x14ac:dyDescent="0.2">
      <c r="A34" s="342" t="s">
        <v>114</v>
      </c>
      <c r="B34" s="502">
        <f>'CABLE SHEET'!I5</f>
        <v>0</v>
      </c>
      <c r="C34" s="344"/>
      <c r="D34" s="344"/>
      <c r="E34" s="353" t="s">
        <v>122</v>
      </c>
      <c r="F34" s="636" t="s">
        <v>123</v>
      </c>
      <c r="G34" s="641">
        <v>0.98</v>
      </c>
      <c r="H34" s="488">
        <f t="shared" si="1"/>
        <v>0</v>
      </c>
      <c r="K34" s="556"/>
    </row>
    <row r="35" spans="1:11" hidden="1" outlineLevel="1" x14ac:dyDescent="0.2">
      <c r="A35" s="342" t="s">
        <v>114</v>
      </c>
      <c r="B35" s="343"/>
      <c r="C35" s="344"/>
      <c r="D35" s="344"/>
      <c r="E35" s="345" t="s">
        <v>124</v>
      </c>
      <c r="F35" s="346" t="s">
        <v>125</v>
      </c>
      <c r="G35" s="494"/>
      <c r="H35" s="488">
        <f t="shared" si="1"/>
        <v>0</v>
      </c>
      <c r="K35" s="556"/>
    </row>
    <row r="36" spans="1:11" hidden="1" outlineLevel="1" x14ac:dyDescent="0.2">
      <c r="A36" s="342" t="s">
        <v>114</v>
      </c>
      <c r="B36" s="502">
        <f>'CABLE SHEET'!I6</f>
        <v>0</v>
      </c>
      <c r="C36" s="344"/>
      <c r="D36" s="344"/>
      <c r="E36" s="353" t="s">
        <v>126</v>
      </c>
      <c r="F36" s="346" t="s">
        <v>127</v>
      </c>
      <c r="G36" s="641">
        <v>1.55</v>
      </c>
      <c r="H36" s="488">
        <f t="shared" si="1"/>
        <v>0</v>
      </c>
      <c r="K36" s="556"/>
    </row>
    <row r="37" spans="1:11" ht="13.5" hidden="1" outlineLevel="1" thickBot="1" x14ac:dyDescent="0.25">
      <c r="A37" s="342" t="s">
        <v>114</v>
      </c>
      <c r="B37" s="502">
        <f>'CABLE SHEET'!I7</f>
        <v>0</v>
      </c>
      <c r="C37" s="344"/>
      <c r="D37" s="344"/>
      <c r="E37" s="353" t="s">
        <v>128</v>
      </c>
      <c r="F37" s="346" t="s">
        <v>129</v>
      </c>
      <c r="G37" s="641">
        <v>3.6</v>
      </c>
      <c r="H37" s="488">
        <f t="shared" si="1"/>
        <v>0</v>
      </c>
      <c r="K37" s="556"/>
    </row>
    <row r="38" spans="1:11" ht="13.5" hidden="1" outlineLevel="1" thickBot="1" x14ac:dyDescent="0.25">
      <c r="A38" s="336"/>
      <c r="B38" s="356"/>
      <c r="C38" s="357"/>
      <c r="D38" s="357"/>
      <c r="E38" s="358"/>
      <c r="F38" s="359" t="s">
        <v>130</v>
      </c>
      <c r="G38" s="360"/>
      <c r="H38" s="490"/>
      <c r="K38" s="556"/>
    </row>
    <row r="39" spans="1:11" hidden="1" outlineLevel="1" x14ac:dyDescent="0.2">
      <c r="A39" s="342" t="s">
        <v>114</v>
      </c>
      <c r="B39" s="343"/>
      <c r="C39" s="344"/>
      <c r="D39" s="344"/>
      <c r="E39" s="345" t="s">
        <v>131</v>
      </c>
      <c r="F39" s="346" t="s">
        <v>132</v>
      </c>
      <c r="G39" s="347"/>
      <c r="H39" s="488">
        <f t="shared" ref="H39:H74" si="2">B39*G39</f>
        <v>0</v>
      </c>
      <c r="K39" s="556"/>
    </row>
    <row r="40" spans="1:11" hidden="1" outlineLevel="1" x14ac:dyDescent="0.2">
      <c r="A40" s="342" t="s">
        <v>114</v>
      </c>
      <c r="B40" s="343"/>
      <c r="C40" s="344"/>
      <c r="D40" s="344"/>
      <c r="E40" s="345" t="s">
        <v>133</v>
      </c>
      <c r="F40" s="346" t="s">
        <v>134</v>
      </c>
      <c r="G40" s="347"/>
      <c r="H40" s="488">
        <f t="shared" si="2"/>
        <v>0</v>
      </c>
      <c r="K40" s="556"/>
    </row>
    <row r="41" spans="1:11" hidden="1" outlineLevel="1" x14ac:dyDescent="0.2">
      <c r="A41" s="342" t="s">
        <v>114</v>
      </c>
      <c r="B41" s="343"/>
      <c r="C41" s="344"/>
      <c r="D41" s="344"/>
      <c r="E41" s="345" t="s">
        <v>135</v>
      </c>
      <c r="F41" s="346" t="s">
        <v>136</v>
      </c>
      <c r="G41" s="347"/>
      <c r="H41" s="488">
        <f t="shared" si="2"/>
        <v>0</v>
      </c>
      <c r="K41" s="556"/>
    </row>
    <row r="42" spans="1:11" hidden="1" outlineLevel="1" x14ac:dyDescent="0.2">
      <c r="A42" s="342" t="s">
        <v>114</v>
      </c>
      <c r="B42" s="343"/>
      <c r="C42" s="344"/>
      <c r="D42" s="344"/>
      <c r="E42" s="345" t="s">
        <v>137</v>
      </c>
      <c r="F42" s="346" t="s">
        <v>138</v>
      </c>
      <c r="G42" s="347"/>
      <c r="H42" s="488">
        <f t="shared" si="2"/>
        <v>0</v>
      </c>
      <c r="K42" s="556"/>
    </row>
    <row r="43" spans="1:11" hidden="1" outlineLevel="1" x14ac:dyDescent="0.2">
      <c r="A43" s="342" t="s">
        <v>114</v>
      </c>
      <c r="B43" s="343"/>
      <c r="C43" s="344"/>
      <c r="D43" s="344"/>
      <c r="E43" s="345" t="s">
        <v>139</v>
      </c>
      <c r="F43" s="346" t="s">
        <v>140</v>
      </c>
      <c r="G43" s="347"/>
      <c r="H43" s="488">
        <f t="shared" si="2"/>
        <v>0</v>
      </c>
      <c r="K43" s="556"/>
    </row>
    <row r="44" spans="1:11" hidden="1" outlineLevel="1" x14ac:dyDescent="0.2">
      <c r="A44" s="342" t="s">
        <v>114</v>
      </c>
      <c r="B44" s="343"/>
      <c r="C44" s="344"/>
      <c r="D44" s="344"/>
      <c r="E44" s="345" t="s">
        <v>141</v>
      </c>
      <c r="F44" s="346" t="s">
        <v>142</v>
      </c>
      <c r="G44" s="347"/>
      <c r="H44" s="488">
        <f t="shared" si="2"/>
        <v>0</v>
      </c>
      <c r="K44" s="556"/>
    </row>
    <row r="45" spans="1:11" hidden="1" outlineLevel="1" x14ac:dyDescent="0.2">
      <c r="A45" s="342" t="s">
        <v>114</v>
      </c>
      <c r="B45" s="343"/>
      <c r="C45" s="344"/>
      <c r="D45" s="344"/>
      <c r="E45" s="345" t="s">
        <v>143</v>
      </c>
      <c r="F45" s="346" t="s">
        <v>144</v>
      </c>
      <c r="G45" s="347"/>
      <c r="H45" s="488">
        <f t="shared" si="2"/>
        <v>0</v>
      </c>
      <c r="K45" s="556"/>
    </row>
    <row r="46" spans="1:11" hidden="1" outlineLevel="1" x14ac:dyDescent="0.2">
      <c r="A46" s="342" t="s">
        <v>114</v>
      </c>
      <c r="B46" s="343"/>
      <c r="C46" s="344"/>
      <c r="D46" s="344"/>
      <c r="E46" s="345" t="s">
        <v>145</v>
      </c>
      <c r="F46" s="346" t="s">
        <v>146</v>
      </c>
      <c r="G46" s="347"/>
      <c r="H46" s="488">
        <f t="shared" si="2"/>
        <v>0</v>
      </c>
      <c r="K46" s="556"/>
    </row>
    <row r="47" spans="1:11" hidden="1" outlineLevel="1" x14ac:dyDescent="0.2">
      <c r="A47" s="342" t="s">
        <v>114</v>
      </c>
      <c r="B47" s="343"/>
      <c r="C47" s="344"/>
      <c r="D47" s="344"/>
      <c r="E47" s="345" t="s">
        <v>147</v>
      </c>
      <c r="F47" s="346" t="s">
        <v>148</v>
      </c>
      <c r="G47" s="347"/>
      <c r="H47" s="488">
        <f t="shared" si="2"/>
        <v>0</v>
      </c>
      <c r="K47" s="556"/>
    </row>
    <row r="48" spans="1:11" hidden="1" outlineLevel="1" x14ac:dyDescent="0.2">
      <c r="A48" s="342" t="s">
        <v>114</v>
      </c>
      <c r="B48" s="343"/>
      <c r="C48" s="344"/>
      <c r="D48" s="344"/>
      <c r="E48" s="345" t="s">
        <v>149</v>
      </c>
      <c r="F48" s="346" t="s">
        <v>150</v>
      </c>
      <c r="G48" s="347"/>
      <c r="H48" s="488">
        <f t="shared" si="2"/>
        <v>0</v>
      </c>
      <c r="K48" s="556"/>
    </row>
    <row r="49" spans="1:11" hidden="1" outlineLevel="1" x14ac:dyDescent="0.2">
      <c r="A49" s="342" t="s">
        <v>114</v>
      </c>
      <c r="B49" s="343"/>
      <c r="C49" s="344"/>
      <c r="D49" s="344"/>
      <c r="E49" s="345" t="s">
        <v>151</v>
      </c>
      <c r="F49" s="346" t="s">
        <v>152</v>
      </c>
      <c r="G49" s="347"/>
      <c r="H49" s="488">
        <f t="shared" si="2"/>
        <v>0</v>
      </c>
      <c r="K49" s="556"/>
    </row>
    <row r="50" spans="1:11" hidden="1" outlineLevel="1" x14ac:dyDescent="0.2">
      <c r="A50" s="342" t="s">
        <v>114</v>
      </c>
      <c r="B50" s="343"/>
      <c r="C50" s="344"/>
      <c r="D50" s="344"/>
      <c r="E50" s="345" t="s">
        <v>153</v>
      </c>
      <c r="F50" s="346" t="s">
        <v>154</v>
      </c>
      <c r="G50" s="347"/>
      <c r="H50" s="488">
        <f t="shared" si="2"/>
        <v>0</v>
      </c>
      <c r="K50" s="556"/>
    </row>
    <row r="51" spans="1:11" hidden="1" outlineLevel="1" x14ac:dyDescent="0.2">
      <c r="A51" s="342" t="s">
        <v>114</v>
      </c>
      <c r="B51" s="343"/>
      <c r="C51" s="344"/>
      <c r="D51" s="344"/>
      <c r="E51" s="345" t="s">
        <v>155</v>
      </c>
      <c r="F51" s="346" t="s">
        <v>156</v>
      </c>
      <c r="G51" s="347"/>
      <c r="H51" s="488">
        <f t="shared" si="2"/>
        <v>0</v>
      </c>
      <c r="K51" s="556"/>
    </row>
    <row r="52" spans="1:11" hidden="1" outlineLevel="1" x14ac:dyDescent="0.2">
      <c r="A52" s="342" t="s">
        <v>114</v>
      </c>
      <c r="B52" s="343"/>
      <c r="C52" s="344"/>
      <c r="D52" s="344"/>
      <c r="E52" s="345" t="s">
        <v>157</v>
      </c>
      <c r="F52" s="346" t="s">
        <v>158</v>
      </c>
      <c r="G52" s="347"/>
      <c r="H52" s="488">
        <f t="shared" si="2"/>
        <v>0</v>
      </c>
      <c r="K52" s="556"/>
    </row>
    <row r="53" spans="1:11" hidden="1" outlineLevel="1" x14ac:dyDescent="0.2">
      <c r="A53" s="342" t="s">
        <v>114</v>
      </c>
      <c r="B53" s="343"/>
      <c r="C53" s="344"/>
      <c r="D53" s="344"/>
      <c r="E53" s="345" t="s">
        <v>159</v>
      </c>
      <c r="F53" s="346" t="s">
        <v>160</v>
      </c>
      <c r="G53" s="347"/>
      <c r="H53" s="488">
        <f t="shared" si="2"/>
        <v>0</v>
      </c>
      <c r="K53" s="556"/>
    </row>
    <row r="54" spans="1:11" hidden="1" outlineLevel="1" x14ac:dyDescent="0.2">
      <c r="A54" s="342" t="s">
        <v>114</v>
      </c>
      <c r="B54" s="343"/>
      <c r="C54" s="344"/>
      <c r="D54" s="344"/>
      <c r="E54" s="345" t="s">
        <v>161</v>
      </c>
      <c r="F54" s="346" t="s">
        <v>162</v>
      </c>
      <c r="G54" s="347"/>
      <c r="H54" s="488">
        <f t="shared" si="2"/>
        <v>0</v>
      </c>
      <c r="K54" s="556"/>
    </row>
    <row r="55" spans="1:11" hidden="1" outlineLevel="1" x14ac:dyDescent="0.2">
      <c r="A55" s="342" t="s">
        <v>114</v>
      </c>
      <c r="B55" s="343"/>
      <c r="C55" s="344"/>
      <c r="D55" s="344"/>
      <c r="E55" s="345" t="s">
        <v>163</v>
      </c>
      <c r="F55" s="346" t="s">
        <v>164</v>
      </c>
      <c r="G55" s="347"/>
      <c r="H55" s="488">
        <f t="shared" si="2"/>
        <v>0</v>
      </c>
      <c r="K55" s="556"/>
    </row>
    <row r="56" spans="1:11" hidden="1" outlineLevel="1" x14ac:dyDescent="0.2">
      <c r="A56" s="342" t="s">
        <v>114</v>
      </c>
      <c r="B56" s="343"/>
      <c r="C56" s="344"/>
      <c r="D56" s="344"/>
      <c r="E56" s="345" t="s">
        <v>165</v>
      </c>
      <c r="F56" s="346" t="s">
        <v>166</v>
      </c>
      <c r="G56" s="347"/>
      <c r="H56" s="488">
        <f t="shared" si="2"/>
        <v>0</v>
      </c>
      <c r="K56" s="556"/>
    </row>
    <row r="57" spans="1:11" hidden="1" outlineLevel="1" x14ac:dyDescent="0.2">
      <c r="A57" s="342" t="s">
        <v>114</v>
      </c>
      <c r="B57" s="343"/>
      <c r="C57" s="344"/>
      <c r="D57" s="344"/>
      <c r="E57" s="345" t="s">
        <v>167</v>
      </c>
      <c r="F57" s="346" t="s">
        <v>168</v>
      </c>
      <c r="G57" s="347"/>
      <c r="H57" s="488">
        <f t="shared" si="2"/>
        <v>0</v>
      </c>
      <c r="K57" s="556"/>
    </row>
    <row r="58" spans="1:11" hidden="1" outlineLevel="1" x14ac:dyDescent="0.2">
      <c r="A58" s="342" t="s">
        <v>114</v>
      </c>
      <c r="B58" s="343"/>
      <c r="C58" s="344"/>
      <c r="D58" s="344"/>
      <c r="E58" s="345" t="s">
        <v>169</v>
      </c>
      <c r="F58" s="346" t="s">
        <v>170</v>
      </c>
      <c r="G58" s="347"/>
      <c r="H58" s="488">
        <f t="shared" si="2"/>
        <v>0</v>
      </c>
      <c r="K58" s="556"/>
    </row>
    <row r="59" spans="1:11" hidden="1" outlineLevel="1" x14ac:dyDescent="0.2">
      <c r="A59" s="342" t="s">
        <v>114</v>
      </c>
      <c r="B59" s="343"/>
      <c r="C59" s="344"/>
      <c r="D59" s="344"/>
      <c r="E59" s="345" t="s">
        <v>171</v>
      </c>
      <c r="F59" s="346" t="s">
        <v>172</v>
      </c>
      <c r="G59" s="347"/>
      <c r="H59" s="488">
        <f t="shared" si="2"/>
        <v>0</v>
      </c>
      <c r="K59" s="556"/>
    </row>
    <row r="60" spans="1:11" hidden="1" outlineLevel="1" x14ac:dyDescent="0.2">
      <c r="A60" s="342" t="s">
        <v>114</v>
      </c>
      <c r="B60" s="343"/>
      <c r="C60" s="344"/>
      <c r="D60" s="344"/>
      <c r="E60" s="345" t="s">
        <v>173</v>
      </c>
      <c r="F60" s="346" t="s">
        <v>174</v>
      </c>
      <c r="G60" s="347"/>
      <c r="H60" s="488">
        <f t="shared" si="2"/>
        <v>0</v>
      </c>
      <c r="K60" s="556"/>
    </row>
    <row r="61" spans="1:11" hidden="1" outlineLevel="1" x14ac:dyDescent="0.2">
      <c r="A61" s="342" t="s">
        <v>114</v>
      </c>
      <c r="B61" s="343"/>
      <c r="C61" s="344"/>
      <c r="D61" s="344"/>
      <c r="E61" s="345" t="s">
        <v>175</v>
      </c>
      <c r="F61" s="346" t="s">
        <v>176</v>
      </c>
      <c r="G61" s="347"/>
      <c r="H61" s="488">
        <f t="shared" si="2"/>
        <v>0</v>
      </c>
      <c r="K61" s="556"/>
    </row>
    <row r="62" spans="1:11" hidden="1" outlineLevel="1" x14ac:dyDescent="0.2">
      <c r="A62" s="342" t="s">
        <v>114</v>
      </c>
      <c r="B62" s="343"/>
      <c r="C62" s="344"/>
      <c r="D62" s="344"/>
      <c r="E62" s="345" t="s">
        <v>177</v>
      </c>
      <c r="F62" s="346" t="s">
        <v>178</v>
      </c>
      <c r="G62" s="347"/>
      <c r="H62" s="488">
        <f t="shared" si="2"/>
        <v>0</v>
      </c>
      <c r="K62" s="556"/>
    </row>
    <row r="63" spans="1:11" hidden="1" outlineLevel="1" x14ac:dyDescent="0.2">
      <c r="A63" s="342" t="s">
        <v>114</v>
      </c>
      <c r="B63" s="343"/>
      <c r="C63" s="344"/>
      <c r="D63" s="344"/>
      <c r="E63" s="345" t="s">
        <v>179</v>
      </c>
      <c r="F63" s="346" t="s">
        <v>180</v>
      </c>
      <c r="G63" s="347"/>
      <c r="H63" s="488">
        <f t="shared" si="2"/>
        <v>0</v>
      </c>
      <c r="K63" s="556"/>
    </row>
    <row r="64" spans="1:11" hidden="1" outlineLevel="1" x14ac:dyDescent="0.2">
      <c r="A64" s="342" t="s">
        <v>114</v>
      </c>
      <c r="B64" s="343"/>
      <c r="C64" s="344"/>
      <c r="D64" s="344"/>
      <c r="E64" s="345" t="s">
        <v>181</v>
      </c>
      <c r="F64" s="346" t="s">
        <v>182</v>
      </c>
      <c r="G64" s="347"/>
      <c r="H64" s="488">
        <f t="shared" si="2"/>
        <v>0</v>
      </c>
      <c r="K64" s="556"/>
    </row>
    <row r="65" spans="1:11" hidden="1" outlineLevel="1" x14ac:dyDescent="0.2">
      <c r="A65" s="342" t="s">
        <v>114</v>
      </c>
      <c r="B65" s="343"/>
      <c r="C65" s="344"/>
      <c r="D65" s="344"/>
      <c r="E65" s="345" t="s">
        <v>183</v>
      </c>
      <c r="F65" s="346" t="s">
        <v>184</v>
      </c>
      <c r="G65" s="347"/>
      <c r="H65" s="488">
        <f t="shared" si="2"/>
        <v>0</v>
      </c>
      <c r="K65" s="556"/>
    </row>
    <row r="66" spans="1:11" hidden="1" outlineLevel="1" x14ac:dyDescent="0.2">
      <c r="A66" s="342" t="s">
        <v>114</v>
      </c>
      <c r="B66" s="343"/>
      <c r="C66" s="344"/>
      <c r="D66" s="344"/>
      <c r="E66" s="345" t="s">
        <v>185</v>
      </c>
      <c r="F66" s="346" t="s">
        <v>186</v>
      </c>
      <c r="G66" s="347"/>
      <c r="H66" s="488">
        <f t="shared" si="2"/>
        <v>0</v>
      </c>
      <c r="K66" s="556"/>
    </row>
    <row r="67" spans="1:11" hidden="1" outlineLevel="1" x14ac:dyDescent="0.2">
      <c r="A67" s="342" t="s">
        <v>114</v>
      </c>
      <c r="B67" s="343"/>
      <c r="C67" s="344"/>
      <c r="D67" s="344"/>
      <c r="E67" s="345" t="s">
        <v>187</v>
      </c>
      <c r="F67" s="346" t="s">
        <v>188</v>
      </c>
      <c r="G67" s="347"/>
      <c r="H67" s="488">
        <f t="shared" si="2"/>
        <v>0</v>
      </c>
      <c r="K67" s="556"/>
    </row>
    <row r="68" spans="1:11" hidden="1" outlineLevel="1" x14ac:dyDescent="0.2">
      <c r="A68" s="342" t="s">
        <v>114</v>
      </c>
      <c r="B68" s="343"/>
      <c r="C68" s="344"/>
      <c r="D68" s="344"/>
      <c r="E68" s="345" t="s">
        <v>189</v>
      </c>
      <c r="F68" s="346" t="s">
        <v>190</v>
      </c>
      <c r="G68" s="347"/>
      <c r="H68" s="488">
        <f t="shared" si="2"/>
        <v>0</v>
      </c>
      <c r="K68" s="556"/>
    </row>
    <row r="69" spans="1:11" hidden="1" outlineLevel="1" x14ac:dyDescent="0.2">
      <c r="A69" s="342" t="s">
        <v>114</v>
      </c>
      <c r="B69" s="343"/>
      <c r="C69" s="344"/>
      <c r="D69" s="344"/>
      <c r="E69" s="345" t="s">
        <v>191</v>
      </c>
      <c r="F69" s="346" t="s">
        <v>192</v>
      </c>
      <c r="G69" s="347"/>
      <c r="H69" s="488">
        <f t="shared" si="2"/>
        <v>0</v>
      </c>
      <c r="K69" s="556"/>
    </row>
    <row r="70" spans="1:11" hidden="1" outlineLevel="1" x14ac:dyDescent="0.2">
      <c r="A70" s="342" t="s">
        <v>114</v>
      </c>
      <c r="B70" s="343"/>
      <c r="C70" s="344"/>
      <c r="D70" s="344"/>
      <c r="E70" s="345" t="s">
        <v>193</v>
      </c>
      <c r="F70" s="346" t="s">
        <v>194</v>
      </c>
      <c r="G70" s="347"/>
      <c r="H70" s="488">
        <f t="shared" si="2"/>
        <v>0</v>
      </c>
      <c r="K70" s="556"/>
    </row>
    <row r="71" spans="1:11" hidden="1" outlineLevel="1" x14ac:dyDescent="0.2">
      <c r="A71" s="342" t="s">
        <v>114</v>
      </c>
      <c r="B71" s="343"/>
      <c r="C71" s="344"/>
      <c r="D71" s="344"/>
      <c r="E71" s="345" t="s">
        <v>195</v>
      </c>
      <c r="F71" s="346" t="s">
        <v>196</v>
      </c>
      <c r="G71" s="347"/>
      <c r="H71" s="488">
        <f t="shared" si="2"/>
        <v>0</v>
      </c>
      <c r="K71" s="556"/>
    </row>
    <row r="72" spans="1:11" hidden="1" outlineLevel="1" x14ac:dyDescent="0.2">
      <c r="A72" s="342" t="s">
        <v>114</v>
      </c>
      <c r="B72" s="343"/>
      <c r="C72" s="344"/>
      <c r="D72" s="344"/>
      <c r="E72" s="345" t="s">
        <v>197</v>
      </c>
      <c r="F72" s="346" t="s">
        <v>198</v>
      </c>
      <c r="G72" s="347"/>
      <c r="H72" s="488">
        <f t="shared" si="2"/>
        <v>0</v>
      </c>
      <c r="K72" s="556"/>
    </row>
    <row r="73" spans="1:11" hidden="1" outlineLevel="1" x14ac:dyDescent="0.2">
      <c r="A73" s="342" t="s">
        <v>114</v>
      </c>
      <c r="B73" s="343"/>
      <c r="C73" s="344"/>
      <c r="D73" s="344"/>
      <c r="E73" s="345" t="s">
        <v>199</v>
      </c>
      <c r="F73" s="346" t="s">
        <v>200</v>
      </c>
      <c r="G73" s="347"/>
      <c r="H73" s="488">
        <f t="shared" si="2"/>
        <v>0</v>
      </c>
      <c r="K73" s="556"/>
    </row>
    <row r="74" spans="1:11" ht="13.5" hidden="1" outlineLevel="1" thickBot="1" x14ac:dyDescent="0.25">
      <c r="A74" s="342"/>
      <c r="B74" s="343"/>
      <c r="C74" s="344"/>
      <c r="D74" s="344"/>
      <c r="E74" s="345"/>
      <c r="F74" s="346"/>
      <c r="G74" s="347"/>
      <c r="H74" s="488">
        <f t="shared" si="2"/>
        <v>0</v>
      </c>
      <c r="K74" s="556"/>
    </row>
    <row r="75" spans="1:11" ht="13.5" hidden="1" outlineLevel="1" thickBot="1" x14ac:dyDescent="0.25">
      <c r="A75" s="336"/>
      <c r="B75" s="356"/>
      <c r="C75" s="357"/>
      <c r="D75" s="357"/>
      <c r="E75" s="358"/>
      <c r="F75" s="359" t="s">
        <v>201</v>
      </c>
      <c r="G75" s="360"/>
      <c r="H75" s="490"/>
    </row>
    <row r="76" spans="1:11" hidden="1" outlineLevel="1" x14ac:dyDescent="0.2">
      <c r="A76" s="342" t="s">
        <v>114</v>
      </c>
      <c r="B76" s="343"/>
      <c r="C76" s="344"/>
      <c r="D76" s="344"/>
      <c r="E76" s="353" t="s">
        <v>202</v>
      </c>
      <c r="F76" s="346" t="s">
        <v>203</v>
      </c>
      <c r="G76" s="654">
        <v>17.5</v>
      </c>
      <c r="H76" s="488">
        <f>B76*G76</f>
        <v>0</v>
      </c>
    </row>
    <row r="77" spans="1:11" hidden="1" outlineLevel="1" x14ac:dyDescent="0.2">
      <c r="A77" s="342" t="s">
        <v>114</v>
      </c>
      <c r="B77" s="343"/>
      <c r="C77" s="344"/>
      <c r="D77" s="344"/>
      <c r="E77" s="353" t="s">
        <v>204</v>
      </c>
      <c r="F77" s="346" t="s">
        <v>205</v>
      </c>
      <c r="G77" s="654">
        <v>34.380000000000003</v>
      </c>
      <c r="H77" s="488">
        <f>B77*G77</f>
        <v>0</v>
      </c>
    </row>
    <row r="78" spans="1:11" hidden="1" outlineLevel="1" x14ac:dyDescent="0.2">
      <c r="A78" s="342" t="s">
        <v>114</v>
      </c>
      <c r="B78" s="343"/>
      <c r="C78" s="344"/>
      <c r="D78" s="344"/>
      <c r="E78" s="353" t="s">
        <v>206</v>
      </c>
      <c r="F78" s="346" t="s">
        <v>207</v>
      </c>
      <c r="G78" s="654">
        <v>84.5</v>
      </c>
      <c r="H78" s="488">
        <f>G78*B78</f>
        <v>0</v>
      </c>
    </row>
    <row r="79" spans="1:11" hidden="1" outlineLevel="1" x14ac:dyDescent="0.2">
      <c r="A79" s="342" t="s">
        <v>114</v>
      </c>
      <c r="B79" s="343"/>
      <c r="C79" s="344"/>
      <c r="D79" s="344"/>
      <c r="E79" s="345" t="s">
        <v>208</v>
      </c>
      <c r="F79" s="346" t="s">
        <v>209</v>
      </c>
      <c r="G79" s="362"/>
      <c r="H79" s="488">
        <f>G79*B79</f>
        <v>0</v>
      </c>
    </row>
    <row r="80" spans="1:11" hidden="1" outlineLevel="1" x14ac:dyDescent="0.2">
      <c r="A80" s="342" t="s">
        <v>114</v>
      </c>
      <c r="B80" s="343"/>
      <c r="C80" s="344"/>
      <c r="D80" s="344"/>
      <c r="E80" s="345" t="s">
        <v>210</v>
      </c>
      <c r="F80" s="346" t="s">
        <v>211</v>
      </c>
      <c r="G80" s="362"/>
      <c r="H80" s="488">
        <f>G80*B80</f>
        <v>0</v>
      </c>
    </row>
    <row r="81" spans="1:8" hidden="1" outlineLevel="1" x14ac:dyDescent="0.2">
      <c r="A81" s="342" t="s">
        <v>114</v>
      </c>
      <c r="B81" s="343"/>
      <c r="C81" s="344"/>
      <c r="D81" s="344"/>
      <c r="E81" s="345" t="s">
        <v>212</v>
      </c>
      <c r="F81" s="346" t="s">
        <v>213</v>
      </c>
      <c r="G81" s="362"/>
      <c r="H81" s="488">
        <f>G81*B81</f>
        <v>0</v>
      </c>
    </row>
    <row r="82" spans="1:8" ht="13.5" hidden="1" outlineLevel="1" thickBot="1" x14ac:dyDescent="0.25">
      <c r="A82" s="342" t="s">
        <v>114</v>
      </c>
      <c r="B82" s="343"/>
      <c r="C82" s="344"/>
      <c r="D82" s="344"/>
      <c r="E82" s="345" t="s">
        <v>214</v>
      </c>
      <c r="F82" s="346" t="s">
        <v>215</v>
      </c>
      <c r="G82" s="362"/>
      <c r="H82" s="488">
        <f>G82*B82</f>
        <v>0</v>
      </c>
    </row>
    <row r="83" spans="1:8" ht="13.5" hidden="1" outlineLevel="1" thickBot="1" x14ac:dyDescent="0.25">
      <c r="A83" s="336"/>
      <c r="B83" s="356"/>
      <c r="C83" s="357"/>
      <c r="D83" s="357"/>
      <c r="E83" s="358"/>
      <c r="F83" s="359" t="s">
        <v>216</v>
      </c>
      <c r="G83" s="360"/>
      <c r="H83" s="490">
        <f t="shared" ref="H83:H85" si="3">B83*G83</f>
        <v>0</v>
      </c>
    </row>
    <row r="84" spans="1:8" hidden="1" outlineLevel="1" x14ac:dyDescent="0.2">
      <c r="A84" s="342" t="s">
        <v>114</v>
      </c>
      <c r="B84" s="343"/>
      <c r="C84" s="344"/>
      <c r="D84" s="344"/>
      <c r="E84" s="345" t="s">
        <v>217</v>
      </c>
      <c r="F84" s="345" t="s">
        <v>218</v>
      </c>
      <c r="G84" s="347"/>
      <c r="H84" s="488">
        <f t="shared" si="3"/>
        <v>0</v>
      </c>
    </row>
    <row r="85" spans="1:8" ht="13.5" hidden="1" outlineLevel="1" thickBot="1" x14ac:dyDescent="0.25">
      <c r="A85" s="342" t="s">
        <v>114</v>
      </c>
      <c r="B85" s="343"/>
      <c r="C85" s="344"/>
      <c r="D85" s="344"/>
      <c r="E85" s="345" t="s">
        <v>219</v>
      </c>
      <c r="F85" s="345" t="s">
        <v>220</v>
      </c>
      <c r="G85" s="347"/>
      <c r="H85" s="488">
        <f t="shared" si="3"/>
        <v>0</v>
      </c>
    </row>
    <row r="86" spans="1:8" ht="13.5" hidden="1" outlineLevel="1" thickBot="1" x14ac:dyDescent="0.25">
      <c r="A86" s="336"/>
      <c r="B86" s="356"/>
      <c r="C86" s="357"/>
      <c r="D86" s="357"/>
      <c r="E86" s="363"/>
      <c r="F86" s="359" t="s">
        <v>221</v>
      </c>
      <c r="G86" s="364"/>
      <c r="H86" s="490"/>
    </row>
    <row r="87" spans="1:8" hidden="1" outlineLevel="1" x14ac:dyDescent="0.2">
      <c r="A87" s="342" t="s">
        <v>114</v>
      </c>
      <c r="B87" s="343"/>
      <c r="C87" s="344"/>
      <c r="D87" s="344"/>
      <c r="E87" s="345" t="s">
        <v>222</v>
      </c>
      <c r="F87" s="345" t="s">
        <v>223</v>
      </c>
      <c r="G87" s="347"/>
      <c r="H87" s="488">
        <f t="shared" ref="H87:H100" si="4">B87*G87</f>
        <v>0</v>
      </c>
    </row>
    <row r="88" spans="1:8" hidden="1" outlineLevel="1" x14ac:dyDescent="0.2">
      <c r="A88" s="342" t="s">
        <v>114</v>
      </c>
      <c r="B88" s="343"/>
      <c r="C88" s="344"/>
      <c r="D88" s="344"/>
      <c r="E88" s="345" t="s">
        <v>224</v>
      </c>
      <c r="F88" s="345" t="s">
        <v>225</v>
      </c>
      <c r="G88" s="347"/>
      <c r="H88" s="488">
        <f t="shared" si="4"/>
        <v>0</v>
      </c>
    </row>
    <row r="89" spans="1:8" hidden="1" outlineLevel="1" x14ac:dyDescent="0.2">
      <c r="A89" s="342" t="s">
        <v>114</v>
      </c>
      <c r="B89" s="343"/>
      <c r="C89" s="344"/>
      <c r="D89" s="344"/>
      <c r="E89" s="345" t="s">
        <v>226</v>
      </c>
      <c r="F89" s="345" t="s">
        <v>227</v>
      </c>
      <c r="G89" s="347"/>
      <c r="H89" s="488">
        <f t="shared" si="4"/>
        <v>0</v>
      </c>
    </row>
    <row r="90" spans="1:8" hidden="1" outlineLevel="1" x14ac:dyDescent="0.2">
      <c r="A90" s="342" t="s">
        <v>114</v>
      </c>
      <c r="B90" s="343"/>
      <c r="C90" s="344"/>
      <c r="D90" s="344"/>
      <c r="E90" s="345" t="s">
        <v>228</v>
      </c>
      <c r="F90" s="345" t="s">
        <v>229</v>
      </c>
      <c r="G90" s="347"/>
      <c r="H90" s="488">
        <f t="shared" si="4"/>
        <v>0</v>
      </c>
    </row>
    <row r="91" spans="1:8" hidden="1" outlineLevel="1" x14ac:dyDescent="0.2">
      <c r="A91" s="342" t="s">
        <v>114</v>
      </c>
      <c r="B91" s="343"/>
      <c r="C91" s="344"/>
      <c r="D91" s="344"/>
      <c r="E91" s="353" t="s">
        <v>230</v>
      </c>
      <c r="F91" s="345" t="s">
        <v>231</v>
      </c>
      <c r="G91" s="655">
        <v>166.09</v>
      </c>
      <c r="H91" s="488">
        <f t="shared" si="4"/>
        <v>0</v>
      </c>
    </row>
    <row r="92" spans="1:8" hidden="1" outlineLevel="1" x14ac:dyDescent="0.2">
      <c r="A92" s="342" t="s">
        <v>114</v>
      </c>
      <c r="B92" s="343"/>
      <c r="C92" s="344"/>
      <c r="D92" s="344"/>
      <c r="E92" s="481" t="s">
        <v>232</v>
      </c>
      <c r="F92" s="365" t="s">
        <v>233</v>
      </c>
      <c r="G92" s="656">
        <v>0.4</v>
      </c>
      <c r="H92" s="488">
        <f t="shared" si="4"/>
        <v>0</v>
      </c>
    </row>
    <row r="93" spans="1:8" hidden="1" outlineLevel="1" x14ac:dyDescent="0.2">
      <c r="A93" s="342" t="s">
        <v>114</v>
      </c>
      <c r="B93" s="343"/>
      <c r="C93" s="344"/>
      <c r="D93" s="344"/>
      <c r="E93" s="481" t="s">
        <v>234</v>
      </c>
      <c r="F93" s="368" t="s">
        <v>235</v>
      </c>
      <c r="G93" s="656">
        <v>0.26</v>
      </c>
      <c r="H93" s="488">
        <f t="shared" si="4"/>
        <v>0</v>
      </c>
    </row>
    <row r="94" spans="1:8" hidden="1" outlineLevel="1" x14ac:dyDescent="0.2">
      <c r="A94" s="342" t="s">
        <v>114</v>
      </c>
      <c r="B94" s="343"/>
      <c r="C94" s="344"/>
      <c r="D94" s="344"/>
      <c r="E94" s="367" t="s">
        <v>236</v>
      </c>
      <c r="F94" s="368" t="s">
        <v>237</v>
      </c>
      <c r="G94" s="366"/>
      <c r="H94" s="488">
        <f t="shared" si="4"/>
        <v>0</v>
      </c>
    </row>
    <row r="95" spans="1:8" hidden="1" outlineLevel="1" x14ac:dyDescent="0.2">
      <c r="A95" s="342" t="s">
        <v>114</v>
      </c>
      <c r="B95" s="343"/>
      <c r="C95" s="344"/>
      <c r="D95" s="344"/>
      <c r="E95" s="345" t="s">
        <v>238</v>
      </c>
      <c r="F95" s="346" t="s">
        <v>239</v>
      </c>
      <c r="G95" s="347"/>
      <c r="H95" s="488">
        <f t="shared" si="4"/>
        <v>0</v>
      </c>
    </row>
    <row r="96" spans="1:8" hidden="1" outlineLevel="1" x14ac:dyDescent="0.2">
      <c r="A96" s="342" t="s">
        <v>114</v>
      </c>
      <c r="B96" s="343"/>
      <c r="C96" s="344"/>
      <c r="D96" s="344"/>
      <c r="E96" s="353" t="s">
        <v>240</v>
      </c>
      <c r="F96" s="346" t="s">
        <v>241</v>
      </c>
      <c r="G96" s="655">
        <v>5.95</v>
      </c>
      <c r="H96" s="488">
        <f t="shared" si="4"/>
        <v>0</v>
      </c>
    </row>
    <row r="97" spans="1:11" hidden="1" outlineLevel="1" x14ac:dyDescent="0.2">
      <c r="A97" s="369" t="s">
        <v>114</v>
      </c>
      <c r="B97" s="354"/>
      <c r="C97" s="355"/>
      <c r="D97" s="355"/>
      <c r="E97" s="423" t="s">
        <v>242</v>
      </c>
      <c r="F97" s="371" t="s">
        <v>243</v>
      </c>
      <c r="G97" s="657">
        <v>3.29</v>
      </c>
      <c r="H97" s="488">
        <f t="shared" si="4"/>
        <v>0</v>
      </c>
    </row>
    <row r="98" spans="1:11" hidden="1" outlineLevel="1" x14ac:dyDescent="0.2">
      <c r="A98" s="369" t="s">
        <v>114</v>
      </c>
      <c r="B98" s="354"/>
      <c r="C98" s="355"/>
      <c r="D98" s="355"/>
      <c r="E98" s="479" t="s">
        <v>244</v>
      </c>
      <c r="F98" s="374" t="s">
        <v>245</v>
      </c>
      <c r="G98" s="658">
        <v>133.06</v>
      </c>
      <c r="H98" s="488">
        <f t="shared" si="4"/>
        <v>0</v>
      </c>
    </row>
    <row r="99" spans="1:11" hidden="1" outlineLevel="1" x14ac:dyDescent="0.2">
      <c r="A99" s="369" t="s">
        <v>114</v>
      </c>
      <c r="B99" s="354"/>
      <c r="C99" s="355"/>
      <c r="D99" s="355"/>
      <c r="E99" s="373" t="s">
        <v>246</v>
      </c>
      <c r="F99" s="374" t="s">
        <v>247</v>
      </c>
      <c r="G99" s="375"/>
      <c r="H99" s="488">
        <f t="shared" si="4"/>
        <v>0</v>
      </c>
    </row>
    <row r="100" spans="1:11" hidden="1" outlineLevel="1" x14ac:dyDescent="0.2">
      <c r="A100" s="369"/>
      <c r="B100" s="354"/>
      <c r="C100" s="355"/>
      <c r="D100" s="355"/>
      <c r="E100" s="376" t="s">
        <v>248</v>
      </c>
      <c r="F100" s="374" t="s">
        <v>249</v>
      </c>
      <c r="G100" s="375"/>
      <c r="H100" s="488">
        <f t="shared" si="4"/>
        <v>0</v>
      </c>
    </row>
    <row r="101" spans="1:11" ht="13.5" hidden="1" outlineLevel="1" thickBot="1" x14ac:dyDescent="0.25">
      <c r="A101" s="369"/>
      <c r="B101" s="354"/>
      <c r="C101" s="355"/>
      <c r="D101" s="355"/>
      <c r="E101" s="377"/>
      <c r="F101" s="378"/>
      <c r="G101" s="379"/>
      <c r="H101" s="489">
        <f>B101*G287</f>
        <v>0</v>
      </c>
    </row>
    <row r="102" spans="1:11" ht="13.5" hidden="1" outlineLevel="1" thickBot="1" x14ac:dyDescent="0.25">
      <c r="A102" s="336"/>
      <c r="B102" s="356" t="s">
        <v>393</v>
      </c>
      <c r="C102" s="357"/>
      <c r="D102" s="357"/>
      <c r="E102" s="380"/>
      <c r="F102" s="381" t="s">
        <v>250</v>
      </c>
      <c r="G102" s="382"/>
      <c r="H102" s="490">
        <f>SUM(H32:H101)</f>
        <v>0</v>
      </c>
    </row>
    <row r="103" spans="1:11" ht="13.5" hidden="1" outlineLevel="1" thickBot="1" x14ac:dyDescent="0.25">
      <c r="A103" s="336"/>
      <c r="B103" s="356" t="s">
        <v>393</v>
      </c>
      <c r="C103" s="357"/>
      <c r="D103" s="357"/>
      <c r="E103" s="380"/>
      <c r="F103" s="383" t="s">
        <v>251</v>
      </c>
      <c r="G103" s="384"/>
      <c r="H103" s="491">
        <f>H102*(H1+H2)</f>
        <v>0</v>
      </c>
    </row>
    <row r="104" spans="1:11" ht="13.5" hidden="1" outlineLevel="1" thickBot="1" x14ac:dyDescent="0.25">
      <c r="A104" s="336"/>
      <c r="B104" s="356" t="s">
        <v>393</v>
      </c>
      <c r="C104" s="357"/>
      <c r="D104" s="357"/>
      <c r="E104" s="380"/>
      <c r="F104" s="386" t="s">
        <v>250</v>
      </c>
      <c r="G104" s="387"/>
      <c r="H104" s="492">
        <f>H103+H102</f>
        <v>0</v>
      </c>
    </row>
    <row r="105" spans="1:11" ht="13.5" collapsed="1" thickBot="1" x14ac:dyDescent="0.25">
      <c r="A105" s="389" t="s">
        <v>252</v>
      </c>
      <c r="B105" s="390"/>
      <c r="C105" s="391"/>
      <c r="D105" s="391"/>
      <c r="E105" s="392"/>
      <c r="F105" s="393"/>
      <c r="G105" s="394"/>
      <c r="H105" s="395"/>
    </row>
    <row r="106" spans="1:11" ht="13.5" thickBot="1" x14ac:dyDescent="0.25">
      <c r="A106" s="295"/>
      <c r="B106" s="482"/>
      <c r="C106" s="321"/>
      <c r="D106" s="321"/>
      <c r="E106" s="396"/>
      <c r="F106" s="397" t="s">
        <v>253</v>
      </c>
      <c r="G106" s="398"/>
      <c r="H106" s="399"/>
    </row>
    <row r="107" spans="1:11" hidden="1" outlineLevel="1" x14ac:dyDescent="0.2">
      <c r="A107" s="307" t="s">
        <v>254</v>
      </c>
      <c r="B107" s="548">
        <f>'CABLE SHEET'!N3</f>
        <v>0</v>
      </c>
      <c r="C107" s="309"/>
      <c r="D107" s="309"/>
      <c r="E107" s="353" t="s">
        <v>117</v>
      </c>
      <c r="F107" s="409" t="s">
        <v>118</v>
      </c>
      <c r="G107" s="641">
        <v>0.31</v>
      </c>
      <c r="H107" s="485">
        <f t="shared" ref="H107:H113" si="5">B107*G107</f>
        <v>0</v>
      </c>
      <c r="J107" s="497"/>
      <c r="K107" s="554"/>
    </row>
    <row r="108" spans="1:11" hidden="1" outlineLevel="1" x14ac:dyDescent="0.2">
      <c r="A108" s="307" t="s">
        <v>254</v>
      </c>
      <c r="B108" s="548"/>
      <c r="C108" s="309"/>
      <c r="D108" s="309"/>
      <c r="E108" s="402" t="s">
        <v>119</v>
      </c>
      <c r="F108" s="409" t="s">
        <v>118</v>
      </c>
      <c r="G108" s="592"/>
      <c r="H108" s="485">
        <f t="shared" si="5"/>
        <v>0</v>
      </c>
      <c r="K108" s="554"/>
    </row>
    <row r="109" spans="1:11" hidden="1" outlineLevel="1" x14ac:dyDescent="0.2">
      <c r="A109" s="307" t="s">
        <v>254</v>
      </c>
      <c r="B109" s="548">
        <f>'CABLE SHEET'!N4</f>
        <v>0</v>
      </c>
      <c r="C109" s="309"/>
      <c r="D109" s="309"/>
      <c r="E109" s="353" t="s">
        <v>120</v>
      </c>
      <c r="F109" s="409" t="s">
        <v>121</v>
      </c>
      <c r="G109" s="641">
        <v>0.62</v>
      </c>
      <c r="H109" s="485">
        <f t="shared" si="5"/>
        <v>0</v>
      </c>
      <c r="K109" s="554"/>
    </row>
    <row r="110" spans="1:11" hidden="1" outlineLevel="1" x14ac:dyDescent="0.2">
      <c r="A110" s="307" t="s">
        <v>254</v>
      </c>
      <c r="B110" s="548">
        <f>'CABLE SHEET'!N5</f>
        <v>0</v>
      </c>
      <c r="C110" s="309"/>
      <c r="D110" s="309"/>
      <c r="E110" s="353" t="s">
        <v>122</v>
      </c>
      <c r="F110" s="637" t="s">
        <v>123</v>
      </c>
      <c r="G110" s="641">
        <v>0.98</v>
      </c>
      <c r="H110" s="485">
        <f t="shared" si="5"/>
        <v>0</v>
      </c>
      <c r="K110" s="554"/>
    </row>
    <row r="111" spans="1:11" hidden="1" outlineLevel="1" x14ac:dyDescent="0.2">
      <c r="A111" s="307" t="s">
        <v>254</v>
      </c>
      <c r="B111" s="308"/>
      <c r="C111" s="309"/>
      <c r="D111" s="309"/>
      <c r="E111" s="402" t="s">
        <v>124</v>
      </c>
      <c r="F111" s="409" t="s">
        <v>125</v>
      </c>
      <c r="G111" s="592"/>
      <c r="H111" s="485">
        <f t="shared" si="5"/>
        <v>0</v>
      </c>
      <c r="K111" s="554"/>
    </row>
    <row r="112" spans="1:11" hidden="1" outlineLevel="1" x14ac:dyDescent="0.2">
      <c r="A112" s="307" t="s">
        <v>254</v>
      </c>
      <c r="B112" s="548">
        <f>'CABLE SHEET'!N6</f>
        <v>0</v>
      </c>
      <c r="C112" s="309"/>
      <c r="D112" s="309"/>
      <c r="E112" s="353" t="s">
        <v>126</v>
      </c>
      <c r="F112" s="409" t="s">
        <v>127</v>
      </c>
      <c r="G112" s="641">
        <v>1.55</v>
      </c>
      <c r="H112" s="485">
        <f t="shared" si="5"/>
        <v>0</v>
      </c>
      <c r="K112" s="554"/>
    </row>
    <row r="113" spans="1:11" ht="13.5" hidden="1" outlineLevel="1" thickBot="1" x14ac:dyDescent="0.25">
      <c r="A113" s="307" t="s">
        <v>254</v>
      </c>
      <c r="B113" s="548">
        <f>'CABLE SHEET'!N7</f>
        <v>0</v>
      </c>
      <c r="C113" s="309"/>
      <c r="D113" s="309"/>
      <c r="E113" s="353" t="s">
        <v>128</v>
      </c>
      <c r="F113" s="409" t="s">
        <v>129</v>
      </c>
      <c r="G113" s="641">
        <v>3.6</v>
      </c>
      <c r="H113" s="485">
        <f t="shared" si="5"/>
        <v>0</v>
      </c>
      <c r="J113" s="497"/>
      <c r="K113" s="554"/>
    </row>
    <row r="114" spans="1:11" ht="13.5" hidden="1" outlineLevel="1" thickBot="1" x14ac:dyDescent="0.25">
      <c r="A114" s="295"/>
      <c r="B114" s="320"/>
      <c r="C114" s="404"/>
      <c r="D114" s="404"/>
      <c r="E114" s="405"/>
      <c r="F114" s="406" t="s">
        <v>255</v>
      </c>
      <c r="G114" s="407"/>
      <c r="H114" s="408"/>
      <c r="K114" s="556"/>
    </row>
    <row r="115" spans="1:11" hidden="1" outlineLevel="1" x14ac:dyDescent="0.2">
      <c r="A115" s="307" t="s">
        <v>254</v>
      </c>
      <c r="B115" s="308"/>
      <c r="C115" s="309"/>
      <c r="D115" s="309"/>
      <c r="E115" s="402" t="s">
        <v>131</v>
      </c>
      <c r="F115" s="409" t="s">
        <v>132</v>
      </c>
      <c r="G115" s="403"/>
      <c r="H115" s="485">
        <f t="shared" ref="H115:H155" si="6">B115*G115</f>
        <v>0</v>
      </c>
      <c r="K115" s="556"/>
    </row>
    <row r="116" spans="1:11" hidden="1" outlineLevel="1" x14ac:dyDescent="0.2">
      <c r="A116" s="307" t="s">
        <v>254</v>
      </c>
      <c r="B116" s="308"/>
      <c r="C116" s="309"/>
      <c r="D116" s="309"/>
      <c r="E116" s="402" t="s">
        <v>133</v>
      </c>
      <c r="F116" s="409" t="s">
        <v>134</v>
      </c>
      <c r="G116" s="403"/>
      <c r="H116" s="485">
        <f t="shared" si="6"/>
        <v>0</v>
      </c>
      <c r="K116" s="556"/>
    </row>
    <row r="117" spans="1:11" hidden="1" outlineLevel="1" x14ac:dyDescent="0.2">
      <c r="A117" s="307" t="s">
        <v>254</v>
      </c>
      <c r="B117" s="308"/>
      <c r="C117" s="309"/>
      <c r="D117" s="309"/>
      <c r="E117" s="402" t="s">
        <v>135</v>
      </c>
      <c r="F117" s="409" t="s">
        <v>136</v>
      </c>
      <c r="G117" s="403"/>
      <c r="H117" s="485">
        <f t="shared" si="6"/>
        <v>0</v>
      </c>
      <c r="K117" s="556"/>
    </row>
    <row r="118" spans="1:11" hidden="1" outlineLevel="1" x14ac:dyDescent="0.2">
      <c r="A118" s="307" t="s">
        <v>254</v>
      </c>
      <c r="B118" s="308"/>
      <c r="C118" s="309"/>
      <c r="D118" s="309"/>
      <c r="E118" s="402" t="s">
        <v>137</v>
      </c>
      <c r="F118" s="409" t="s">
        <v>138</v>
      </c>
      <c r="G118" s="403"/>
      <c r="H118" s="485">
        <f t="shared" si="6"/>
        <v>0</v>
      </c>
      <c r="K118" s="556"/>
    </row>
    <row r="119" spans="1:11" hidden="1" outlineLevel="1" x14ac:dyDescent="0.2">
      <c r="A119" s="307" t="s">
        <v>254</v>
      </c>
      <c r="B119" s="308"/>
      <c r="C119" s="309"/>
      <c r="D119" s="309"/>
      <c r="E119" s="402" t="s">
        <v>139</v>
      </c>
      <c r="F119" s="409" t="s">
        <v>140</v>
      </c>
      <c r="G119" s="403"/>
      <c r="H119" s="485">
        <f t="shared" si="6"/>
        <v>0</v>
      </c>
      <c r="K119" s="556"/>
    </row>
    <row r="120" spans="1:11" hidden="1" outlineLevel="1" x14ac:dyDescent="0.2">
      <c r="A120" s="307" t="s">
        <v>254</v>
      </c>
      <c r="B120" s="308"/>
      <c r="C120" s="309"/>
      <c r="D120" s="309"/>
      <c r="E120" s="402" t="s">
        <v>141</v>
      </c>
      <c r="F120" s="409" t="s">
        <v>142</v>
      </c>
      <c r="G120" s="403"/>
      <c r="H120" s="485">
        <f t="shared" si="6"/>
        <v>0</v>
      </c>
      <c r="K120" s="556"/>
    </row>
    <row r="121" spans="1:11" hidden="1" outlineLevel="1" x14ac:dyDescent="0.2">
      <c r="A121" s="307" t="s">
        <v>254</v>
      </c>
      <c r="B121" s="308"/>
      <c r="C121" s="309"/>
      <c r="D121" s="309"/>
      <c r="E121" s="402" t="s">
        <v>143</v>
      </c>
      <c r="F121" s="409" t="s">
        <v>144</v>
      </c>
      <c r="G121" s="403"/>
      <c r="H121" s="485">
        <f t="shared" si="6"/>
        <v>0</v>
      </c>
      <c r="K121" s="556"/>
    </row>
    <row r="122" spans="1:11" hidden="1" outlineLevel="1" x14ac:dyDescent="0.2">
      <c r="A122" s="307" t="s">
        <v>254</v>
      </c>
      <c r="B122" s="308"/>
      <c r="C122" s="309"/>
      <c r="D122" s="309"/>
      <c r="E122" s="402" t="s">
        <v>145</v>
      </c>
      <c r="F122" s="409" t="s">
        <v>146</v>
      </c>
      <c r="G122" s="403"/>
      <c r="H122" s="485">
        <f t="shared" si="6"/>
        <v>0</v>
      </c>
      <c r="K122" s="556"/>
    </row>
    <row r="123" spans="1:11" hidden="1" outlineLevel="1" x14ac:dyDescent="0.2">
      <c r="A123" s="307" t="s">
        <v>254</v>
      </c>
      <c r="B123" s="308"/>
      <c r="C123" s="309"/>
      <c r="D123" s="309"/>
      <c r="E123" s="402" t="s">
        <v>147</v>
      </c>
      <c r="F123" s="409" t="s">
        <v>148</v>
      </c>
      <c r="G123" s="403"/>
      <c r="H123" s="485">
        <f t="shared" si="6"/>
        <v>0</v>
      </c>
      <c r="K123" s="556"/>
    </row>
    <row r="124" spans="1:11" hidden="1" outlineLevel="1" x14ac:dyDescent="0.2">
      <c r="A124" s="307" t="s">
        <v>254</v>
      </c>
      <c r="B124" s="308"/>
      <c r="C124" s="309"/>
      <c r="D124" s="309"/>
      <c r="E124" s="402" t="s">
        <v>149</v>
      </c>
      <c r="F124" s="409" t="s">
        <v>150</v>
      </c>
      <c r="G124" s="403"/>
      <c r="H124" s="485">
        <f t="shared" si="6"/>
        <v>0</v>
      </c>
      <c r="K124" s="556"/>
    </row>
    <row r="125" spans="1:11" hidden="1" outlineLevel="1" x14ac:dyDescent="0.2">
      <c r="A125" s="307" t="s">
        <v>254</v>
      </c>
      <c r="B125" s="308"/>
      <c r="C125" s="309"/>
      <c r="D125" s="309"/>
      <c r="E125" s="402" t="s">
        <v>151</v>
      </c>
      <c r="F125" s="409" t="s">
        <v>152</v>
      </c>
      <c r="G125" s="403"/>
      <c r="H125" s="485">
        <f t="shared" si="6"/>
        <v>0</v>
      </c>
      <c r="K125" s="556"/>
    </row>
    <row r="126" spans="1:11" hidden="1" outlineLevel="1" x14ac:dyDescent="0.2">
      <c r="A126" s="307" t="s">
        <v>254</v>
      </c>
      <c r="B126" s="308"/>
      <c r="C126" s="309"/>
      <c r="D126" s="309"/>
      <c r="E126" s="402" t="s">
        <v>153</v>
      </c>
      <c r="F126" s="409" t="s">
        <v>154</v>
      </c>
      <c r="G126" s="403"/>
      <c r="H126" s="485">
        <f t="shared" si="6"/>
        <v>0</v>
      </c>
      <c r="K126" s="556"/>
    </row>
    <row r="127" spans="1:11" hidden="1" outlineLevel="1" x14ac:dyDescent="0.2">
      <c r="A127" s="307" t="s">
        <v>254</v>
      </c>
      <c r="B127" s="308"/>
      <c r="C127" s="309"/>
      <c r="D127" s="309"/>
      <c r="E127" s="402" t="s">
        <v>155</v>
      </c>
      <c r="F127" s="409" t="s">
        <v>156</v>
      </c>
      <c r="G127" s="403"/>
      <c r="H127" s="485">
        <f t="shared" si="6"/>
        <v>0</v>
      </c>
      <c r="K127" s="556"/>
    </row>
    <row r="128" spans="1:11" hidden="1" outlineLevel="1" x14ac:dyDescent="0.2">
      <c r="A128" s="307" t="s">
        <v>254</v>
      </c>
      <c r="B128" s="308"/>
      <c r="C128" s="309"/>
      <c r="D128" s="309"/>
      <c r="E128" s="402" t="s">
        <v>157</v>
      </c>
      <c r="F128" s="409" t="s">
        <v>158</v>
      </c>
      <c r="G128" s="403"/>
      <c r="H128" s="485">
        <f t="shared" si="6"/>
        <v>0</v>
      </c>
      <c r="K128" s="556"/>
    </row>
    <row r="129" spans="1:11" hidden="1" outlineLevel="1" x14ac:dyDescent="0.2">
      <c r="A129" s="307" t="s">
        <v>254</v>
      </c>
      <c r="B129" s="308"/>
      <c r="C129" s="309"/>
      <c r="D129" s="309"/>
      <c r="E129" s="402" t="s">
        <v>159</v>
      </c>
      <c r="F129" s="409" t="s">
        <v>160</v>
      </c>
      <c r="G129" s="403"/>
      <c r="H129" s="485">
        <f t="shared" si="6"/>
        <v>0</v>
      </c>
      <c r="K129" s="556"/>
    </row>
    <row r="130" spans="1:11" hidden="1" outlineLevel="1" x14ac:dyDescent="0.2">
      <c r="A130" s="307" t="s">
        <v>254</v>
      </c>
      <c r="B130" s="308"/>
      <c r="C130" s="309"/>
      <c r="D130" s="309"/>
      <c r="E130" s="402" t="s">
        <v>161</v>
      </c>
      <c r="F130" s="409" t="s">
        <v>162</v>
      </c>
      <c r="G130" s="403"/>
      <c r="H130" s="485">
        <f t="shared" si="6"/>
        <v>0</v>
      </c>
      <c r="K130" s="556"/>
    </row>
    <row r="131" spans="1:11" hidden="1" outlineLevel="1" x14ac:dyDescent="0.2">
      <c r="A131" s="307" t="s">
        <v>254</v>
      </c>
      <c r="B131" s="308"/>
      <c r="C131" s="309"/>
      <c r="D131" s="309"/>
      <c r="E131" s="402" t="s">
        <v>163</v>
      </c>
      <c r="F131" s="409" t="s">
        <v>164</v>
      </c>
      <c r="G131" s="403"/>
      <c r="H131" s="485">
        <f t="shared" si="6"/>
        <v>0</v>
      </c>
      <c r="K131" s="556"/>
    </row>
    <row r="132" spans="1:11" hidden="1" outlineLevel="1" x14ac:dyDescent="0.2">
      <c r="A132" s="307" t="s">
        <v>254</v>
      </c>
      <c r="B132" s="308"/>
      <c r="C132" s="309"/>
      <c r="D132" s="309"/>
      <c r="E132" s="402" t="s">
        <v>165</v>
      </c>
      <c r="F132" s="409" t="s">
        <v>166</v>
      </c>
      <c r="G132" s="403"/>
      <c r="H132" s="485">
        <f t="shared" si="6"/>
        <v>0</v>
      </c>
      <c r="K132" s="556"/>
    </row>
    <row r="133" spans="1:11" hidden="1" outlineLevel="1" x14ac:dyDescent="0.2">
      <c r="A133" s="307" t="s">
        <v>254</v>
      </c>
      <c r="B133" s="308"/>
      <c r="C133" s="309"/>
      <c r="D133" s="309"/>
      <c r="E133" s="402" t="s">
        <v>167</v>
      </c>
      <c r="F133" s="409" t="s">
        <v>168</v>
      </c>
      <c r="G133" s="403"/>
      <c r="H133" s="485">
        <f t="shared" si="6"/>
        <v>0</v>
      </c>
      <c r="K133" s="556"/>
    </row>
    <row r="134" spans="1:11" hidden="1" outlineLevel="1" x14ac:dyDescent="0.2">
      <c r="A134" s="307" t="s">
        <v>254</v>
      </c>
      <c r="B134" s="308"/>
      <c r="C134" s="309"/>
      <c r="D134" s="309"/>
      <c r="E134" s="402" t="s">
        <v>169</v>
      </c>
      <c r="F134" s="409" t="s">
        <v>170</v>
      </c>
      <c r="G134" s="403"/>
      <c r="H134" s="485">
        <f t="shared" si="6"/>
        <v>0</v>
      </c>
      <c r="K134" s="556"/>
    </row>
    <row r="135" spans="1:11" hidden="1" outlineLevel="1" x14ac:dyDescent="0.2">
      <c r="A135" s="307" t="s">
        <v>254</v>
      </c>
      <c r="B135" s="308"/>
      <c r="C135" s="309"/>
      <c r="D135" s="309"/>
      <c r="E135" s="402" t="s">
        <v>171</v>
      </c>
      <c r="F135" s="409" t="s">
        <v>172</v>
      </c>
      <c r="G135" s="403"/>
      <c r="H135" s="485">
        <f t="shared" si="6"/>
        <v>0</v>
      </c>
      <c r="K135" s="556"/>
    </row>
    <row r="136" spans="1:11" hidden="1" outlineLevel="1" x14ac:dyDescent="0.2">
      <c r="A136" s="307" t="s">
        <v>254</v>
      </c>
      <c r="B136" s="308"/>
      <c r="C136" s="309"/>
      <c r="D136" s="309"/>
      <c r="E136" s="402" t="s">
        <v>173</v>
      </c>
      <c r="F136" s="409" t="s">
        <v>174</v>
      </c>
      <c r="G136" s="403"/>
      <c r="H136" s="485">
        <f t="shared" si="6"/>
        <v>0</v>
      </c>
      <c r="K136" s="556"/>
    </row>
    <row r="137" spans="1:11" hidden="1" outlineLevel="1" x14ac:dyDescent="0.2">
      <c r="A137" s="307" t="s">
        <v>254</v>
      </c>
      <c r="B137" s="308"/>
      <c r="C137" s="309"/>
      <c r="D137" s="309"/>
      <c r="E137" s="402" t="s">
        <v>175</v>
      </c>
      <c r="F137" s="409" t="s">
        <v>176</v>
      </c>
      <c r="G137" s="403"/>
      <c r="H137" s="485">
        <f t="shared" si="6"/>
        <v>0</v>
      </c>
      <c r="K137" s="556"/>
    </row>
    <row r="138" spans="1:11" hidden="1" outlineLevel="1" x14ac:dyDescent="0.2">
      <c r="A138" s="307" t="s">
        <v>254</v>
      </c>
      <c r="B138" s="308"/>
      <c r="C138" s="309"/>
      <c r="D138" s="309"/>
      <c r="E138" s="402" t="s">
        <v>177</v>
      </c>
      <c r="F138" s="409" t="s">
        <v>178</v>
      </c>
      <c r="G138" s="403"/>
      <c r="H138" s="485">
        <f t="shared" si="6"/>
        <v>0</v>
      </c>
      <c r="K138" s="556"/>
    </row>
    <row r="139" spans="1:11" hidden="1" outlineLevel="1" x14ac:dyDescent="0.2">
      <c r="A139" s="307" t="s">
        <v>254</v>
      </c>
      <c r="B139" s="308"/>
      <c r="C139" s="309"/>
      <c r="D139" s="309"/>
      <c r="E139" s="402" t="s">
        <v>179</v>
      </c>
      <c r="F139" s="409" t="s">
        <v>180</v>
      </c>
      <c r="G139" s="403"/>
      <c r="H139" s="485">
        <f t="shared" si="6"/>
        <v>0</v>
      </c>
      <c r="K139" s="556"/>
    </row>
    <row r="140" spans="1:11" hidden="1" outlineLevel="1" x14ac:dyDescent="0.2">
      <c r="A140" s="307" t="s">
        <v>254</v>
      </c>
      <c r="B140" s="308"/>
      <c r="C140" s="309"/>
      <c r="D140" s="309"/>
      <c r="E140" s="402" t="s">
        <v>181</v>
      </c>
      <c r="F140" s="409" t="s">
        <v>182</v>
      </c>
      <c r="G140" s="403"/>
      <c r="H140" s="485">
        <f t="shared" si="6"/>
        <v>0</v>
      </c>
      <c r="K140" s="556"/>
    </row>
    <row r="141" spans="1:11" hidden="1" outlineLevel="1" x14ac:dyDescent="0.2">
      <c r="A141" s="307" t="s">
        <v>254</v>
      </c>
      <c r="B141" s="308"/>
      <c r="C141" s="309"/>
      <c r="D141" s="309"/>
      <c r="E141" s="402" t="s">
        <v>183</v>
      </c>
      <c r="F141" s="409" t="s">
        <v>184</v>
      </c>
      <c r="G141" s="403"/>
      <c r="H141" s="485">
        <f t="shared" si="6"/>
        <v>0</v>
      </c>
      <c r="K141" s="556"/>
    </row>
    <row r="142" spans="1:11" hidden="1" outlineLevel="1" x14ac:dyDescent="0.2">
      <c r="A142" s="307" t="s">
        <v>254</v>
      </c>
      <c r="B142" s="308"/>
      <c r="C142" s="309"/>
      <c r="D142" s="309"/>
      <c r="E142" s="402" t="s">
        <v>185</v>
      </c>
      <c r="F142" s="409" t="s">
        <v>186</v>
      </c>
      <c r="G142" s="403"/>
      <c r="H142" s="485">
        <f t="shared" si="6"/>
        <v>0</v>
      </c>
      <c r="K142" s="556"/>
    </row>
    <row r="143" spans="1:11" hidden="1" outlineLevel="1" x14ac:dyDescent="0.2">
      <c r="A143" s="307" t="s">
        <v>254</v>
      </c>
      <c r="B143" s="308"/>
      <c r="C143" s="309"/>
      <c r="D143" s="309"/>
      <c r="E143" s="402" t="s">
        <v>187</v>
      </c>
      <c r="F143" s="409" t="s">
        <v>188</v>
      </c>
      <c r="G143" s="403"/>
      <c r="H143" s="485">
        <f t="shared" si="6"/>
        <v>0</v>
      </c>
      <c r="K143" s="556"/>
    </row>
    <row r="144" spans="1:11" hidden="1" outlineLevel="1" x14ac:dyDescent="0.2">
      <c r="A144" s="307" t="s">
        <v>254</v>
      </c>
      <c r="B144" s="308"/>
      <c r="C144" s="309"/>
      <c r="D144" s="309"/>
      <c r="E144" s="402" t="s">
        <v>189</v>
      </c>
      <c r="F144" s="409" t="s">
        <v>190</v>
      </c>
      <c r="G144" s="403"/>
      <c r="H144" s="485">
        <f t="shared" si="6"/>
        <v>0</v>
      </c>
      <c r="K144" s="556"/>
    </row>
    <row r="145" spans="1:11" hidden="1" outlineLevel="1" x14ac:dyDescent="0.2">
      <c r="A145" s="307" t="s">
        <v>254</v>
      </c>
      <c r="B145" s="308"/>
      <c r="C145" s="309"/>
      <c r="D145" s="309"/>
      <c r="E145" s="402" t="s">
        <v>191</v>
      </c>
      <c r="F145" s="409" t="s">
        <v>192</v>
      </c>
      <c r="G145" s="403"/>
      <c r="H145" s="485">
        <f t="shared" si="6"/>
        <v>0</v>
      </c>
      <c r="K145" s="556"/>
    </row>
    <row r="146" spans="1:11" hidden="1" outlineLevel="1" x14ac:dyDescent="0.2">
      <c r="A146" s="307" t="s">
        <v>254</v>
      </c>
      <c r="B146" s="308"/>
      <c r="C146" s="309"/>
      <c r="D146" s="309"/>
      <c r="E146" s="402" t="s">
        <v>193</v>
      </c>
      <c r="F146" s="409" t="s">
        <v>194</v>
      </c>
      <c r="G146" s="403"/>
      <c r="H146" s="485">
        <f t="shared" si="6"/>
        <v>0</v>
      </c>
      <c r="K146" s="556"/>
    </row>
    <row r="147" spans="1:11" hidden="1" outlineLevel="1" x14ac:dyDescent="0.2">
      <c r="A147" s="307" t="s">
        <v>254</v>
      </c>
      <c r="B147" s="308"/>
      <c r="C147" s="309"/>
      <c r="D147" s="309"/>
      <c r="E147" s="402" t="s">
        <v>195</v>
      </c>
      <c r="F147" s="409" t="s">
        <v>196</v>
      </c>
      <c r="G147" s="403"/>
      <c r="H147" s="485">
        <f t="shared" si="6"/>
        <v>0</v>
      </c>
      <c r="K147" s="556"/>
    </row>
    <row r="148" spans="1:11" hidden="1" outlineLevel="1" x14ac:dyDescent="0.2">
      <c r="A148" s="307" t="s">
        <v>254</v>
      </c>
      <c r="B148" s="308"/>
      <c r="C148" s="309"/>
      <c r="D148" s="309"/>
      <c r="E148" s="402" t="s">
        <v>197</v>
      </c>
      <c r="F148" s="409" t="s">
        <v>198</v>
      </c>
      <c r="G148" s="403"/>
      <c r="H148" s="485">
        <f t="shared" si="6"/>
        <v>0</v>
      </c>
      <c r="K148" s="556"/>
    </row>
    <row r="149" spans="1:11" hidden="1" outlineLevel="1" x14ac:dyDescent="0.2">
      <c r="A149" s="307" t="s">
        <v>254</v>
      </c>
      <c r="B149" s="308"/>
      <c r="C149" s="309"/>
      <c r="D149" s="309"/>
      <c r="E149" s="402" t="s">
        <v>199</v>
      </c>
      <c r="F149" s="409" t="s">
        <v>200</v>
      </c>
      <c r="G149" s="403"/>
      <c r="H149" s="485">
        <f t="shared" si="6"/>
        <v>0</v>
      </c>
      <c r="K149" s="556"/>
    </row>
    <row r="150" spans="1:11" hidden="1" outlineLevel="1" x14ac:dyDescent="0.2">
      <c r="A150" s="307" t="s">
        <v>254</v>
      </c>
      <c r="B150" s="308"/>
      <c r="C150" s="309"/>
      <c r="D150" s="309"/>
      <c r="E150" s="402" t="s">
        <v>256</v>
      </c>
      <c r="F150" s="409" t="s">
        <v>257</v>
      </c>
      <c r="G150" s="403"/>
      <c r="H150" s="485">
        <f t="shared" si="6"/>
        <v>0</v>
      </c>
      <c r="K150" s="556"/>
    </row>
    <row r="151" spans="1:11" hidden="1" outlineLevel="1" x14ac:dyDescent="0.2">
      <c r="A151" s="307" t="s">
        <v>254</v>
      </c>
      <c r="B151" s="308"/>
      <c r="C151" s="309"/>
      <c r="D151" s="309"/>
      <c r="E151" s="402" t="s">
        <v>258</v>
      </c>
      <c r="F151" s="409" t="s">
        <v>259</v>
      </c>
      <c r="G151" s="403"/>
      <c r="H151" s="485">
        <f t="shared" si="6"/>
        <v>0</v>
      </c>
      <c r="K151" s="556"/>
    </row>
    <row r="152" spans="1:11" hidden="1" outlineLevel="1" x14ac:dyDescent="0.2">
      <c r="A152" s="307" t="s">
        <v>254</v>
      </c>
      <c r="B152" s="308"/>
      <c r="C152" s="309"/>
      <c r="D152" s="309"/>
      <c r="E152" s="402" t="s">
        <v>260</v>
      </c>
      <c r="F152" s="409" t="s">
        <v>261</v>
      </c>
      <c r="G152" s="403"/>
      <c r="H152" s="485">
        <f t="shared" si="6"/>
        <v>0</v>
      </c>
      <c r="K152" s="556"/>
    </row>
    <row r="153" spans="1:11" hidden="1" outlineLevel="1" x14ac:dyDescent="0.2">
      <c r="A153" s="307" t="s">
        <v>254</v>
      </c>
      <c r="B153" s="308"/>
      <c r="C153" s="309"/>
      <c r="D153" s="309"/>
      <c r="E153" s="402" t="s">
        <v>262</v>
      </c>
      <c r="F153" s="409" t="s">
        <v>263</v>
      </c>
      <c r="G153" s="403"/>
      <c r="H153" s="485">
        <f t="shared" si="6"/>
        <v>0</v>
      </c>
      <c r="K153" s="556"/>
    </row>
    <row r="154" spans="1:11" hidden="1" outlineLevel="1" x14ac:dyDescent="0.2">
      <c r="A154" s="307" t="s">
        <v>254</v>
      </c>
      <c r="B154" s="308"/>
      <c r="C154" s="309"/>
      <c r="D154" s="309"/>
      <c r="E154" s="402" t="s">
        <v>264</v>
      </c>
      <c r="F154" s="409" t="s">
        <v>265</v>
      </c>
      <c r="G154" s="403"/>
      <c r="H154" s="485">
        <f t="shared" si="6"/>
        <v>0</v>
      </c>
      <c r="K154" s="556"/>
    </row>
    <row r="155" spans="1:11" ht="13.5" hidden="1" outlineLevel="1" thickBot="1" x14ac:dyDescent="0.25">
      <c r="A155" s="307" t="s">
        <v>254</v>
      </c>
      <c r="B155" s="308"/>
      <c r="C155" s="309"/>
      <c r="D155" s="309"/>
      <c r="E155" s="353" t="s">
        <v>266</v>
      </c>
      <c r="F155" s="409" t="s">
        <v>267</v>
      </c>
      <c r="G155" s="657">
        <v>184.26</v>
      </c>
      <c r="H155" s="485">
        <f t="shared" si="6"/>
        <v>0</v>
      </c>
      <c r="K155" s="556"/>
    </row>
    <row r="156" spans="1:11" ht="13.5" hidden="1" outlineLevel="1" thickBot="1" x14ac:dyDescent="0.25">
      <c r="A156" s="295"/>
      <c r="B156" s="320"/>
      <c r="C156" s="404"/>
      <c r="D156" s="404"/>
      <c r="E156" s="405"/>
      <c r="F156" s="406" t="s">
        <v>268</v>
      </c>
      <c r="G156" s="407"/>
      <c r="H156" s="486"/>
    </row>
    <row r="157" spans="1:11" hidden="1" outlineLevel="1" x14ac:dyDescent="0.2">
      <c r="A157" s="307" t="s">
        <v>254</v>
      </c>
      <c r="B157" s="308"/>
      <c r="C157" s="309"/>
      <c r="D157" s="309"/>
      <c r="E157" s="402" t="s">
        <v>217</v>
      </c>
      <c r="F157" s="402" t="s">
        <v>269</v>
      </c>
      <c r="G157" s="403"/>
      <c r="H157" s="485">
        <f t="shared" ref="H157:H158" si="7">B157*G157</f>
        <v>0</v>
      </c>
    </row>
    <row r="158" spans="1:11" ht="13.5" hidden="1" outlineLevel="1" thickBot="1" x14ac:dyDescent="0.25">
      <c r="A158" s="307" t="s">
        <v>254</v>
      </c>
      <c r="B158" s="308"/>
      <c r="C158" s="309"/>
      <c r="D158" s="309"/>
      <c r="E158" s="402" t="s">
        <v>219</v>
      </c>
      <c r="F158" s="402" t="s">
        <v>220</v>
      </c>
      <c r="G158" s="403"/>
      <c r="H158" s="485">
        <f t="shared" si="7"/>
        <v>0</v>
      </c>
      <c r="K158" s="557"/>
    </row>
    <row r="159" spans="1:11" ht="13.5" hidden="1" outlineLevel="1" thickBot="1" x14ac:dyDescent="0.25">
      <c r="A159" s="295"/>
      <c r="B159" s="320"/>
      <c r="C159" s="404"/>
      <c r="D159" s="404"/>
      <c r="E159" s="635"/>
      <c r="F159" s="406" t="s">
        <v>270</v>
      </c>
      <c r="G159" s="412"/>
      <c r="H159" s="486"/>
    </row>
    <row r="160" spans="1:11" hidden="1" outlineLevel="1" x14ac:dyDescent="0.2">
      <c r="A160" s="313" t="s">
        <v>254</v>
      </c>
      <c r="B160" s="308"/>
      <c r="C160" s="309"/>
      <c r="D160" s="309"/>
      <c r="E160" s="402" t="s">
        <v>224</v>
      </c>
      <c r="F160" s="402" t="s">
        <v>225</v>
      </c>
      <c r="G160" s="403"/>
      <c r="H160" s="485">
        <f t="shared" ref="H160:H169" si="8">B160*G160</f>
        <v>0</v>
      </c>
    </row>
    <row r="161" spans="1:11" hidden="1" outlineLevel="1" x14ac:dyDescent="0.2">
      <c r="A161" s="313" t="s">
        <v>254</v>
      </c>
      <c r="B161" s="308"/>
      <c r="C161" s="309"/>
      <c r="D161" s="309"/>
      <c r="E161" s="402" t="s">
        <v>226</v>
      </c>
      <c r="F161" s="402" t="s">
        <v>227</v>
      </c>
      <c r="G161" s="403"/>
      <c r="H161" s="485">
        <f t="shared" si="8"/>
        <v>0</v>
      </c>
    </row>
    <row r="162" spans="1:11" hidden="1" outlineLevel="1" x14ac:dyDescent="0.2">
      <c r="A162" s="313" t="s">
        <v>254</v>
      </c>
      <c r="B162" s="308"/>
      <c r="C162" s="309"/>
      <c r="D162" s="309"/>
      <c r="E162" s="402" t="s">
        <v>228</v>
      </c>
      <c r="F162" s="402" t="s">
        <v>229</v>
      </c>
      <c r="G162" s="403"/>
      <c r="H162" s="485">
        <f t="shared" si="8"/>
        <v>0</v>
      </c>
    </row>
    <row r="163" spans="1:11" hidden="1" outlineLevel="1" x14ac:dyDescent="0.2">
      <c r="A163" s="313" t="s">
        <v>254</v>
      </c>
      <c r="B163" s="308"/>
      <c r="C163" s="309"/>
      <c r="D163" s="309"/>
      <c r="E163" s="353" t="s">
        <v>230</v>
      </c>
      <c r="F163" s="402" t="s">
        <v>231</v>
      </c>
      <c r="G163" s="655">
        <v>166.09</v>
      </c>
      <c r="H163" s="485">
        <f t="shared" si="8"/>
        <v>0</v>
      </c>
    </row>
    <row r="164" spans="1:11" hidden="1" outlineLevel="1" x14ac:dyDescent="0.2">
      <c r="A164" s="313" t="s">
        <v>254</v>
      </c>
      <c r="B164" s="308"/>
      <c r="C164" s="309"/>
      <c r="D164" s="309"/>
      <c r="E164" s="353" t="s">
        <v>242</v>
      </c>
      <c r="F164" s="402" t="s">
        <v>243</v>
      </c>
      <c r="G164" s="655">
        <v>3.29</v>
      </c>
      <c r="H164" s="485">
        <f t="shared" si="8"/>
        <v>0</v>
      </c>
    </row>
    <row r="165" spans="1:11" hidden="1" outlineLevel="1" x14ac:dyDescent="0.2">
      <c r="A165" s="313" t="s">
        <v>254</v>
      </c>
      <c r="B165" s="659"/>
      <c r="C165" s="315"/>
      <c r="D165" s="315"/>
      <c r="E165" s="410" t="s">
        <v>222</v>
      </c>
      <c r="F165" s="410" t="s">
        <v>223</v>
      </c>
      <c r="G165" s="411"/>
      <c r="H165" s="485">
        <f t="shared" si="8"/>
        <v>0</v>
      </c>
    </row>
    <row r="166" spans="1:11" hidden="1" outlineLevel="1" x14ac:dyDescent="0.2">
      <c r="A166" s="313" t="s">
        <v>114</v>
      </c>
      <c r="B166" s="314"/>
      <c r="C166" s="315"/>
      <c r="D166" s="315"/>
      <c r="E166" s="316" t="s">
        <v>244</v>
      </c>
      <c r="F166" s="317" t="s">
        <v>245</v>
      </c>
      <c r="G166" s="413"/>
      <c r="H166" s="485">
        <f t="shared" si="8"/>
        <v>0</v>
      </c>
    </row>
    <row r="167" spans="1:11" hidden="1" outlineLevel="1" x14ac:dyDescent="0.2">
      <c r="A167" s="313" t="s">
        <v>114</v>
      </c>
      <c r="B167" s="314"/>
      <c r="C167" s="315"/>
      <c r="D167" s="315"/>
      <c r="E167" s="316" t="s">
        <v>246</v>
      </c>
      <c r="F167" s="317" t="s">
        <v>247</v>
      </c>
      <c r="G167" s="413"/>
      <c r="H167" s="485">
        <f t="shared" si="8"/>
        <v>0</v>
      </c>
    </row>
    <row r="168" spans="1:11" hidden="1" outlineLevel="1" x14ac:dyDescent="0.2">
      <c r="A168" s="313" t="s">
        <v>114</v>
      </c>
      <c r="B168" s="314"/>
      <c r="C168" s="315"/>
      <c r="D168" s="315"/>
      <c r="E168" s="316" t="s">
        <v>271</v>
      </c>
      <c r="F168" s="317" t="s">
        <v>272</v>
      </c>
      <c r="G168" s="413"/>
      <c r="H168" s="485">
        <f t="shared" si="8"/>
        <v>0</v>
      </c>
    </row>
    <row r="169" spans="1:11" ht="13.5" hidden="1" outlineLevel="1" thickBot="1" x14ac:dyDescent="0.25">
      <c r="A169" s="313" t="s">
        <v>114</v>
      </c>
      <c r="B169" s="314"/>
      <c r="C169" s="315"/>
      <c r="D169" s="315"/>
      <c r="E169" s="316" t="s">
        <v>248</v>
      </c>
      <c r="F169" s="317" t="s">
        <v>249</v>
      </c>
      <c r="G169" s="413"/>
      <c r="H169" s="485">
        <f t="shared" si="8"/>
        <v>0</v>
      </c>
    </row>
    <row r="170" spans="1:11" ht="13.5" hidden="1" outlineLevel="1" thickBot="1" x14ac:dyDescent="0.25">
      <c r="A170" s="295"/>
      <c r="B170" s="320"/>
      <c r="C170" s="404"/>
      <c r="D170" s="404"/>
      <c r="E170" s="405"/>
      <c r="F170" s="326" t="s">
        <v>273</v>
      </c>
      <c r="G170" s="414"/>
      <c r="H170" s="495">
        <f>SUM(H107:H169)</f>
        <v>0</v>
      </c>
    </row>
    <row r="171" spans="1:11" ht="13.5" hidden="1" outlineLevel="1" thickBot="1" x14ac:dyDescent="0.25">
      <c r="A171" s="295"/>
      <c r="B171" s="320"/>
      <c r="C171" s="404"/>
      <c r="D171" s="404"/>
      <c r="E171" s="405"/>
      <c r="F171" s="415" t="s">
        <v>274</v>
      </c>
      <c r="G171" s="416"/>
      <c r="H171" s="495">
        <f>H170*(H1+H2)</f>
        <v>0</v>
      </c>
    </row>
    <row r="172" spans="1:11" ht="13.5" hidden="1" outlineLevel="1" thickBot="1" x14ac:dyDescent="0.25">
      <c r="A172" s="295"/>
      <c r="B172" s="320"/>
      <c r="C172" s="404"/>
      <c r="D172" s="404"/>
      <c r="E172" s="405"/>
      <c r="F172" s="417" t="s">
        <v>275</v>
      </c>
      <c r="G172" s="327"/>
      <c r="H172" s="496">
        <f>H171+H170</f>
        <v>0</v>
      </c>
    </row>
    <row r="173" spans="1:11" ht="13.5" collapsed="1" thickBot="1" x14ac:dyDescent="0.25">
      <c r="A173" s="418" t="s">
        <v>276</v>
      </c>
      <c r="B173" s="419"/>
      <c r="C173" s="420"/>
      <c r="D173" s="420"/>
      <c r="E173" s="421"/>
      <c r="F173" s="333"/>
      <c r="G173" s="334"/>
      <c r="H173" s="335"/>
    </row>
    <row r="174" spans="1:11" ht="13.5" thickBot="1" x14ac:dyDescent="0.25">
      <c r="A174" s="336"/>
      <c r="B174" s="483" t="s">
        <v>393</v>
      </c>
      <c r="C174" s="422"/>
      <c r="D174" s="422"/>
      <c r="E174" s="338"/>
      <c r="F174" s="339" t="s">
        <v>277</v>
      </c>
      <c r="G174" s="340"/>
      <c r="H174" s="341"/>
    </row>
    <row r="175" spans="1:11" outlineLevel="1" x14ac:dyDescent="0.2">
      <c r="A175" s="342" t="s">
        <v>278</v>
      </c>
      <c r="B175" s="502">
        <f>'CABLE SHEET'!D3</f>
        <v>7927</v>
      </c>
      <c r="C175" s="344"/>
      <c r="D175" s="344"/>
      <c r="E175" s="353" t="s">
        <v>117</v>
      </c>
      <c r="F175" s="346" t="s">
        <v>118</v>
      </c>
      <c r="G175" s="641">
        <v>0.31</v>
      </c>
      <c r="H175" s="488">
        <f t="shared" ref="H175:H181" si="9">B175*G175</f>
        <v>2457.37</v>
      </c>
      <c r="J175" s="497"/>
      <c r="K175" s="554"/>
    </row>
    <row r="176" spans="1:11" outlineLevel="1" x14ac:dyDescent="0.2">
      <c r="A176" s="342" t="s">
        <v>278</v>
      </c>
      <c r="B176" s="502"/>
      <c r="C176" s="344"/>
      <c r="D176" s="344"/>
      <c r="E176" s="345" t="s">
        <v>119</v>
      </c>
      <c r="F176" s="346" t="s">
        <v>118</v>
      </c>
      <c r="G176" s="494">
        <v>0.6</v>
      </c>
      <c r="H176" s="488">
        <f t="shared" si="9"/>
        <v>0</v>
      </c>
      <c r="J176" s="497"/>
      <c r="K176" s="554"/>
    </row>
    <row r="177" spans="1:11" outlineLevel="1" x14ac:dyDescent="0.2">
      <c r="A177" s="342" t="s">
        <v>278</v>
      </c>
      <c r="B177" s="502">
        <f>'CABLE SHEET'!D4</f>
        <v>3394</v>
      </c>
      <c r="C177" s="344"/>
      <c r="D177" s="344"/>
      <c r="E177" s="353" t="s">
        <v>120</v>
      </c>
      <c r="F177" s="346" t="s">
        <v>121</v>
      </c>
      <c r="G177" s="641">
        <v>0.62</v>
      </c>
      <c r="H177" s="488">
        <f t="shared" si="9"/>
        <v>2104.2800000000002</v>
      </c>
      <c r="J177" s="497"/>
      <c r="K177" s="554"/>
    </row>
    <row r="178" spans="1:11" outlineLevel="1" x14ac:dyDescent="0.2">
      <c r="A178" s="342" t="s">
        <v>278</v>
      </c>
      <c r="B178" s="502">
        <f>'CABLE SHEET'!D5</f>
        <v>5998</v>
      </c>
      <c r="C178" s="344"/>
      <c r="D178" s="344"/>
      <c r="E178" s="353" t="s">
        <v>122</v>
      </c>
      <c r="F178" s="636" t="s">
        <v>123</v>
      </c>
      <c r="G178" s="641">
        <v>0.98</v>
      </c>
      <c r="H178" s="488">
        <f t="shared" si="9"/>
        <v>5878.04</v>
      </c>
      <c r="K178" s="554"/>
    </row>
    <row r="179" spans="1:11" outlineLevel="1" x14ac:dyDescent="0.2">
      <c r="A179" s="342" t="s">
        <v>278</v>
      </c>
      <c r="B179" s="343"/>
      <c r="C179" s="344"/>
      <c r="D179" s="344"/>
      <c r="E179" s="345" t="s">
        <v>124</v>
      </c>
      <c r="F179" s="346" t="s">
        <v>125</v>
      </c>
      <c r="G179" s="494">
        <v>1.7</v>
      </c>
      <c r="H179" s="488">
        <f t="shared" si="9"/>
        <v>0</v>
      </c>
      <c r="J179" s="497"/>
      <c r="K179" s="554"/>
    </row>
    <row r="180" spans="1:11" outlineLevel="1" x14ac:dyDescent="0.2">
      <c r="A180" s="342" t="s">
        <v>278</v>
      </c>
      <c r="B180" s="638">
        <f>'CABLE SHEET'!D6</f>
        <v>0</v>
      </c>
      <c r="C180" s="344"/>
      <c r="D180" s="344"/>
      <c r="E180" s="353" t="s">
        <v>126</v>
      </c>
      <c r="F180" s="346" t="s">
        <v>127</v>
      </c>
      <c r="G180" s="641">
        <v>1.55</v>
      </c>
      <c r="H180" s="488">
        <f t="shared" si="9"/>
        <v>0</v>
      </c>
      <c r="K180" s="554"/>
    </row>
    <row r="181" spans="1:11" ht="13.5" outlineLevel="1" thickBot="1" x14ac:dyDescent="0.25">
      <c r="A181" s="342" t="s">
        <v>278</v>
      </c>
      <c r="B181" s="502">
        <f>'CABLE SHEET'!D7</f>
        <v>0</v>
      </c>
      <c r="C181" s="344"/>
      <c r="D181" s="344"/>
      <c r="E181" s="353" t="s">
        <v>128</v>
      </c>
      <c r="F181" s="346" t="s">
        <v>129</v>
      </c>
      <c r="G181" s="641">
        <v>3.6</v>
      </c>
      <c r="H181" s="488">
        <f t="shared" si="9"/>
        <v>0</v>
      </c>
      <c r="J181" s="497"/>
      <c r="K181" s="554"/>
    </row>
    <row r="182" spans="1:11" ht="13.5" outlineLevel="1" thickBot="1" x14ac:dyDescent="0.25">
      <c r="A182" s="336"/>
      <c r="B182" s="356"/>
      <c r="C182" s="357"/>
      <c r="D182" s="357"/>
      <c r="E182" s="363"/>
      <c r="F182" s="359" t="s">
        <v>279</v>
      </c>
      <c r="G182" s="364"/>
      <c r="H182" s="361"/>
      <c r="K182" s="556"/>
    </row>
    <row r="183" spans="1:11" outlineLevel="1" x14ac:dyDescent="0.2">
      <c r="A183" s="342" t="s">
        <v>278</v>
      </c>
      <c r="B183" s="343"/>
      <c r="C183" s="344"/>
      <c r="D183" s="344"/>
      <c r="E183" s="345" t="s">
        <v>131</v>
      </c>
      <c r="F183" s="346" t="s">
        <v>132</v>
      </c>
      <c r="G183" s="347"/>
      <c r="H183" s="488">
        <f t="shared" ref="H183:H223" si="10">B183*G183</f>
        <v>0</v>
      </c>
      <c r="K183" s="556"/>
    </row>
    <row r="184" spans="1:11" outlineLevel="1" x14ac:dyDescent="0.2">
      <c r="A184" s="342" t="s">
        <v>278</v>
      </c>
      <c r="B184" s="343"/>
      <c r="C184" s="344"/>
      <c r="D184" s="344"/>
      <c r="E184" s="345" t="s">
        <v>133</v>
      </c>
      <c r="F184" s="346" t="s">
        <v>134</v>
      </c>
      <c r="G184" s="347"/>
      <c r="H184" s="488">
        <f t="shared" si="10"/>
        <v>0</v>
      </c>
      <c r="K184" s="556"/>
    </row>
    <row r="185" spans="1:11" outlineLevel="1" x14ac:dyDescent="0.2">
      <c r="A185" s="342" t="s">
        <v>278</v>
      </c>
      <c r="B185" s="343"/>
      <c r="C185" s="344"/>
      <c r="D185" s="344"/>
      <c r="E185" s="345" t="s">
        <v>135</v>
      </c>
      <c r="F185" s="346" t="s">
        <v>136</v>
      </c>
      <c r="G185" s="347"/>
      <c r="H185" s="488">
        <f t="shared" si="10"/>
        <v>0</v>
      </c>
      <c r="K185" s="556"/>
    </row>
    <row r="186" spans="1:11" outlineLevel="1" x14ac:dyDescent="0.2">
      <c r="A186" s="342" t="s">
        <v>278</v>
      </c>
      <c r="B186" s="343"/>
      <c r="C186" s="344"/>
      <c r="D186" s="344"/>
      <c r="E186" s="345" t="s">
        <v>137</v>
      </c>
      <c r="F186" s="346" t="s">
        <v>138</v>
      </c>
      <c r="G186" s="347"/>
      <c r="H186" s="488">
        <f t="shared" si="10"/>
        <v>0</v>
      </c>
      <c r="K186" s="556"/>
    </row>
    <row r="187" spans="1:11" outlineLevel="1" x14ac:dyDescent="0.2">
      <c r="A187" s="342" t="s">
        <v>278</v>
      </c>
      <c r="B187" s="343"/>
      <c r="C187" s="344"/>
      <c r="D187" s="344"/>
      <c r="E187" s="345" t="s">
        <v>139</v>
      </c>
      <c r="F187" s="346" t="s">
        <v>140</v>
      </c>
      <c r="G187" s="347"/>
      <c r="H187" s="488">
        <f t="shared" si="10"/>
        <v>0</v>
      </c>
      <c r="K187" s="556"/>
    </row>
    <row r="188" spans="1:11" outlineLevel="1" x14ac:dyDescent="0.2">
      <c r="A188" s="342" t="s">
        <v>278</v>
      </c>
      <c r="B188" s="343"/>
      <c r="C188" s="344"/>
      <c r="D188" s="344"/>
      <c r="E188" s="345" t="s">
        <v>141</v>
      </c>
      <c r="F188" s="346" t="s">
        <v>142</v>
      </c>
      <c r="G188" s="347"/>
      <c r="H188" s="488">
        <f t="shared" si="10"/>
        <v>0</v>
      </c>
      <c r="K188" s="556"/>
    </row>
    <row r="189" spans="1:11" outlineLevel="1" x14ac:dyDescent="0.2">
      <c r="A189" s="342" t="s">
        <v>278</v>
      </c>
      <c r="B189" s="343"/>
      <c r="C189" s="344"/>
      <c r="D189" s="344"/>
      <c r="E189" s="345" t="s">
        <v>143</v>
      </c>
      <c r="F189" s="346" t="s">
        <v>144</v>
      </c>
      <c r="G189" s="347"/>
      <c r="H189" s="488">
        <f t="shared" si="10"/>
        <v>0</v>
      </c>
      <c r="K189" s="556"/>
    </row>
    <row r="190" spans="1:11" outlineLevel="1" x14ac:dyDescent="0.2">
      <c r="A190" s="342" t="s">
        <v>278</v>
      </c>
      <c r="B190" s="343"/>
      <c r="C190" s="344"/>
      <c r="D190" s="344"/>
      <c r="E190" s="345" t="s">
        <v>145</v>
      </c>
      <c r="F190" s="346" t="s">
        <v>146</v>
      </c>
      <c r="G190" s="347"/>
      <c r="H190" s="488">
        <f t="shared" si="10"/>
        <v>0</v>
      </c>
      <c r="K190" s="556"/>
    </row>
    <row r="191" spans="1:11" outlineLevel="1" x14ac:dyDescent="0.2">
      <c r="A191" s="342" t="s">
        <v>278</v>
      </c>
      <c r="B191" s="343"/>
      <c r="C191" s="344"/>
      <c r="D191" s="344"/>
      <c r="E191" s="345" t="s">
        <v>147</v>
      </c>
      <c r="F191" s="346" t="s">
        <v>148</v>
      </c>
      <c r="G191" s="347"/>
      <c r="H191" s="488">
        <f t="shared" si="10"/>
        <v>0</v>
      </c>
      <c r="K191" s="556"/>
    </row>
    <row r="192" spans="1:11" outlineLevel="1" x14ac:dyDescent="0.2">
      <c r="A192" s="342" t="s">
        <v>278</v>
      </c>
      <c r="B192" s="343"/>
      <c r="C192" s="344"/>
      <c r="D192" s="344"/>
      <c r="E192" s="345" t="s">
        <v>149</v>
      </c>
      <c r="F192" s="346" t="s">
        <v>150</v>
      </c>
      <c r="G192" s="347"/>
      <c r="H192" s="488">
        <f t="shared" si="10"/>
        <v>0</v>
      </c>
      <c r="K192" s="556"/>
    </row>
    <row r="193" spans="1:11" outlineLevel="1" x14ac:dyDescent="0.2">
      <c r="A193" s="342" t="s">
        <v>278</v>
      </c>
      <c r="B193" s="343"/>
      <c r="C193" s="344"/>
      <c r="D193" s="344"/>
      <c r="E193" s="345" t="s">
        <v>151</v>
      </c>
      <c r="F193" s="346" t="s">
        <v>152</v>
      </c>
      <c r="G193" s="347"/>
      <c r="H193" s="488">
        <f t="shared" si="10"/>
        <v>0</v>
      </c>
      <c r="K193" s="556"/>
    </row>
    <row r="194" spans="1:11" outlineLevel="1" x14ac:dyDescent="0.2">
      <c r="A194" s="342" t="s">
        <v>278</v>
      </c>
      <c r="B194" s="343"/>
      <c r="C194" s="344"/>
      <c r="D194" s="344"/>
      <c r="E194" s="345" t="s">
        <v>153</v>
      </c>
      <c r="F194" s="346" t="s">
        <v>154</v>
      </c>
      <c r="G194" s="347"/>
      <c r="H194" s="488">
        <f t="shared" si="10"/>
        <v>0</v>
      </c>
      <c r="K194" s="556"/>
    </row>
    <row r="195" spans="1:11" outlineLevel="1" x14ac:dyDescent="0.2">
      <c r="A195" s="342" t="s">
        <v>278</v>
      </c>
      <c r="B195" s="343"/>
      <c r="C195" s="344"/>
      <c r="D195" s="344"/>
      <c r="E195" s="345" t="s">
        <v>155</v>
      </c>
      <c r="F195" s="346" t="s">
        <v>156</v>
      </c>
      <c r="G195" s="347"/>
      <c r="H195" s="488">
        <f t="shared" si="10"/>
        <v>0</v>
      </c>
      <c r="K195" s="556"/>
    </row>
    <row r="196" spans="1:11" outlineLevel="1" x14ac:dyDescent="0.2">
      <c r="A196" s="342" t="s">
        <v>278</v>
      </c>
      <c r="B196" s="343"/>
      <c r="C196" s="344"/>
      <c r="D196" s="344"/>
      <c r="E196" s="345" t="s">
        <v>157</v>
      </c>
      <c r="F196" s="346" t="s">
        <v>158</v>
      </c>
      <c r="G196" s="347"/>
      <c r="H196" s="488">
        <f t="shared" si="10"/>
        <v>0</v>
      </c>
      <c r="K196" s="556"/>
    </row>
    <row r="197" spans="1:11" outlineLevel="1" x14ac:dyDescent="0.2">
      <c r="A197" s="342" t="s">
        <v>278</v>
      </c>
      <c r="B197" s="343"/>
      <c r="C197" s="344"/>
      <c r="D197" s="344"/>
      <c r="E197" s="345" t="s">
        <v>159</v>
      </c>
      <c r="F197" s="346" t="s">
        <v>160</v>
      </c>
      <c r="G197" s="347"/>
      <c r="H197" s="488">
        <f t="shared" si="10"/>
        <v>0</v>
      </c>
      <c r="K197" s="556"/>
    </row>
    <row r="198" spans="1:11" outlineLevel="1" x14ac:dyDescent="0.2">
      <c r="A198" s="342" t="s">
        <v>278</v>
      </c>
      <c r="B198" s="343"/>
      <c r="C198" s="344"/>
      <c r="D198" s="344"/>
      <c r="E198" s="345" t="s">
        <v>161</v>
      </c>
      <c r="F198" s="346" t="s">
        <v>162</v>
      </c>
      <c r="G198" s="347"/>
      <c r="H198" s="488">
        <f t="shared" si="10"/>
        <v>0</v>
      </c>
      <c r="K198" s="556"/>
    </row>
    <row r="199" spans="1:11" outlineLevel="1" x14ac:dyDescent="0.2">
      <c r="A199" s="342" t="s">
        <v>278</v>
      </c>
      <c r="B199" s="343"/>
      <c r="C199" s="344"/>
      <c r="D199" s="344"/>
      <c r="E199" s="345" t="s">
        <v>163</v>
      </c>
      <c r="F199" s="346" t="s">
        <v>164</v>
      </c>
      <c r="G199" s="347"/>
      <c r="H199" s="488">
        <f t="shared" si="10"/>
        <v>0</v>
      </c>
      <c r="K199" s="556"/>
    </row>
    <row r="200" spans="1:11" outlineLevel="1" x14ac:dyDescent="0.2">
      <c r="A200" s="342" t="s">
        <v>278</v>
      </c>
      <c r="B200" s="343"/>
      <c r="C200" s="344"/>
      <c r="D200" s="344"/>
      <c r="E200" s="345" t="s">
        <v>165</v>
      </c>
      <c r="F200" s="346" t="s">
        <v>166</v>
      </c>
      <c r="G200" s="347"/>
      <c r="H200" s="488">
        <f t="shared" si="10"/>
        <v>0</v>
      </c>
      <c r="K200" s="556"/>
    </row>
    <row r="201" spans="1:11" outlineLevel="1" x14ac:dyDescent="0.2">
      <c r="A201" s="342" t="s">
        <v>278</v>
      </c>
      <c r="B201" s="343"/>
      <c r="C201" s="344"/>
      <c r="D201" s="344"/>
      <c r="E201" s="345" t="s">
        <v>167</v>
      </c>
      <c r="F201" s="346" t="s">
        <v>168</v>
      </c>
      <c r="G201" s="347"/>
      <c r="H201" s="488">
        <f t="shared" si="10"/>
        <v>0</v>
      </c>
      <c r="K201" s="556"/>
    </row>
    <row r="202" spans="1:11" outlineLevel="1" x14ac:dyDescent="0.2">
      <c r="A202" s="342" t="s">
        <v>278</v>
      </c>
      <c r="B202" s="343"/>
      <c r="C202" s="344"/>
      <c r="D202" s="344"/>
      <c r="E202" s="345" t="s">
        <v>169</v>
      </c>
      <c r="F202" s="346" t="s">
        <v>170</v>
      </c>
      <c r="G202" s="347"/>
      <c r="H202" s="488">
        <f t="shared" si="10"/>
        <v>0</v>
      </c>
      <c r="K202" s="556"/>
    </row>
    <row r="203" spans="1:11" outlineLevel="1" x14ac:dyDescent="0.2">
      <c r="A203" s="342" t="s">
        <v>278</v>
      </c>
      <c r="B203" s="343"/>
      <c r="C203" s="344"/>
      <c r="D203" s="344"/>
      <c r="E203" s="345" t="s">
        <v>171</v>
      </c>
      <c r="F203" s="346" t="s">
        <v>172</v>
      </c>
      <c r="G203" s="347"/>
      <c r="H203" s="488">
        <f t="shared" si="10"/>
        <v>0</v>
      </c>
      <c r="K203" s="556"/>
    </row>
    <row r="204" spans="1:11" outlineLevel="1" x14ac:dyDescent="0.2">
      <c r="A204" s="342" t="s">
        <v>278</v>
      </c>
      <c r="B204" s="343"/>
      <c r="C204" s="344"/>
      <c r="D204" s="344"/>
      <c r="E204" s="345" t="s">
        <v>173</v>
      </c>
      <c r="F204" s="346" t="s">
        <v>174</v>
      </c>
      <c r="G204" s="347"/>
      <c r="H204" s="488">
        <f t="shared" si="10"/>
        <v>0</v>
      </c>
      <c r="K204" s="556"/>
    </row>
    <row r="205" spans="1:11" outlineLevel="1" x14ac:dyDescent="0.2">
      <c r="A205" s="342" t="s">
        <v>278</v>
      </c>
      <c r="B205" s="343"/>
      <c r="C205" s="344"/>
      <c r="D205" s="344"/>
      <c r="E205" s="345" t="s">
        <v>175</v>
      </c>
      <c r="F205" s="346" t="s">
        <v>176</v>
      </c>
      <c r="G205" s="347"/>
      <c r="H205" s="488">
        <f t="shared" si="10"/>
        <v>0</v>
      </c>
      <c r="K205" s="556"/>
    </row>
    <row r="206" spans="1:11" outlineLevel="1" x14ac:dyDescent="0.2">
      <c r="A206" s="342" t="s">
        <v>278</v>
      </c>
      <c r="B206" s="343"/>
      <c r="C206" s="344"/>
      <c r="D206" s="344"/>
      <c r="E206" s="345" t="s">
        <v>177</v>
      </c>
      <c r="F206" s="346" t="s">
        <v>178</v>
      </c>
      <c r="G206" s="347"/>
      <c r="H206" s="488">
        <f t="shared" si="10"/>
        <v>0</v>
      </c>
      <c r="K206" s="556"/>
    </row>
    <row r="207" spans="1:11" outlineLevel="1" x14ac:dyDescent="0.2">
      <c r="A207" s="342" t="s">
        <v>278</v>
      </c>
      <c r="B207" s="343"/>
      <c r="C207" s="344"/>
      <c r="D207" s="344"/>
      <c r="E207" s="345" t="s">
        <v>179</v>
      </c>
      <c r="F207" s="346" t="s">
        <v>180</v>
      </c>
      <c r="G207" s="347"/>
      <c r="H207" s="488">
        <f t="shared" si="10"/>
        <v>0</v>
      </c>
      <c r="K207" s="556"/>
    </row>
    <row r="208" spans="1:11" outlineLevel="1" x14ac:dyDescent="0.2">
      <c r="A208" s="342" t="s">
        <v>278</v>
      </c>
      <c r="B208" s="343"/>
      <c r="C208" s="344"/>
      <c r="D208" s="344"/>
      <c r="E208" s="345" t="s">
        <v>181</v>
      </c>
      <c r="F208" s="346" t="s">
        <v>182</v>
      </c>
      <c r="G208" s="347"/>
      <c r="H208" s="488">
        <f t="shared" si="10"/>
        <v>0</v>
      </c>
      <c r="K208" s="556"/>
    </row>
    <row r="209" spans="1:11" outlineLevel="1" x14ac:dyDescent="0.2">
      <c r="A209" s="342" t="s">
        <v>278</v>
      </c>
      <c r="B209" s="343"/>
      <c r="C209" s="344"/>
      <c r="D209" s="344"/>
      <c r="E209" s="345" t="s">
        <v>183</v>
      </c>
      <c r="F209" s="346" t="s">
        <v>184</v>
      </c>
      <c r="G209" s="347"/>
      <c r="H209" s="488">
        <f t="shared" si="10"/>
        <v>0</v>
      </c>
      <c r="K209" s="556"/>
    </row>
    <row r="210" spans="1:11" outlineLevel="1" x14ac:dyDescent="0.2">
      <c r="A210" s="342" t="s">
        <v>278</v>
      </c>
      <c r="B210" s="343"/>
      <c r="C210" s="344"/>
      <c r="D210" s="344"/>
      <c r="E210" s="345" t="s">
        <v>185</v>
      </c>
      <c r="F210" s="346" t="s">
        <v>186</v>
      </c>
      <c r="G210" s="347"/>
      <c r="H210" s="488">
        <f t="shared" si="10"/>
        <v>0</v>
      </c>
      <c r="K210" s="556"/>
    </row>
    <row r="211" spans="1:11" outlineLevel="1" x14ac:dyDescent="0.2">
      <c r="A211" s="342" t="s">
        <v>278</v>
      </c>
      <c r="B211" s="343"/>
      <c r="C211" s="344"/>
      <c r="D211" s="344"/>
      <c r="E211" s="345" t="s">
        <v>187</v>
      </c>
      <c r="F211" s="346" t="s">
        <v>188</v>
      </c>
      <c r="G211" s="347"/>
      <c r="H211" s="488">
        <f t="shared" si="10"/>
        <v>0</v>
      </c>
      <c r="K211" s="556"/>
    </row>
    <row r="212" spans="1:11" outlineLevel="1" x14ac:dyDescent="0.2">
      <c r="A212" s="342" t="s">
        <v>278</v>
      </c>
      <c r="B212" s="343"/>
      <c r="C212" s="344"/>
      <c r="D212" s="344"/>
      <c r="E212" s="345" t="s">
        <v>189</v>
      </c>
      <c r="F212" s="346" t="s">
        <v>190</v>
      </c>
      <c r="G212" s="347"/>
      <c r="H212" s="488">
        <f t="shared" si="10"/>
        <v>0</v>
      </c>
      <c r="K212" s="556"/>
    </row>
    <row r="213" spans="1:11" outlineLevel="1" x14ac:dyDescent="0.2">
      <c r="A213" s="342" t="s">
        <v>278</v>
      </c>
      <c r="B213" s="343"/>
      <c r="C213" s="344"/>
      <c r="D213" s="344"/>
      <c r="E213" s="345" t="s">
        <v>191</v>
      </c>
      <c r="F213" s="346" t="s">
        <v>192</v>
      </c>
      <c r="G213" s="347"/>
      <c r="H213" s="488">
        <f t="shared" si="10"/>
        <v>0</v>
      </c>
      <c r="K213" s="556"/>
    </row>
    <row r="214" spans="1:11" outlineLevel="1" x14ac:dyDescent="0.2">
      <c r="A214" s="342" t="s">
        <v>278</v>
      </c>
      <c r="B214" s="343"/>
      <c r="C214" s="344"/>
      <c r="D214" s="344"/>
      <c r="E214" s="345" t="s">
        <v>193</v>
      </c>
      <c r="F214" s="346" t="s">
        <v>194</v>
      </c>
      <c r="G214" s="347"/>
      <c r="H214" s="488">
        <f t="shared" si="10"/>
        <v>0</v>
      </c>
      <c r="K214" s="556"/>
    </row>
    <row r="215" spans="1:11" outlineLevel="1" x14ac:dyDescent="0.2">
      <c r="A215" s="342" t="s">
        <v>278</v>
      </c>
      <c r="B215" s="343"/>
      <c r="C215" s="344"/>
      <c r="D215" s="344"/>
      <c r="E215" s="345" t="s">
        <v>195</v>
      </c>
      <c r="F215" s="346" t="s">
        <v>196</v>
      </c>
      <c r="G215" s="347"/>
      <c r="H215" s="488">
        <f t="shared" si="10"/>
        <v>0</v>
      </c>
      <c r="K215" s="556"/>
    </row>
    <row r="216" spans="1:11" outlineLevel="1" x14ac:dyDescent="0.2">
      <c r="A216" s="342" t="s">
        <v>278</v>
      </c>
      <c r="B216" s="343"/>
      <c r="C216" s="344"/>
      <c r="D216" s="344"/>
      <c r="E216" s="345" t="s">
        <v>197</v>
      </c>
      <c r="F216" s="346" t="s">
        <v>198</v>
      </c>
      <c r="G216" s="347"/>
      <c r="H216" s="488">
        <f t="shared" si="10"/>
        <v>0</v>
      </c>
      <c r="K216" s="556"/>
    </row>
    <row r="217" spans="1:11" outlineLevel="1" x14ac:dyDescent="0.2">
      <c r="A217" s="342" t="s">
        <v>278</v>
      </c>
      <c r="B217" s="343"/>
      <c r="C217" s="344"/>
      <c r="D217" s="344"/>
      <c r="E217" s="345" t="s">
        <v>199</v>
      </c>
      <c r="F217" s="346" t="s">
        <v>200</v>
      </c>
      <c r="G217" s="347"/>
      <c r="H217" s="488">
        <f t="shared" si="10"/>
        <v>0</v>
      </c>
      <c r="K217" s="556"/>
    </row>
    <row r="218" spans="1:11" outlineLevel="1" x14ac:dyDescent="0.2">
      <c r="A218" s="342" t="s">
        <v>278</v>
      </c>
      <c r="B218" s="343"/>
      <c r="C218" s="344"/>
      <c r="D218" s="344"/>
      <c r="E218" s="345" t="s">
        <v>256</v>
      </c>
      <c r="F218" s="346" t="s">
        <v>257</v>
      </c>
      <c r="G218" s="347"/>
      <c r="H218" s="488">
        <f t="shared" si="10"/>
        <v>0</v>
      </c>
      <c r="K218" s="556"/>
    </row>
    <row r="219" spans="1:11" outlineLevel="1" x14ac:dyDescent="0.2">
      <c r="A219" s="342" t="s">
        <v>278</v>
      </c>
      <c r="B219" s="343"/>
      <c r="C219" s="344"/>
      <c r="D219" s="344"/>
      <c r="E219" s="345" t="s">
        <v>258</v>
      </c>
      <c r="F219" s="346" t="s">
        <v>259</v>
      </c>
      <c r="G219" s="347"/>
      <c r="H219" s="488">
        <f t="shared" si="10"/>
        <v>0</v>
      </c>
      <c r="K219" s="556"/>
    </row>
    <row r="220" spans="1:11" outlineLevel="1" x14ac:dyDescent="0.2">
      <c r="A220" s="342" t="s">
        <v>278</v>
      </c>
      <c r="B220" s="343"/>
      <c r="C220" s="344"/>
      <c r="D220" s="344"/>
      <c r="E220" s="345" t="s">
        <v>260</v>
      </c>
      <c r="F220" s="346" t="s">
        <v>261</v>
      </c>
      <c r="G220" s="347"/>
      <c r="H220" s="488">
        <f t="shared" si="10"/>
        <v>0</v>
      </c>
      <c r="K220" s="556"/>
    </row>
    <row r="221" spans="1:11" outlineLevel="1" x14ac:dyDescent="0.2">
      <c r="A221" s="342" t="s">
        <v>278</v>
      </c>
      <c r="B221" s="343"/>
      <c r="C221" s="344"/>
      <c r="D221" s="344"/>
      <c r="E221" s="345" t="s">
        <v>262</v>
      </c>
      <c r="F221" s="346" t="s">
        <v>263</v>
      </c>
      <c r="G221" s="347"/>
      <c r="H221" s="488">
        <f t="shared" si="10"/>
        <v>0</v>
      </c>
      <c r="K221" s="556"/>
    </row>
    <row r="222" spans="1:11" outlineLevel="1" x14ac:dyDescent="0.2">
      <c r="A222" s="342" t="s">
        <v>278</v>
      </c>
      <c r="B222" s="343"/>
      <c r="C222" s="344"/>
      <c r="D222" s="344"/>
      <c r="E222" s="345" t="s">
        <v>264</v>
      </c>
      <c r="F222" s="346" t="s">
        <v>265</v>
      </c>
      <c r="G222" s="347"/>
      <c r="H222" s="488">
        <f t="shared" si="10"/>
        <v>0</v>
      </c>
      <c r="K222" s="556"/>
    </row>
    <row r="223" spans="1:11" ht="13.5" outlineLevel="1" thickBot="1" x14ac:dyDescent="0.25">
      <c r="A223" s="369" t="s">
        <v>278</v>
      </c>
      <c r="B223" s="354"/>
      <c r="C223" s="355"/>
      <c r="D223" s="424"/>
      <c r="E223" s="345" t="s">
        <v>266</v>
      </c>
      <c r="F223" s="346" t="s">
        <v>267</v>
      </c>
      <c r="G223" s="372"/>
      <c r="H223" s="488">
        <f t="shared" si="10"/>
        <v>0</v>
      </c>
      <c r="K223" s="556"/>
    </row>
    <row r="224" spans="1:11" ht="13.5" outlineLevel="1" thickBot="1" x14ac:dyDescent="0.25">
      <c r="A224" s="336"/>
      <c r="B224" s="356"/>
      <c r="C224" s="357"/>
      <c r="D224" s="425"/>
      <c r="E224" s="363"/>
      <c r="F224" s="359" t="s">
        <v>280</v>
      </c>
      <c r="G224" s="364"/>
      <c r="H224" s="490"/>
    </row>
    <row r="225" spans="1:8" outlineLevel="1" x14ac:dyDescent="0.2">
      <c r="A225" s="349" t="s">
        <v>278</v>
      </c>
      <c r="B225" s="350"/>
      <c r="C225" s="351"/>
      <c r="D225" s="351"/>
      <c r="E225" s="345" t="s">
        <v>217</v>
      </c>
      <c r="F225" s="345" t="s">
        <v>269</v>
      </c>
      <c r="G225" s="347"/>
      <c r="H225" s="493">
        <f>B225*G225</f>
        <v>0</v>
      </c>
    </row>
    <row r="226" spans="1:8" ht="13.5" outlineLevel="1" thickBot="1" x14ac:dyDescent="0.25">
      <c r="A226" s="342" t="s">
        <v>278</v>
      </c>
      <c r="B226" s="343"/>
      <c r="C226" s="344"/>
      <c r="D226" s="344"/>
      <c r="E226" s="345" t="s">
        <v>219</v>
      </c>
      <c r="F226" s="345" t="s">
        <v>220</v>
      </c>
      <c r="G226" s="347"/>
      <c r="H226" s="488">
        <f>B226*G226</f>
        <v>0</v>
      </c>
    </row>
    <row r="227" spans="1:8" ht="13.5" outlineLevel="1" thickBot="1" x14ac:dyDescent="0.25">
      <c r="A227" s="336"/>
      <c r="B227" s="356"/>
      <c r="C227" s="357"/>
      <c r="D227" s="357"/>
      <c r="E227" s="426"/>
      <c r="F227" s="359" t="s">
        <v>281</v>
      </c>
      <c r="G227" s="360"/>
      <c r="H227" s="361"/>
    </row>
    <row r="228" spans="1:8" outlineLevel="1" x14ac:dyDescent="0.2">
      <c r="A228" s="342" t="s">
        <v>278</v>
      </c>
      <c r="B228" s="343"/>
      <c r="C228" s="344"/>
      <c r="D228" s="351"/>
      <c r="E228" s="345" t="s">
        <v>224</v>
      </c>
      <c r="F228" s="345" t="s">
        <v>225</v>
      </c>
      <c r="G228" s="347"/>
      <c r="H228" s="488">
        <f t="shared" ref="H228:H237" si="11">B228*G228</f>
        <v>0</v>
      </c>
    </row>
    <row r="229" spans="1:8" outlineLevel="1" x14ac:dyDescent="0.2">
      <c r="A229" s="342" t="s">
        <v>278</v>
      </c>
      <c r="B229" s="343"/>
      <c r="C229" s="344"/>
      <c r="D229" s="344"/>
      <c r="E229" s="345" t="s">
        <v>226</v>
      </c>
      <c r="F229" s="345" t="s">
        <v>227</v>
      </c>
      <c r="G229" s="347"/>
      <c r="H229" s="488">
        <f t="shared" si="11"/>
        <v>0</v>
      </c>
    </row>
    <row r="230" spans="1:8" outlineLevel="1" x14ac:dyDescent="0.2">
      <c r="A230" s="342" t="s">
        <v>278</v>
      </c>
      <c r="B230" s="343"/>
      <c r="C230" s="344"/>
      <c r="D230" s="344"/>
      <c r="E230" s="345" t="s">
        <v>228</v>
      </c>
      <c r="F230" s="345" t="s">
        <v>229</v>
      </c>
      <c r="G230" s="347"/>
      <c r="H230" s="488">
        <f t="shared" si="11"/>
        <v>0</v>
      </c>
    </row>
    <row r="231" spans="1:8" outlineLevel="1" x14ac:dyDescent="0.2">
      <c r="A231" s="342" t="s">
        <v>278</v>
      </c>
      <c r="B231" s="343">
        <v>27</v>
      </c>
      <c r="C231" s="344"/>
      <c r="D231" s="344"/>
      <c r="E231" s="353" t="s">
        <v>230</v>
      </c>
      <c r="F231" s="345" t="s">
        <v>231</v>
      </c>
      <c r="G231" s="655">
        <v>166.09</v>
      </c>
      <c r="H231" s="488">
        <f t="shared" si="11"/>
        <v>4484.43</v>
      </c>
    </row>
    <row r="232" spans="1:8" outlineLevel="1" x14ac:dyDescent="0.2">
      <c r="A232" s="342" t="s">
        <v>278</v>
      </c>
      <c r="B232" s="350">
        <v>0</v>
      </c>
      <c r="C232" s="351"/>
      <c r="D232" s="351"/>
      <c r="E232" s="353" t="s">
        <v>242</v>
      </c>
      <c r="F232" s="345" t="s">
        <v>243</v>
      </c>
      <c r="G232" s="655">
        <v>3.29</v>
      </c>
      <c r="H232" s="488">
        <f t="shared" si="11"/>
        <v>0</v>
      </c>
    </row>
    <row r="233" spans="1:8" outlineLevel="1" x14ac:dyDescent="0.2">
      <c r="A233" s="342" t="s">
        <v>278</v>
      </c>
      <c r="B233" s="428"/>
      <c r="C233" s="355"/>
      <c r="D233" s="355"/>
      <c r="E233" s="370" t="s">
        <v>222</v>
      </c>
      <c r="F233" s="370" t="s">
        <v>223</v>
      </c>
      <c r="G233" s="372"/>
      <c r="H233" s="488">
        <f t="shared" si="11"/>
        <v>0</v>
      </c>
    </row>
    <row r="234" spans="1:8" outlineLevel="1" x14ac:dyDescent="0.2">
      <c r="A234" s="342" t="s">
        <v>278</v>
      </c>
      <c r="B234" s="354"/>
      <c r="C234" s="355"/>
      <c r="D234" s="355"/>
      <c r="E234" s="373" t="s">
        <v>244</v>
      </c>
      <c r="F234" s="374" t="s">
        <v>245</v>
      </c>
      <c r="G234" s="375"/>
      <c r="H234" s="488">
        <f t="shared" si="11"/>
        <v>0</v>
      </c>
    </row>
    <row r="235" spans="1:8" outlineLevel="1" x14ac:dyDescent="0.2">
      <c r="A235" s="342" t="s">
        <v>278</v>
      </c>
      <c r="B235" s="354"/>
      <c r="C235" s="355"/>
      <c r="D235" s="355"/>
      <c r="E235" s="373" t="s">
        <v>246</v>
      </c>
      <c r="F235" s="374" t="s">
        <v>247</v>
      </c>
      <c r="G235" s="375"/>
      <c r="H235" s="488">
        <f t="shared" si="11"/>
        <v>0</v>
      </c>
    </row>
    <row r="236" spans="1:8" outlineLevel="1" x14ac:dyDescent="0.2">
      <c r="A236" s="342" t="s">
        <v>278</v>
      </c>
      <c r="B236" s="354"/>
      <c r="C236" s="355"/>
      <c r="D236" s="355"/>
      <c r="E236" s="373" t="s">
        <v>271</v>
      </c>
      <c r="F236" s="374" t="s">
        <v>272</v>
      </c>
      <c r="G236" s="375"/>
      <c r="H236" s="488">
        <f t="shared" si="11"/>
        <v>0</v>
      </c>
    </row>
    <row r="237" spans="1:8" ht="13.5" outlineLevel="1" thickBot="1" x14ac:dyDescent="0.25">
      <c r="A237" s="342" t="s">
        <v>278</v>
      </c>
      <c r="B237" s="354"/>
      <c r="C237" s="355"/>
      <c r="D237" s="355"/>
      <c r="E237" s="373" t="s">
        <v>248</v>
      </c>
      <c r="F237" s="374" t="s">
        <v>249</v>
      </c>
      <c r="G237" s="375"/>
      <c r="H237" s="488">
        <f t="shared" si="11"/>
        <v>0</v>
      </c>
    </row>
    <row r="238" spans="1:8" ht="13.5" outlineLevel="1" thickBot="1" x14ac:dyDescent="0.25">
      <c r="A238" s="336"/>
      <c r="B238" s="356" t="s">
        <v>393</v>
      </c>
      <c r="C238" s="357"/>
      <c r="D238" s="357"/>
      <c r="E238" s="380"/>
      <c r="F238" s="339" t="s">
        <v>282</v>
      </c>
      <c r="G238" s="429"/>
      <c r="H238" s="491">
        <f>SUM(H175:H237)</f>
        <v>14924.119999999999</v>
      </c>
    </row>
    <row r="239" spans="1:8" ht="13.5" outlineLevel="1" thickBot="1" x14ac:dyDescent="0.25">
      <c r="A239" s="336"/>
      <c r="B239" s="356" t="s">
        <v>393</v>
      </c>
      <c r="C239" s="357"/>
      <c r="D239" s="357"/>
      <c r="E239" s="380"/>
      <c r="F239" s="339" t="s">
        <v>283</v>
      </c>
      <c r="G239" s="429"/>
      <c r="H239" s="491">
        <f>H238*(H1+H2)</f>
        <v>2238.6180000000004</v>
      </c>
    </row>
    <row r="240" spans="1:8" ht="13.5" outlineLevel="1" thickBot="1" x14ac:dyDescent="0.25">
      <c r="A240" s="336"/>
      <c r="B240" s="356" t="s">
        <v>393</v>
      </c>
      <c r="C240" s="357"/>
      <c r="D240" s="357"/>
      <c r="E240" s="380"/>
      <c r="F240" s="393" t="s">
        <v>282</v>
      </c>
      <c r="G240" s="387"/>
      <c r="H240" s="492">
        <f>H239+H238</f>
        <v>17162.737999999998</v>
      </c>
    </row>
    <row r="241" spans="1:11" ht="13.5" thickBot="1" x14ac:dyDescent="0.25">
      <c r="A241" s="389" t="s">
        <v>284</v>
      </c>
      <c r="B241" s="390"/>
      <c r="C241" s="430"/>
      <c r="D241" s="430"/>
      <c r="E241" s="431"/>
      <c r="F241" s="431"/>
      <c r="G241" s="432"/>
      <c r="H241" s="433"/>
    </row>
    <row r="242" spans="1:11" ht="13.5" thickBot="1" x14ac:dyDescent="0.25">
      <c r="A242" s="295"/>
      <c r="B242" s="482" t="s">
        <v>393</v>
      </c>
      <c r="C242" s="321"/>
      <c r="D242" s="321"/>
      <c r="E242" s="396"/>
      <c r="F242" s="397" t="s">
        <v>285</v>
      </c>
      <c r="G242" s="398"/>
      <c r="H242" s="399"/>
    </row>
    <row r="243" spans="1:11" ht="12.75" customHeight="1" outlineLevel="1" x14ac:dyDescent="0.2">
      <c r="A243" s="301" t="s">
        <v>286</v>
      </c>
      <c r="B243" s="843">
        <f>(('LABOR SPAN SHEET'!AG2)-SUMIF('LABOR SPAN SHEET'!D7:$D$1000,"4""",'LABOR SPAN SHEET'!AG7:$AG$1000)-SUMIF('LABOR SPAN SHEET'!D7:$D$1000,"2""",'LABOR SPAN SHEET'!AG7:$AG$1000))+(SUMIF('LABOR SPAN SHEET'!D7:$D$1000,"4""",'LABOR SPAN SHEET'!AG7:$AG$1000)*3)</f>
        <v>14636</v>
      </c>
      <c r="C243" s="303"/>
      <c r="D243" s="593"/>
      <c r="E243" s="427" t="s">
        <v>287</v>
      </c>
      <c r="F243" s="434" t="s">
        <v>288</v>
      </c>
      <c r="G243" s="660">
        <v>0.28999999999999998</v>
      </c>
      <c r="H243" s="484">
        <f>B243*G243</f>
        <v>4244.4399999999996</v>
      </c>
    </row>
    <row r="244" spans="1:11" ht="12.75" customHeight="1" outlineLevel="1" x14ac:dyDescent="0.2">
      <c r="A244" s="307" t="s">
        <v>286</v>
      </c>
      <c r="B244" s="302"/>
      <c r="C244" s="303"/>
      <c r="D244" s="593"/>
      <c r="E244" s="400" t="s">
        <v>289</v>
      </c>
      <c r="F244" s="434" t="s">
        <v>290</v>
      </c>
      <c r="G244" s="401">
        <v>0.28000000000000003</v>
      </c>
      <c r="H244" s="484">
        <f t="shared" ref="H244:H267" si="12">B244*G244</f>
        <v>0</v>
      </c>
    </row>
    <row r="245" spans="1:11" ht="12.75" customHeight="1" outlineLevel="1" x14ac:dyDescent="0.2">
      <c r="A245" s="307" t="s">
        <v>286</v>
      </c>
      <c r="B245" s="302"/>
      <c r="C245" s="303"/>
      <c r="D245" s="593"/>
      <c r="E245" s="402" t="s">
        <v>291</v>
      </c>
      <c r="F245" s="402" t="s">
        <v>292</v>
      </c>
      <c r="G245" s="401">
        <v>0.48</v>
      </c>
      <c r="H245" s="484">
        <f t="shared" si="12"/>
        <v>0</v>
      </c>
    </row>
    <row r="246" spans="1:11" ht="12.75" customHeight="1" outlineLevel="1" x14ac:dyDescent="0.2">
      <c r="A246" s="307" t="s">
        <v>286</v>
      </c>
      <c r="B246" s="548"/>
      <c r="C246" s="309"/>
      <c r="D246" s="593"/>
      <c r="E246" s="402" t="s">
        <v>293</v>
      </c>
      <c r="F246" s="409" t="s">
        <v>294</v>
      </c>
      <c r="G246" s="401">
        <v>1.0900000000000001</v>
      </c>
      <c r="H246" s="484">
        <f t="shared" si="12"/>
        <v>0</v>
      </c>
      <c r="J246" s="500"/>
      <c r="K246" s="554"/>
    </row>
    <row r="247" spans="1:11" outlineLevel="1" x14ac:dyDescent="0.2">
      <c r="A247" s="307" t="s">
        <v>286</v>
      </c>
      <c r="B247" s="548">
        <f>SUMIF('LABOR SPAN SHEET'!D7:$D$1000,"2""",'LABOR SPAN SHEET'!AG7:$AG$1000)</f>
        <v>0</v>
      </c>
      <c r="C247" s="308"/>
      <c r="D247" s="593"/>
      <c r="E247" s="353" t="s">
        <v>295</v>
      </c>
      <c r="F247" s="402" t="s">
        <v>296</v>
      </c>
      <c r="G247" s="660">
        <v>0.43</v>
      </c>
      <c r="H247" s="484">
        <f t="shared" si="12"/>
        <v>0</v>
      </c>
      <c r="J247" s="500"/>
      <c r="K247" s="554"/>
    </row>
    <row r="248" spans="1:11" outlineLevel="1" x14ac:dyDescent="0.2">
      <c r="A248" s="307" t="s">
        <v>286</v>
      </c>
      <c r="B248" s="308"/>
      <c r="C248" s="309"/>
      <c r="D248" s="593"/>
      <c r="E248" s="402" t="s">
        <v>297</v>
      </c>
      <c r="F248" s="402" t="s">
        <v>298</v>
      </c>
      <c r="G248" s="401">
        <v>5.4</v>
      </c>
      <c r="H248" s="484">
        <f t="shared" si="12"/>
        <v>0</v>
      </c>
    </row>
    <row r="249" spans="1:11" outlineLevel="1" x14ac:dyDescent="0.2">
      <c r="A249" s="307" t="s">
        <v>286</v>
      </c>
      <c r="B249" s="548">
        <f>SUMIF('LABOR SPAN SHEET'!D7:$D$1000,"4""",'LABOR SPAN SHEET'!AG7:$AG$1000)</f>
        <v>0</v>
      </c>
      <c r="C249" s="309"/>
      <c r="D249" s="593"/>
      <c r="E249" s="353" t="s">
        <v>299</v>
      </c>
      <c r="F249" s="402" t="s">
        <v>1017</v>
      </c>
      <c r="G249" s="660">
        <v>6.1</v>
      </c>
      <c r="H249" s="484">
        <f t="shared" si="12"/>
        <v>0</v>
      </c>
    </row>
    <row r="250" spans="1:11" outlineLevel="1" x14ac:dyDescent="0.2">
      <c r="A250" s="307" t="s">
        <v>286</v>
      </c>
      <c r="B250" s="308"/>
      <c r="C250" s="309"/>
      <c r="D250" s="593"/>
      <c r="E250" s="402" t="s">
        <v>300</v>
      </c>
      <c r="F250" s="402" t="s">
        <v>301</v>
      </c>
      <c r="G250" s="401">
        <v>1.27</v>
      </c>
      <c r="H250" s="484">
        <f t="shared" si="12"/>
        <v>0</v>
      </c>
    </row>
    <row r="251" spans="1:11" outlineLevel="1" x14ac:dyDescent="0.2">
      <c r="A251" s="307" t="s">
        <v>286</v>
      </c>
      <c r="B251" s="308"/>
      <c r="C251" s="309"/>
      <c r="D251" s="593"/>
      <c r="E251" s="402" t="s">
        <v>302</v>
      </c>
      <c r="F251" s="402" t="s">
        <v>303</v>
      </c>
      <c r="G251" s="401">
        <v>0.45</v>
      </c>
      <c r="H251" s="484">
        <f t="shared" si="12"/>
        <v>0</v>
      </c>
    </row>
    <row r="252" spans="1:11" outlineLevel="1" x14ac:dyDescent="0.2">
      <c r="A252" s="307" t="s">
        <v>286</v>
      </c>
      <c r="B252" s="308"/>
      <c r="C252" s="309"/>
      <c r="D252" s="593"/>
      <c r="E252" s="402" t="s">
        <v>304</v>
      </c>
      <c r="F252" s="402" t="s">
        <v>305</v>
      </c>
      <c r="G252" s="401">
        <v>2.4700000000000002</v>
      </c>
      <c r="H252" s="484">
        <f t="shared" si="12"/>
        <v>0</v>
      </c>
    </row>
    <row r="253" spans="1:11" outlineLevel="1" x14ac:dyDescent="0.2">
      <c r="A253" s="307" t="s">
        <v>286</v>
      </c>
      <c r="B253" s="308"/>
      <c r="C253" s="309"/>
      <c r="D253" s="593"/>
      <c r="E253" s="402" t="s">
        <v>306</v>
      </c>
      <c r="F253" s="402" t="s">
        <v>307</v>
      </c>
      <c r="G253" s="401">
        <v>8.6999999999999993</v>
      </c>
      <c r="H253" s="484">
        <f t="shared" si="12"/>
        <v>0</v>
      </c>
    </row>
    <row r="254" spans="1:11" outlineLevel="1" x14ac:dyDescent="0.2">
      <c r="A254" s="307" t="s">
        <v>286</v>
      </c>
      <c r="B254" s="844">
        <f>ROUNDUP('LABOR SPAN SHEET'!AD2/500,0)</f>
        <v>22</v>
      </c>
      <c r="C254" s="315"/>
      <c r="D254" s="593"/>
      <c r="E254" s="353" t="s">
        <v>308</v>
      </c>
      <c r="F254" s="409" t="s">
        <v>309</v>
      </c>
      <c r="G254" s="660">
        <v>13.97</v>
      </c>
      <c r="H254" s="484">
        <f t="shared" si="12"/>
        <v>307.34000000000003</v>
      </c>
      <c r="J254" s="500"/>
      <c r="K254" s="554"/>
    </row>
    <row r="255" spans="1:11" outlineLevel="1" x14ac:dyDescent="0.2">
      <c r="A255" s="307" t="s">
        <v>286</v>
      </c>
      <c r="B255" s="314"/>
      <c r="C255" s="315"/>
      <c r="D255" s="593"/>
      <c r="E255" s="402" t="s">
        <v>310</v>
      </c>
      <c r="F255" s="409" t="s">
        <v>1083</v>
      </c>
      <c r="G255" s="401">
        <v>14.6</v>
      </c>
      <c r="H255" s="484">
        <f t="shared" si="12"/>
        <v>0</v>
      </c>
    </row>
    <row r="256" spans="1:11" outlineLevel="1" x14ac:dyDescent="0.2">
      <c r="A256" s="307" t="s">
        <v>286</v>
      </c>
      <c r="B256" s="314"/>
      <c r="C256" s="315"/>
      <c r="D256" s="593"/>
      <c r="E256" s="423" t="s">
        <v>1079</v>
      </c>
      <c r="F256" s="435" t="s">
        <v>1080</v>
      </c>
      <c r="G256" s="660">
        <v>38.950000000000003</v>
      </c>
      <c r="H256" s="484">
        <f t="shared" si="12"/>
        <v>0</v>
      </c>
    </row>
    <row r="257" spans="1:12" outlineLevel="1" x14ac:dyDescent="0.2">
      <c r="A257" s="307" t="s">
        <v>286</v>
      </c>
      <c r="B257" s="314">
        <f t="shared" ref="B257:B262" si="13">K257</f>
        <v>13</v>
      </c>
      <c r="C257" s="315"/>
      <c r="D257" s="593"/>
      <c r="E257" s="423" t="s">
        <v>311</v>
      </c>
      <c r="F257" s="435" t="s">
        <v>1077</v>
      </c>
      <c r="G257" s="660">
        <v>19</v>
      </c>
      <c r="H257" s="484">
        <f t="shared" si="12"/>
        <v>247</v>
      </c>
      <c r="I257" s="919" t="s">
        <v>1070</v>
      </c>
      <c r="J257" s="500" t="s">
        <v>1072</v>
      </c>
      <c r="K257" s="554">
        <f t="shared" ref="K257:K262" si="14">SUM(L257:AH257)</f>
        <v>13</v>
      </c>
      <c r="L257" s="184">
        <v>13</v>
      </c>
    </row>
    <row r="258" spans="1:12" outlineLevel="1" x14ac:dyDescent="0.2">
      <c r="A258" s="307" t="s">
        <v>286</v>
      </c>
      <c r="B258" s="314">
        <f t="shared" si="13"/>
        <v>0</v>
      </c>
      <c r="C258" s="315"/>
      <c r="D258" s="593"/>
      <c r="E258" s="410" t="s">
        <v>1014</v>
      </c>
      <c r="F258" s="435" t="s">
        <v>1016</v>
      </c>
      <c r="G258" s="401">
        <v>121</v>
      </c>
      <c r="H258" s="484">
        <f t="shared" si="12"/>
        <v>0</v>
      </c>
      <c r="I258" s="919" t="s">
        <v>1070</v>
      </c>
      <c r="J258" s="500" t="s">
        <v>1066</v>
      </c>
      <c r="K258" s="554">
        <f t="shared" si="14"/>
        <v>0</v>
      </c>
    </row>
    <row r="259" spans="1:12" outlineLevel="1" x14ac:dyDescent="0.2">
      <c r="A259" s="307" t="s">
        <v>286</v>
      </c>
      <c r="B259" s="314">
        <v>16</v>
      </c>
      <c r="C259" s="315"/>
      <c r="D259" s="593"/>
      <c r="E259" s="423" t="s">
        <v>312</v>
      </c>
      <c r="F259" s="903" t="s">
        <v>1075</v>
      </c>
      <c r="G259" s="660">
        <v>191.4</v>
      </c>
      <c r="H259" s="484">
        <f t="shared" si="12"/>
        <v>3062.4</v>
      </c>
      <c r="I259" s="919" t="s">
        <v>1071</v>
      </c>
      <c r="J259" s="500" t="s">
        <v>1067</v>
      </c>
      <c r="K259" s="554">
        <f t="shared" si="14"/>
        <v>14</v>
      </c>
      <c r="L259" s="184">
        <v>14</v>
      </c>
    </row>
    <row r="260" spans="1:12" outlineLevel="1" x14ac:dyDescent="0.2">
      <c r="A260" s="307" t="s">
        <v>286</v>
      </c>
      <c r="B260" s="314">
        <f t="shared" si="13"/>
        <v>0</v>
      </c>
      <c r="C260" s="315"/>
      <c r="D260" s="593"/>
      <c r="E260" s="410" t="s">
        <v>314</v>
      </c>
      <c r="F260" s="903" t="s">
        <v>1078</v>
      </c>
      <c r="G260" s="401">
        <v>194.62</v>
      </c>
      <c r="H260" s="484">
        <f t="shared" si="12"/>
        <v>0</v>
      </c>
      <c r="I260" s="919" t="s">
        <v>1071</v>
      </c>
      <c r="J260" s="500" t="s">
        <v>1073</v>
      </c>
      <c r="K260" s="554">
        <f t="shared" si="14"/>
        <v>0</v>
      </c>
    </row>
    <row r="261" spans="1:12" outlineLevel="1" x14ac:dyDescent="0.2">
      <c r="A261" s="307" t="s">
        <v>286</v>
      </c>
      <c r="B261" s="314">
        <f t="shared" si="13"/>
        <v>18</v>
      </c>
      <c r="C261" s="315"/>
      <c r="D261" s="593"/>
      <c r="E261" s="423" t="s">
        <v>313</v>
      </c>
      <c r="F261" s="903" t="s">
        <v>1074</v>
      </c>
      <c r="G261" s="660">
        <v>317</v>
      </c>
      <c r="H261" s="484">
        <f t="shared" si="12"/>
        <v>5706</v>
      </c>
      <c r="I261" s="919" t="s">
        <v>1071</v>
      </c>
      <c r="J261" s="500" t="s">
        <v>1015</v>
      </c>
      <c r="K261" s="554">
        <f t="shared" si="14"/>
        <v>18</v>
      </c>
      <c r="L261" s="184">
        <v>18</v>
      </c>
    </row>
    <row r="262" spans="1:12" outlineLevel="1" x14ac:dyDescent="0.2">
      <c r="A262" s="307" t="s">
        <v>286</v>
      </c>
      <c r="B262" s="314">
        <f t="shared" si="13"/>
        <v>5</v>
      </c>
      <c r="C262" s="315"/>
      <c r="D262" s="593"/>
      <c r="E262" s="423" t="s">
        <v>315</v>
      </c>
      <c r="F262" s="903" t="s">
        <v>1076</v>
      </c>
      <c r="G262" s="660">
        <v>429.74</v>
      </c>
      <c r="H262" s="484">
        <f t="shared" si="12"/>
        <v>2148.6999999999998</v>
      </c>
      <c r="I262" s="919" t="s">
        <v>1071</v>
      </c>
      <c r="J262" s="500" t="s">
        <v>1068</v>
      </c>
      <c r="K262" s="554">
        <f t="shared" si="14"/>
        <v>5</v>
      </c>
      <c r="L262" s="184">
        <v>5</v>
      </c>
    </row>
    <row r="263" spans="1:12" outlineLevel="1" x14ac:dyDescent="0.2">
      <c r="A263" s="307" t="s">
        <v>286</v>
      </c>
      <c r="B263" s="314">
        <f>K263</f>
        <v>0</v>
      </c>
      <c r="C263" s="315"/>
      <c r="D263" s="593"/>
      <c r="E263" s="423" t="s">
        <v>316</v>
      </c>
      <c r="F263" s="903" t="s">
        <v>1085</v>
      </c>
      <c r="G263" s="660">
        <v>626.9</v>
      </c>
      <c r="H263" s="484">
        <f t="shared" si="12"/>
        <v>0</v>
      </c>
      <c r="I263" s="919" t="s">
        <v>1071</v>
      </c>
      <c r="J263" s="500" t="s">
        <v>1069</v>
      </c>
      <c r="K263" s="554">
        <f>SUM(L263:AH263)</f>
        <v>0</v>
      </c>
      <c r="L263" s="184">
        <v>0</v>
      </c>
    </row>
    <row r="264" spans="1:12" outlineLevel="1" x14ac:dyDescent="0.2">
      <c r="A264" s="307" t="s">
        <v>286</v>
      </c>
      <c r="B264" s="314">
        <f>K264</f>
        <v>0</v>
      </c>
      <c r="C264" s="315"/>
      <c r="D264" s="593"/>
      <c r="E264" s="920" t="s">
        <v>1084</v>
      </c>
      <c r="F264" s="903" t="s">
        <v>1086</v>
      </c>
      <c r="G264" s="921">
        <v>659</v>
      </c>
      <c r="H264" s="484">
        <f t="shared" si="12"/>
        <v>0</v>
      </c>
      <c r="I264" s="919"/>
      <c r="J264" s="500"/>
      <c r="K264" s="554"/>
    </row>
    <row r="265" spans="1:12" outlineLevel="1" x14ac:dyDescent="0.2">
      <c r="A265" s="307" t="s">
        <v>286</v>
      </c>
      <c r="B265" s="314"/>
      <c r="C265" s="315"/>
      <c r="D265" s="593"/>
      <c r="E265" s="410" t="s">
        <v>317</v>
      </c>
      <c r="F265" s="435" t="s">
        <v>318</v>
      </c>
      <c r="G265" s="401">
        <v>70.42</v>
      </c>
      <c r="H265" s="484">
        <f t="shared" si="12"/>
        <v>0</v>
      </c>
      <c r="J265" s="500"/>
      <c r="K265" s="554"/>
    </row>
    <row r="266" spans="1:12" outlineLevel="1" x14ac:dyDescent="0.2">
      <c r="A266" s="307" t="s">
        <v>286</v>
      </c>
      <c r="B266" s="314"/>
      <c r="C266" s="315"/>
      <c r="D266" s="593"/>
      <c r="E266" s="410" t="s">
        <v>319</v>
      </c>
      <c r="F266" s="435" t="s">
        <v>320</v>
      </c>
      <c r="G266" s="401">
        <v>43.51</v>
      </c>
      <c r="H266" s="484">
        <f t="shared" si="12"/>
        <v>0</v>
      </c>
      <c r="J266" s="500"/>
      <c r="K266" s="554"/>
    </row>
    <row r="267" spans="1:12" ht="13.5" outlineLevel="1" thickBot="1" x14ac:dyDescent="0.25">
      <c r="A267" s="313"/>
      <c r="B267" s="314"/>
      <c r="C267" s="315"/>
      <c r="D267" s="315"/>
      <c r="E267" s="410"/>
      <c r="F267" s="435"/>
      <c r="G267" s="411"/>
      <c r="H267" s="484">
        <f t="shared" si="12"/>
        <v>0</v>
      </c>
    </row>
    <row r="268" spans="1:12" ht="13.5" outlineLevel="1" thickBot="1" x14ac:dyDescent="0.25">
      <c r="A268" s="319"/>
      <c r="B268" s="320" t="s">
        <v>393</v>
      </c>
      <c r="C268" s="321"/>
      <c r="D268" s="321"/>
      <c r="E268" s="322"/>
      <c r="F268" s="323" t="s">
        <v>321</v>
      </c>
      <c r="G268" s="414"/>
      <c r="H268" s="495">
        <f>SUM(H243:H267)</f>
        <v>15715.880000000001</v>
      </c>
    </row>
    <row r="269" spans="1:12" ht="13.5" outlineLevel="1" thickBot="1" x14ac:dyDescent="0.25">
      <c r="A269" s="319"/>
      <c r="B269" s="320" t="s">
        <v>393</v>
      </c>
      <c r="C269" s="321"/>
      <c r="D269" s="321"/>
      <c r="E269" s="322"/>
      <c r="F269" s="323" t="s">
        <v>322</v>
      </c>
      <c r="G269" s="414"/>
      <c r="H269" s="495">
        <f>H268*(H1+H2)</f>
        <v>2357.3820000000005</v>
      </c>
    </row>
    <row r="270" spans="1:12" ht="13.5" outlineLevel="1" thickBot="1" x14ac:dyDescent="0.25">
      <c r="A270" s="319"/>
      <c r="B270" s="320" t="s">
        <v>393</v>
      </c>
      <c r="C270" s="321"/>
      <c r="D270" s="321"/>
      <c r="E270" s="322"/>
      <c r="F270" s="326" t="s">
        <v>321</v>
      </c>
      <c r="G270" s="327"/>
      <c r="H270" s="496">
        <f>H268+H269</f>
        <v>18073.262000000002</v>
      </c>
    </row>
    <row r="271" spans="1:12" ht="13.5" thickBot="1" x14ac:dyDescent="0.25">
      <c r="A271" s="436" t="s">
        <v>323</v>
      </c>
      <c r="B271" s="320"/>
      <c r="C271" s="321"/>
      <c r="D271" s="321"/>
      <c r="E271" s="396"/>
      <c r="F271" s="397"/>
      <c r="G271" s="398"/>
      <c r="H271" s="399"/>
    </row>
    <row r="272" spans="1:12" ht="13.5" thickBot="1" x14ac:dyDescent="0.25">
      <c r="A272" s="336"/>
      <c r="B272" s="483" t="s">
        <v>393</v>
      </c>
      <c r="C272" s="422"/>
      <c r="D272" s="422"/>
      <c r="E272" s="338"/>
      <c r="F272" s="339" t="s">
        <v>324</v>
      </c>
      <c r="G272" s="340"/>
      <c r="H272" s="341"/>
    </row>
    <row r="273" spans="1:8" hidden="1" outlineLevel="1" x14ac:dyDescent="0.2">
      <c r="A273" s="342" t="s">
        <v>114</v>
      </c>
      <c r="B273" s="343"/>
      <c r="C273" s="344"/>
      <c r="D273" s="344"/>
      <c r="E273" s="346" t="s">
        <v>327</v>
      </c>
      <c r="F273" s="346" t="s">
        <v>1052</v>
      </c>
      <c r="G273" s="347"/>
      <c r="H273" s="348">
        <f t="shared" ref="H273:H290" si="15">B273*G273</f>
        <v>0</v>
      </c>
    </row>
    <row r="274" spans="1:8" hidden="1" outlineLevel="1" x14ac:dyDescent="0.2">
      <c r="A274" s="342" t="s">
        <v>114</v>
      </c>
      <c r="B274" s="343"/>
      <c r="C274" s="344"/>
      <c r="D274" s="344"/>
      <c r="E274" s="345" t="s">
        <v>328</v>
      </c>
      <c r="F274" s="346" t="s">
        <v>329</v>
      </c>
      <c r="G274" s="347"/>
      <c r="H274" s="348">
        <f t="shared" si="15"/>
        <v>0</v>
      </c>
    </row>
    <row r="275" spans="1:8" hidden="1" outlineLevel="1" x14ac:dyDescent="0.2">
      <c r="A275" s="342" t="s">
        <v>114</v>
      </c>
      <c r="B275" s="343"/>
      <c r="C275" s="344"/>
      <c r="D275" s="344"/>
      <c r="E275" s="345" t="s">
        <v>330</v>
      </c>
      <c r="F275" s="346" t="s">
        <v>331</v>
      </c>
      <c r="G275" s="347"/>
      <c r="H275" s="348">
        <f t="shared" si="15"/>
        <v>0</v>
      </c>
    </row>
    <row r="276" spans="1:8" hidden="1" outlineLevel="1" x14ac:dyDescent="0.2">
      <c r="A276" s="342" t="s">
        <v>114</v>
      </c>
      <c r="B276" s="343"/>
      <c r="C276" s="437"/>
      <c r="D276" s="437"/>
      <c r="E276" s="376" t="s">
        <v>332</v>
      </c>
      <c r="F276" s="438" t="s">
        <v>333</v>
      </c>
      <c r="G276" s="347"/>
      <c r="H276" s="348">
        <f t="shared" si="15"/>
        <v>0</v>
      </c>
    </row>
    <row r="277" spans="1:8" hidden="1" outlineLevel="1" x14ac:dyDescent="0.2">
      <c r="A277" s="342" t="s">
        <v>114</v>
      </c>
      <c r="B277" s="343"/>
      <c r="C277" s="437"/>
      <c r="D277" s="437"/>
      <c r="E277" s="376" t="s">
        <v>224</v>
      </c>
      <c r="F277" s="438" t="s">
        <v>225</v>
      </c>
      <c r="G277" s="347"/>
      <c r="H277" s="348">
        <f t="shared" si="15"/>
        <v>0</v>
      </c>
    </row>
    <row r="278" spans="1:8" hidden="1" outlineLevel="1" x14ac:dyDescent="0.2">
      <c r="A278" s="342" t="s">
        <v>114</v>
      </c>
      <c r="B278" s="343">
        <v>0</v>
      </c>
      <c r="C278" s="437"/>
      <c r="D278" s="437"/>
      <c r="E278" s="353" t="s">
        <v>334</v>
      </c>
      <c r="F278" s="345" t="s">
        <v>335</v>
      </c>
      <c r="G278" s="657">
        <v>226.08</v>
      </c>
      <c r="H278" s="348">
        <f t="shared" si="15"/>
        <v>0</v>
      </c>
    </row>
    <row r="279" spans="1:8" hidden="1" outlineLevel="1" x14ac:dyDescent="0.2">
      <c r="A279" s="342" t="s">
        <v>114</v>
      </c>
      <c r="B279" s="343">
        <v>0</v>
      </c>
      <c r="C279" s="437"/>
      <c r="D279" s="437"/>
      <c r="E279" s="353" t="s">
        <v>336</v>
      </c>
      <c r="F279" s="345" t="s">
        <v>337</v>
      </c>
      <c r="G279" s="657">
        <v>26.24</v>
      </c>
      <c r="H279" s="348">
        <f t="shared" si="15"/>
        <v>0</v>
      </c>
    </row>
    <row r="280" spans="1:8" hidden="1" outlineLevel="1" x14ac:dyDescent="0.2">
      <c r="A280" s="342" t="s">
        <v>114</v>
      </c>
      <c r="B280" s="343">
        <v>0</v>
      </c>
      <c r="C280" s="437"/>
      <c r="D280" s="437"/>
      <c r="E280" s="353" t="s">
        <v>338</v>
      </c>
      <c r="F280" s="346" t="s">
        <v>339</v>
      </c>
      <c r="G280" s="657">
        <v>338.04</v>
      </c>
      <c r="H280" s="348">
        <f t="shared" si="15"/>
        <v>0</v>
      </c>
    </row>
    <row r="281" spans="1:8" hidden="1" outlineLevel="1" x14ac:dyDescent="0.2">
      <c r="A281" s="342" t="s">
        <v>114</v>
      </c>
      <c r="B281" s="343">
        <v>0</v>
      </c>
      <c r="C281" s="437"/>
      <c r="D281" s="437"/>
      <c r="E281" s="423" t="s">
        <v>340</v>
      </c>
      <c r="F281" s="371" t="s">
        <v>341</v>
      </c>
      <c r="G281" s="657">
        <v>35</v>
      </c>
      <c r="H281" s="348">
        <f t="shared" si="15"/>
        <v>0</v>
      </c>
    </row>
    <row r="282" spans="1:8" hidden="1" outlineLevel="1" x14ac:dyDescent="0.2">
      <c r="A282" s="342" t="s">
        <v>114</v>
      </c>
      <c r="B282" s="343"/>
      <c r="C282" s="437"/>
      <c r="D282" s="437"/>
      <c r="E282" s="373" t="s">
        <v>342</v>
      </c>
      <c r="F282" s="374" t="s">
        <v>343</v>
      </c>
      <c r="G282" s="375"/>
      <c r="H282" s="348">
        <f t="shared" si="15"/>
        <v>0</v>
      </c>
    </row>
    <row r="283" spans="1:8" hidden="1" outlineLevel="1" x14ac:dyDescent="0.2">
      <c r="A283" s="342" t="s">
        <v>114</v>
      </c>
      <c r="B283" s="343"/>
      <c r="C283" s="437"/>
      <c r="D283" s="437"/>
      <c r="E283" s="373" t="s">
        <v>344</v>
      </c>
      <c r="F283" s="374" t="s">
        <v>345</v>
      </c>
      <c r="G283" s="375"/>
      <c r="H283" s="348">
        <f t="shared" si="15"/>
        <v>0</v>
      </c>
    </row>
    <row r="284" spans="1:8" hidden="1" outlineLevel="1" x14ac:dyDescent="0.2">
      <c r="A284" s="342" t="s">
        <v>114</v>
      </c>
      <c r="B284" s="343"/>
      <c r="C284" s="437"/>
      <c r="D284" s="437"/>
      <c r="E284" s="373" t="s">
        <v>346</v>
      </c>
      <c r="F284" s="374" t="s">
        <v>347</v>
      </c>
      <c r="G284" s="375"/>
      <c r="H284" s="348">
        <f t="shared" si="15"/>
        <v>0</v>
      </c>
    </row>
    <row r="285" spans="1:8" hidden="1" outlineLevel="1" x14ac:dyDescent="0.2">
      <c r="A285" s="342" t="s">
        <v>114</v>
      </c>
      <c r="B285" s="343"/>
      <c r="C285" s="437"/>
      <c r="D285" s="437"/>
      <c r="E285" s="373" t="s">
        <v>348</v>
      </c>
      <c r="F285" s="374" t="s">
        <v>349</v>
      </c>
      <c r="G285" s="375"/>
      <c r="H285" s="348">
        <f t="shared" si="15"/>
        <v>0</v>
      </c>
    </row>
    <row r="286" spans="1:8" hidden="1" outlineLevel="1" x14ac:dyDescent="0.2">
      <c r="A286" s="342" t="s">
        <v>114</v>
      </c>
      <c r="B286" s="343"/>
      <c r="C286" s="437"/>
      <c r="D286" s="437"/>
      <c r="E286" s="345" t="s">
        <v>350</v>
      </c>
      <c r="F286" s="346" t="s">
        <v>351</v>
      </c>
      <c r="G286" s="362"/>
      <c r="H286" s="348">
        <f t="shared" si="15"/>
        <v>0</v>
      </c>
    </row>
    <row r="287" spans="1:8" hidden="1" outlineLevel="1" x14ac:dyDescent="0.2">
      <c r="A287" s="342" t="s">
        <v>114</v>
      </c>
      <c r="B287" s="343"/>
      <c r="C287" s="437"/>
      <c r="D287" s="437"/>
      <c r="E287" s="373" t="s">
        <v>271</v>
      </c>
      <c r="F287" s="374" t="s">
        <v>272</v>
      </c>
      <c r="G287" s="375"/>
      <c r="H287" s="348">
        <f t="shared" si="15"/>
        <v>0</v>
      </c>
    </row>
    <row r="288" spans="1:8" hidden="1" outlineLevel="1" x14ac:dyDescent="0.2">
      <c r="A288" s="342" t="s">
        <v>114</v>
      </c>
      <c r="B288" s="343">
        <v>0</v>
      </c>
      <c r="C288" s="437"/>
      <c r="D288" s="437"/>
      <c r="E288" s="904" t="s">
        <v>1013</v>
      </c>
      <c r="F288" s="438" t="s">
        <v>1059</v>
      </c>
      <c r="G288" s="623">
        <v>237.63</v>
      </c>
      <c r="H288" s="348">
        <f t="shared" si="15"/>
        <v>0</v>
      </c>
    </row>
    <row r="289" spans="1:34" hidden="1" outlineLevel="1" x14ac:dyDescent="0.2">
      <c r="A289" s="342" t="s">
        <v>114</v>
      </c>
      <c r="B289" s="343"/>
      <c r="C289" s="437"/>
      <c r="D289" s="437"/>
      <c r="E289" s="376"/>
      <c r="F289" s="438"/>
      <c r="G289" s="438"/>
      <c r="H289" s="348">
        <f t="shared" si="15"/>
        <v>0</v>
      </c>
    </row>
    <row r="290" spans="1:34" ht="13.5" hidden="1" outlineLevel="1" thickBot="1" x14ac:dyDescent="0.25">
      <c r="A290" s="369" t="s">
        <v>108</v>
      </c>
      <c r="B290" s="354"/>
      <c r="C290" s="355"/>
      <c r="D290" s="355"/>
      <c r="E290" s="376"/>
      <c r="F290" s="438"/>
      <c r="G290" s="438"/>
      <c r="H290" s="348">
        <f t="shared" si="15"/>
        <v>0</v>
      </c>
    </row>
    <row r="291" spans="1:34" ht="13.5" hidden="1" outlineLevel="1" thickBot="1" x14ac:dyDescent="0.25">
      <c r="A291" s="336"/>
      <c r="B291" s="356"/>
      <c r="C291" s="357"/>
      <c r="D291" s="357"/>
      <c r="E291" s="380"/>
      <c r="F291" s="439" t="s">
        <v>352</v>
      </c>
      <c r="G291" s="429"/>
      <c r="H291" s="385">
        <f>SUM(H273:H290)</f>
        <v>0</v>
      </c>
    </row>
    <row r="292" spans="1:34" ht="13.5" hidden="1" outlineLevel="1" thickBot="1" x14ac:dyDescent="0.25">
      <c r="A292" s="336"/>
      <c r="B292" s="356"/>
      <c r="C292" s="357"/>
      <c r="D292" s="357"/>
      <c r="E292" s="380"/>
      <c r="F292" s="439" t="s">
        <v>110</v>
      </c>
      <c r="G292" s="429"/>
      <c r="H292" s="385">
        <f>H291*(H1+H2)</f>
        <v>0</v>
      </c>
    </row>
    <row r="293" spans="1:34" ht="13.5" hidden="1" outlineLevel="1" thickBot="1" x14ac:dyDescent="0.25">
      <c r="A293" s="336"/>
      <c r="B293" s="356"/>
      <c r="C293" s="357"/>
      <c r="D293" s="357"/>
      <c r="E293" s="380"/>
      <c r="F293" s="386" t="s">
        <v>353</v>
      </c>
      <c r="G293" s="387"/>
      <c r="H293" s="388">
        <f>H291+H292</f>
        <v>0</v>
      </c>
    </row>
    <row r="294" spans="1:34" ht="13.5" collapsed="1" thickBot="1" x14ac:dyDescent="0.25">
      <c r="A294" s="389" t="s">
        <v>354</v>
      </c>
      <c r="B294" s="390"/>
      <c r="C294" s="391"/>
      <c r="D294" s="391"/>
      <c r="E294" s="392"/>
      <c r="F294" s="393"/>
      <c r="G294" s="394"/>
      <c r="H294" s="395"/>
    </row>
    <row r="295" spans="1:34" s="441" customFormat="1" ht="13.5" thickBot="1" x14ac:dyDescent="0.25">
      <c r="A295" s="295"/>
      <c r="B295" s="482" t="s">
        <v>393</v>
      </c>
      <c r="C295" s="321"/>
      <c r="D295" s="321"/>
      <c r="E295" s="396"/>
      <c r="F295" s="397" t="s">
        <v>355</v>
      </c>
      <c r="G295" s="440"/>
      <c r="H295" s="399"/>
      <c r="J295" s="498"/>
      <c r="K295" s="555"/>
      <c r="L295" s="184"/>
      <c r="M295" s="184"/>
      <c r="N295" s="184"/>
      <c r="O295" s="184"/>
      <c r="P295" s="184"/>
      <c r="Q295" s="184"/>
      <c r="R295" s="184"/>
      <c r="S295" s="184"/>
      <c r="T295" s="184"/>
      <c r="U295" s="184"/>
      <c r="V295" s="184"/>
      <c r="W295" s="184"/>
      <c r="X295" s="184"/>
      <c r="Y295" s="184"/>
      <c r="Z295" s="184"/>
      <c r="AA295" s="184"/>
      <c r="AB295" s="184"/>
      <c r="AC295" s="184"/>
      <c r="AD295" s="184"/>
      <c r="AE295" s="184"/>
      <c r="AF295" s="184"/>
      <c r="AG295" s="184"/>
      <c r="AH295" s="184"/>
    </row>
    <row r="296" spans="1:34" outlineLevel="1" x14ac:dyDescent="0.2">
      <c r="A296" s="301" t="s">
        <v>278</v>
      </c>
      <c r="B296" s="308"/>
      <c r="C296" s="309"/>
      <c r="D296" s="309"/>
      <c r="E296" s="402" t="s">
        <v>325</v>
      </c>
      <c r="F296" s="409" t="s">
        <v>326</v>
      </c>
      <c r="G296" s="403"/>
      <c r="H296" s="485">
        <f t="shared" ref="H296:H310" si="16">B296*G296</f>
        <v>0</v>
      </c>
      <c r="J296" s="500"/>
      <c r="K296" s="554"/>
    </row>
    <row r="297" spans="1:34" outlineLevel="1" x14ac:dyDescent="0.2">
      <c r="A297" s="301" t="s">
        <v>278</v>
      </c>
      <c r="B297" s="308"/>
      <c r="C297" s="309"/>
      <c r="D297" s="309"/>
      <c r="E297" s="402" t="s">
        <v>325</v>
      </c>
      <c r="F297" s="409" t="s">
        <v>326</v>
      </c>
      <c r="G297" s="442"/>
      <c r="H297" s="485">
        <f t="shared" si="16"/>
        <v>0</v>
      </c>
      <c r="J297" s="500"/>
      <c r="K297" s="554"/>
    </row>
    <row r="298" spans="1:34" outlineLevel="1" x14ac:dyDescent="0.2">
      <c r="A298" s="301" t="s">
        <v>278</v>
      </c>
      <c r="B298" s="308"/>
      <c r="C298" s="309"/>
      <c r="D298" s="309"/>
      <c r="E298" s="402" t="s">
        <v>327</v>
      </c>
      <c r="F298" s="409" t="s">
        <v>1052</v>
      </c>
      <c r="G298" s="442">
        <v>1.29</v>
      </c>
      <c r="H298" s="485">
        <f t="shared" si="16"/>
        <v>0</v>
      </c>
    </row>
    <row r="299" spans="1:34" outlineLevel="1" x14ac:dyDescent="0.2">
      <c r="A299" s="301" t="s">
        <v>278</v>
      </c>
      <c r="B299" s="308"/>
      <c r="C299" s="309"/>
      <c r="D299" s="309"/>
      <c r="E299" s="402" t="s">
        <v>328</v>
      </c>
      <c r="F299" s="409" t="s">
        <v>1053</v>
      </c>
      <c r="G299" s="403">
        <v>0.84</v>
      </c>
      <c r="H299" s="485">
        <f t="shared" si="16"/>
        <v>0</v>
      </c>
      <c r="J299" s="500"/>
      <c r="K299" s="554"/>
    </row>
    <row r="300" spans="1:34" outlineLevel="1" x14ac:dyDescent="0.2">
      <c r="A300" s="301" t="s">
        <v>278</v>
      </c>
      <c r="B300" s="308"/>
      <c r="C300" s="309"/>
      <c r="D300" s="309"/>
      <c r="E300" s="402" t="s">
        <v>330</v>
      </c>
      <c r="F300" s="409" t="s">
        <v>331</v>
      </c>
      <c r="G300" s="403"/>
      <c r="H300" s="485">
        <f t="shared" si="16"/>
        <v>0</v>
      </c>
    </row>
    <row r="301" spans="1:34" outlineLevel="1" x14ac:dyDescent="0.2">
      <c r="A301" s="301" t="s">
        <v>278</v>
      </c>
      <c r="B301" s="308"/>
      <c r="C301" s="309"/>
      <c r="D301" s="309"/>
      <c r="E301" s="353" t="s">
        <v>334</v>
      </c>
      <c r="F301" s="402" t="s">
        <v>335</v>
      </c>
      <c r="G301" s="657">
        <v>226.08</v>
      </c>
      <c r="H301" s="485">
        <f t="shared" si="16"/>
        <v>0</v>
      </c>
    </row>
    <row r="302" spans="1:34" outlineLevel="1" x14ac:dyDescent="0.2">
      <c r="A302" s="301" t="s">
        <v>278</v>
      </c>
      <c r="B302" s="308"/>
      <c r="C302" s="309"/>
      <c r="D302" s="309"/>
      <c r="E302" s="353" t="s">
        <v>336</v>
      </c>
      <c r="F302" s="402" t="s">
        <v>337</v>
      </c>
      <c r="G302" s="657">
        <v>26.24</v>
      </c>
      <c r="H302" s="485">
        <f t="shared" si="16"/>
        <v>0</v>
      </c>
    </row>
    <row r="303" spans="1:34" outlineLevel="1" x14ac:dyDescent="0.2">
      <c r="A303" s="301" t="s">
        <v>278</v>
      </c>
      <c r="B303" s="308"/>
      <c r="C303" s="309"/>
      <c r="D303" s="309"/>
      <c r="E303" s="353" t="s">
        <v>338</v>
      </c>
      <c r="F303" s="409" t="s">
        <v>339</v>
      </c>
      <c r="G303" s="657">
        <v>338.54</v>
      </c>
      <c r="H303" s="485">
        <f t="shared" si="16"/>
        <v>0</v>
      </c>
    </row>
    <row r="304" spans="1:34" outlineLevel="1" x14ac:dyDescent="0.2">
      <c r="A304" s="308" t="s">
        <v>278</v>
      </c>
      <c r="B304" s="314"/>
      <c r="C304" s="315"/>
      <c r="D304" s="315"/>
      <c r="E304" s="423" t="s">
        <v>340</v>
      </c>
      <c r="F304" s="435" t="s">
        <v>356</v>
      </c>
      <c r="G304" s="657">
        <v>35</v>
      </c>
      <c r="H304" s="485">
        <f t="shared" si="16"/>
        <v>0</v>
      </c>
    </row>
    <row r="305" spans="1:11" outlineLevel="1" x14ac:dyDescent="0.2">
      <c r="A305" s="308" t="s">
        <v>357</v>
      </c>
      <c r="B305" s="314"/>
      <c r="C305" s="315"/>
      <c r="D305" s="315"/>
      <c r="E305" s="316" t="s">
        <v>344</v>
      </c>
      <c r="F305" s="317" t="s">
        <v>345</v>
      </c>
      <c r="G305" s="413"/>
      <c r="H305" s="485">
        <f t="shared" si="16"/>
        <v>0</v>
      </c>
    </row>
    <row r="306" spans="1:11" outlineLevel="1" x14ac:dyDescent="0.2">
      <c r="A306" s="308" t="s">
        <v>357</v>
      </c>
      <c r="B306" s="314"/>
      <c r="C306" s="315"/>
      <c r="D306" s="315"/>
      <c r="E306" s="316" t="s">
        <v>346</v>
      </c>
      <c r="F306" s="317" t="s">
        <v>347</v>
      </c>
      <c r="G306" s="413"/>
      <c r="H306" s="485">
        <f t="shared" si="16"/>
        <v>0</v>
      </c>
      <c r="J306" s="500"/>
      <c r="K306" s="554"/>
    </row>
    <row r="307" spans="1:11" outlineLevel="1" x14ac:dyDescent="0.2">
      <c r="A307" s="308" t="s">
        <v>278</v>
      </c>
      <c r="B307" s="314"/>
      <c r="C307" s="315"/>
      <c r="D307" s="315"/>
      <c r="E307" s="316" t="s">
        <v>348</v>
      </c>
      <c r="F307" s="317" t="s">
        <v>349</v>
      </c>
      <c r="G307" s="413"/>
      <c r="H307" s="485">
        <f t="shared" si="16"/>
        <v>0</v>
      </c>
      <c r="J307" s="500"/>
      <c r="K307" s="554"/>
    </row>
    <row r="308" spans="1:11" outlineLevel="1" x14ac:dyDescent="0.2">
      <c r="A308" s="308" t="s">
        <v>278</v>
      </c>
      <c r="B308" s="314"/>
      <c r="C308" s="315"/>
      <c r="D308" s="315"/>
      <c r="E308" s="316" t="s">
        <v>271</v>
      </c>
      <c r="F308" s="317" t="s">
        <v>272</v>
      </c>
      <c r="G308" s="413"/>
      <c r="H308" s="485">
        <f t="shared" si="16"/>
        <v>0</v>
      </c>
    </row>
    <row r="309" spans="1:11" outlineLevel="1" x14ac:dyDescent="0.2">
      <c r="A309" s="308" t="s">
        <v>278</v>
      </c>
      <c r="B309" s="314"/>
      <c r="C309" s="315"/>
      <c r="D309" s="315"/>
      <c r="E309" s="661" t="s">
        <v>224</v>
      </c>
      <c r="F309" s="662" t="s">
        <v>225</v>
      </c>
      <c r="G309" s="403"/>
      <c r="H309" s="485">
        <f t="shared" si="16"/>
        <v>0</v>
      </c>
    </row>
    <row r="310" spans="1:11" outlineLevel="1" x14ac:dyDescent="0.2">
      <c r="A310" s="308" t="s">
        <v>278</v>
      </c>
      <c r="B310" s="308">
        <v>3</v>
      </c>
      <c r="C310" s="309"/>
      <c r="D310" s="309"/>
      <c r="E310" s="353" t="s">
        <v>358</v>
      </c>
      <c r="F310" s="907" t="s">
        <v>1065</v>
      </c>
      <c r="G310" s="908">
        <v>190.32</v>
      </c>
      <c r="H310" s="485">
        <f t="shared" si="16"/>
        <v>570.96</v>
      </c>
    </row>
    <row r="311" spans="1:11" outlineLevel="1" x14ac:dyDescent="0.2">
      <c r="A311" s="307" t="s">
        <v>278</v>
      </c>
      <c r="B311" s="308">
        <v>24</v>
      </c>
      <c r="C311" s="309"/>
      <c r="D311" s="309"/>
      <c r="E311" s="353" t="s">
        <v>359</v>
      </c>
      <c r="F311" s="907" t="s">
        <v>1064</v>
      </c>
      <c r="G311" s="908">
        <v>211.83</v>
      </c>
      <c r="H311" s="485">
        <f t="shared" ref="H311:H317" si="17">B311*G311</f>
        <v>5083.92</v>
      </c>
    </row>
    <row r="312" spans="1:11" outlineLevel="1" x14ac:dyDescent="0.2">
      <c r="A312" s="307" t="s">
        <v>278</v>
      </c>
      <c r="B312" s="308"/>
      <c r="C312" s="309"/>
      <c r="D312" s="309"/>
      <c r="E312" s="353"/>
      <c r="F312" s="907" t="s">
        <v>1081</v>
      </c>
      <c r="G312" s="908">
        <v>97</v>
      </c>
      <c r="H312" s="485">
        <f t="shared" si="17"/>
        <v>0</v>
      </c>
    </row>
    <row r="313" spans="1:11" outlineLevel="1" x14ac:dyDescent="0.2">
      <c r="A313" s="307" t="s">
        <v>278</v>
      </c>
      <c r="B313" s="308"/>
      <c r="C313" s="309"/>
      <c r="D313" s="309"/>
      <c r="E313" s="353"/>
      <c r="F313" s="907" t="s">
        <v>1082</v>
      </c>
      <c r="G313" s="908">
        <v>386</v>
      </c>
      <c r="H313" s="485">
        <f t="shared" si="17"/>
        <v>0</v>
      </c>
    </row>
    <row r="314" spans="1:11" outlineLevel="1" x14ac:dyDescent="0.2">
      <c r="A314" s="307" t="s">
        <v>278</v>
      </c>
      <c r="B314" s="308"/>
      <c r="C314" s="309"/>
      <c r="D314" s="309"/>
      <c r="E314" s="661" t="s">
        <v>1018</v>
      </c>
      <c r="F314" s="662" t="s">
        <v>1054</v>
      </c>
      <c r="G314" s="403">
        <v>2.33</v>
      </c>
      <c r="H314" s="485">
        <f t="shared" si="17"/>
        <v>0</v>
      </c>
    </row>
    <row r="315" spans="1:11" outlineLevel="1" x14ac:dyDescent="0.2">
      <c r="A315" s="307" t="s">
        <v>278</v>
      </c>
      <c r="B315" s="308"/>
      <c r="C315" s="309"/>
      <c r="D315" s="309"/>
      <c r="E315" s="661" t="s">
        <v>1019</v>
      </c>
      <c r="F315" s="662" t="s">
        <v>1055</v>
      </c>
      <c r="G315" s="403">
        <v>9.1999999999999993</v>
      </c>
      <c r="H315" s="485">
        <f t="shared" si="17"/>
        <v>0</v>
      </c>
    </row>
    <row r="316" spans="1:11" outlineLevel="1" x14ac:dyDescent="0.2">
      <c r="A316" s="313" t="s">
        <v>278</v>
      </c>
      <c r="B316" s="314"/>
      <c r="C316" s="315"/>
      <c r="D316" s="315"/>
      <c r="E316" s="918" t="s">
        <v>1020</v>
      </c>
      <c r="F316" s="888" t="s">
        <v>1056</v>
      </c>
      <c r="G316" s="411">
        <v>9.1999999999999993</v>
      </c>
      <c r="H316" s="485">
        <f t="shared" si="17"/>
        <v>0</v>
      </c>
    </row>
    <row r="317" spans="1:11" outlineLevel="1" x14ac:dyDescent="0.2">
      <c r="A317" s="313" t="s">
        <v>278</v>
      </c>
      <c r="B317" s="314"/>
      <c r="C317" s="315"/>
      <c r="D317" s="315"/>
      <c r="E317" s="918" t="s">
        <v>1021</v>
      </c>
      <c r="F317" s="888" t="s">
        <v>1057</v>
      </c>
      <c r="G317" s="411">
        <v>9.1999999999999993</v>
      </c>
      <c r="H317" s="485">
        <f t="shared" si="17"/>
        <v>0</v>
      </c>
    </row>
    <row r="318" spans="1:11" ht="13.5" outlineLevel="1" thickBot="1" x14ac:dyDescent="0.25">
      <c r="A318" s="313" t="s">
        <v>278</v>
      </c>
      <c r="B318" s="314"/>
      <c r="C318" s="315"/>
      <c r="D318" s="315"/>
      <c r="E318" s="918" t="s">
        <v>1022</v>
      </c>
      <c r="F318" s="888" t="s">
        <v>1058</v>
      </c>
      <c r="G318" s="411">
        <v>9.1999999999999993</v>
      </c>
      <c r="H318" s="485">
        <f t="shared" ref="H318" si="18">B318*G318</f>
        <v>0</v>
      </c>
    </row>
    <row r="319" spans="1:11" ht="13.5" outlineLevel="1" thickBot="1" x14ac:dyDescent="0.25">
      <c r="A319" s="319"/>
      <c r="B319" s="320" t="s">
        <v>393</v>
      </c>
      <c r="C319" s="321"/>
      <c r="D319" s="321"/>
      <c r="E319" s="443"/>
      <c r="F319" s="444" t="s">
        <v>360</v>
      </c>
      <c r="G319" s="445"/>
      <c r="H319" s="508">
        <f>SUM(H296:H318)</f>
        <v>5654.88</v>
      </c>
    </row>
    <row r="320" spans="1:11" ht="13.5" outlineLevel="1" thickBot="1" x14ac:dyDescent="0.25">
      <c r="A320" s="319"/>
      <c r="B320" s="320" t="s">
        <v>393</v>
      </c>
      <c r="C320" s="321"/>
      <c r="D320" s="321"/>
      <c r="E320" s="322"/>
      <c r="F320" s="323" t="s">
        <v>361</v>
      </c>
      <c r="G320" s="446"/>
      <c r="H320" s="495">
        <f>H319*(H1+H2)</f>
        <v>848.2320000000002</v>
      </c>
    </row>
    <row r="321" spans="1:8" ht="13.5" outlineLevel="1" thickBot="1" x14ac:dyDescent="0.25">
      <c r="A321" s="319"/>
      <c r="B321" s="320"/>
      <c r="C321" s="321"/>
      <c r="D321" s="321"/>
      <c r="E321" s="322"/>
      <c r="F321" s="447" t="s">
        <v>362</v>
      </c>
      <c r="G321" s="448"/>
      <c r="H321" s="496">
        <f>H319+H320</f>
        <v>6503.1120000000001</v>
      </c>
    </row>
    <row r="322" spans="1:8" ht="13.5" thickBot="1" x14ac:dyDescent="0.25">
      <c r="A322" s="449" t="s">
        <v>363</v>
      </c>
      <c r="B322" s="450"/>
      <c r="C322" s="451"/>
      <c r="D322" s="451"/>
      <c r="E322" s="452"/>
      <c r="F322" s="397"/>
      <c r="G322" s="440"/>
      <c r="H322" s="399"/>
    </row>
    <row r="323" spans="1:8" ht="13.5" thickBot="1" x14ac:dyDescent="0.25">
      <c r="A323" s="336"/>
      <c r="B323" s="501" t="str">
        <f>IF(SUM(H340)&gt;0,"-",IF(SUM(H333)&gt;0,"-",""))</f>
        <v/>
      </c>
      <c r="C323" s="337"/>
      <c r="D323" s="337"/>
      <c r="E323" s="338"/>
      <c r="F323" s="339" t="s">
        <v>364</v>
      </c>
      <c r="G323" s="340"/>
      <c r="H323" s="341"/>
    </row>
    <row r="324" spans="1:8" hidden="1" outlineLevel="1" x14ac:dyDescent="0.2">
      <c r="A324" s="342" t="s">
        <v>365</v>
      </c>
      <c r="B324" s="502"/>
      <c r="C324" s="437"/>
      <c r="D324" s="437"/>
      <c r="E324" s="345"/>
      <c r="F324" s="457" t="s">
        <v>366</v>
      </c>
      <c r="G324" s="456"/>
      <c r="H324" s="493"/>
    </row>
    <row r="325" spans="1:8" hidden="1" outlineLevel="1" x14ac:dyDescent="0.2">
      <c r="A325" s="342" t="s">
        <v>365</v>
      </c>
      <c r="B325" s="503"/>
      <c r="C325" s="458"/>
      <c r="D325" s="458"/>
      <c r="E325" s="345" t="s">
        <v>367</v>
      </c>
      <c r="F325" s="438" t="s">
        <v>368</v>
      </c>
      <c r="G325" s="456"/>
      <c r="H325" s="493">
        <f>B325*G325</f>
        <v>0</v>
      </c>
    </row>
    <row r="326" spans="1:8" hidden="1" outlineLevel="1" x14ac:dyDescent="0.2">
      <c r="A326" s="369" t="s">
        <v>365</v>
      </c>
      <c r="B326" s="354"/>
      <c r="C326" s="458"/>
      <c r="D326" s="458"/>
      <c r="E326" s="345" t="s">
        <v>369</v>
      </c>
      <c r="F326" s="438" t="s">
        <v>370</v>
      </c>
      <c r="G326" s="456"/>
      <c r="H326" s="493">
        <f t="shared" ref="H326:H333" si="19">B326*G326</f>
        <v>0</v>
      </c>
    </row>
    <row r="327" spans="1:8" hidden="1" outlineLevel="1" x14ac:dyDescent="0.2">
      <c r="A327" s="369" t="s">
        <v>365</v>
      </c>
      <c r="B327" s="343"/>
      <c r="C327" s="437"/>
      <c r="D327" s="437"/>
      <c r="E327" s="345" t="s">
        <v>371</v>
      </c>
      <c r="F327" s="438" t="s">
        <v>372</v>
      </c>
      <c r="G327" s="456"/>
      <c r="H327" s="493">
        <f t="shared" si="19"/>
        <v>0</v>
      </c>
    </row>
    <row r="328" spans="1:8" hidden="1" outlineLevel="1" x14ac:dyDescent="0.2">
      <c r="A328" s="369" t="s">
        <v>365</v>
      </c>
      <c r="B328" s="343"/>
      <c r="C328" s="437"/>
      <c r="D328" s="437"/>
      <c r="E328" s="345" t="s">
        <v>373</v>
      </c>
      <c r="F328" s="438" t="s">
        <v>374</v>
      </c>
      <c r="G328" s="456"/>
      <c r="H328" s="493">
        <f t="shared" si="19"/>
        <v>0</v>
      </c>
    </row>
    <row r="329" spans="1:8" hidden="1" outlineLevel="1" x14ac:dyDescent="0.2">
      <c r="A329" s="369" t="s">
        <v>365</v>
      </c>
      <c r="B329" s="343"/>
      <c r="C329" s="437"/>
      <c r="D329" s="437"/>
      <c r="E329" s="370" t="s">
        <v>375</v>
      </c>
      <c r="F329" s="378" t="s">
        <v>376</v>
      </c>
      <c r="G329" s="459"/>
      <c r="H329" s="493">
        <f t="shared" si="19"/>
        <v>0</v>
      </c>
    </row>
    <row r="330" spans="1:8" hidden="1" outlineLevel="1" x14ac:dyDescent="0.2">
      <c r="A330" s="369" t="s">
        <v>365</v>
      </c>
      <c r="B330" s="354"/>
      <c r="C330" s="458"/>
      <c r="D330" s="458"/>
      <c r="E330" s="373" t="s">
        <v>377</v>
      </c>
      <c r="F330" s="373" t="s">
        <v>378</v>
      </c>
      <c r="G330" s="460"/>
      <c r="H330" s="493">
        <f t="shared" si="19"/>
        <v>0</v>
      </c>
    </row>
    <row r="331" spans="1:8" hidden="1" outlineLevel="1" x14ac:dyDescent="0.2">
      <c r="A331" s="369" t="s">
        <v>365</v>
      </c>
      <c r="B331" s="354"/>
      <c r="C331" s="458"/>
      <c r="D331" s="458"/>
      <c r="E331" s="370" t="s">
        <v>379</v>
      </c>
      <c r="F331" s="378" t="s">
        <v>380</v>
      </c>
      <c r="G331" s="459"/>
      <c r="H331" s="493">
        <f t="shared" si="19"/>
        <v>0</v>
      </c>
    </row>
    <row r="332" spans="1:8" hidden="1" outlineLevel="1" x14ac:dyDescent="0.2">
      <c r="A332" s="369" t="s">
        <v>365</v>
      </c>
      <c r="B332" s="503"/>
      <c r="C332" s="458"/>
      <c r="D332" s="458"/>
      <c r="E332" s="370" t="s">
        <v>381</v>
      </c>
      <c r="F332" s="378" t="s">
        <v>382</v>
      </c>
      <c r="G332" s="459"/>
      <c r="H332" s="493">
        <f t="shared" si="19"/>
        <v>0</v>
      </c>
    </row>
    <row r="333" spans="1:8" hidden="1" outlineLevel="1" x14ac:dyDescent="0.2">
      <c r="A333" s="369" t="s">
        <v>365</v>
      </c>
      <c r="B333" s="354"/>
      <c r="C333" s="458"/>
      <c r="D333" s="458"/>
      <c r="E333" s="370"/>
      <c r="F333" s="378"/>
      <c r="G333" s="459"/>
      <c r="H333" s="493">
        <f t="shared" si="19"/>
        <v>0</v>
      </c>
    </row>
    <row r="334" spans="1:8" ht="13.5" hidden="1" outlineLevel="1" thickBot="1" x14ac:dyDescent="0.25">
      <c r="A334" s="369"/>
      <c r="B334" s="354"/>
      <c r="C334" s="458"/>
      <c r="D334" s="458"/>
      <c r="E334" s="377"/>
      <c r="F334" s="378"/>
      <c r="G334" s="378"/>
      <c r="H334" s="461"/>
    </row>
    <row r="335" spans="1:8" ht="13.5" hidden="1" outlineLevel="1" thickBot="1" x14ac:dyDescent="0.25">
      <c r="A335" s="336"/>
      <c r="B335" s="356"/>
      <c r="C335" s="462"/>
      <c r="D335" s="462"/>
      <c r="E335" s="363"/>
      <c r="F335" s="339" t="s">
        <v>383</v>
      </c>
      <c r="G335" s="463"/>
      <c r="H335" s="361"/>
    </row>
    <row r="336" spans="1:8" hidden="1" outlineLevel="1" x14ac:dyDescent="0.2">
      <c r="A336" s="349" t="s">
        <v>365</v>
      </c>
      <c r="B336" s="350"/>
      <c r="C336" s="454"/>
      <c r="D336" s="454"/>
      <c r="E336" s="352" t="s">
        <v>384</v>
      </c>
      <c r="F336" s="455" t="s">
        <v>385</v>
      </c>
      <c r="G336" s="453"/>
      <c r="H336" s="493">
        <f>G336*B336</f>
        <v>0</v>
      </c>
    </row>
    <row r="337" spans="1:8" ht="13.5" hidden="1" outlineLevel="1" thickBot="1" x14ac:dyDescent="0.25">
      <c r="A337" s="369" t="s">
        <v>365</v>
      </c>
      <c r="B337" s="354"/>
      <c r="C337" s="458"/>
      <c r="D337" s="458"/>
      <c r="E337" s="370" t="s">
        <v>386</v>
      </c>
      <c r="F337" s="378" t="s">
        <v>387</v>
      </c>
      <c r="G337" s="459"/>
      <c r="H337" s="489">
        <f>G337*B337</f>
        <v>0</v>
      </c>
    </row>
    <row r="338" spans="1:8" ht="13.5" hidden="1" outlineLevel="1" thickBot="1" x14ac:dyDescent="0.25">
      <c r="A338" s="336"/>
      <c r="B338" s="356"/>
      <c r="C338" s="357"/>
      <c r="D338" s="357"/>
      <c r="E338" s="380"/>
      <c r="F338" s="439" t="s">
        <v>388</v>
      </c>
      <c r="G338" s="464"/>
      <c r="H338" s="504">
        <f>SUM(H324:H333,H334:H337)</f>
        <v>0</v>
      </c>
    </row>
    <row r="339" spans="1:8" ht="13.5" hidden="1" outlineLevel="1" thickBot="1" x14ac:dyDescent="0.25">
      <c r="A339" s="336"/>
      <c r="B339" s="356"/>
      <c r="C339" s="357"/>
      <c r="D339" s="357"/>
      <c r="E339" s="380"/>
      <c r="F339" s="439" t="s">
        <v>389</v>
      </c>
      <c r="G339" s="464"/>
      <c r="H339" s="504">
        <f>H338*(H1+H2)</f>
        <v>0</v>
      </c>
    </row>
    <row r="340" spans="1:8" ht="13.5" hidden="1" outlineLevel="1" thickBot="1" x14ac:dyDescent="0.25">
      <c r="A340" s="336"/>
      <c r="B340" s="356"/>
      <c r="C340" s="357"/>
      <c r="D340" s="357"/>
      <c r="E340" s="380"/>
      <c r="F340" s="465" t="s">
        <v>390</v>
      </c>
      <c r="G340" s="466"/>
      <c r="H340" s="505">
        <f>SUM(H338:H339)</f>
        <v>0</v>
      </c>
    </row>
    <row r="341" spans="1:8" ht="13.5" collapsed="1" thickBot="1" x14ac:dyDescent="0.25">
      <c r="A341" s="467" t="s">
        <v>391</v>
      </c>
      <c r="B341" s="356"/>
      <c r="C341" s="462"/>
      <c r="D341" s="462"/>
      <c r="E341" s="358"/>
      <c r="F341" s="339"/>
      <c r="G341" s="468"/>
      <c r="H341" s="506"/>
    </row>
    <row r="342" spans="1:8" ht="13.5" thickBot="1" x14ac:dyDescent="0.25">
      <c r="A342" s="469"/>
      <c r="B342" s="320"/>
      <c r="C342" s="470"/>
      <c r="D342" s="470"/>
      <c r="E342" s="405"/>
      <c r="F342" s="397"/>
      <c r="G342" s="471" t="s">
        <v>392</v>
      </c>
      <c r="H342" s="507">
        <f>SUM(H340,H321,H293,H270,H240,H172,H104,H28,)</f>
        <v>41739.112000000001</v>
      </c>
    </row>
    <row r="343" spans="1:8" x14ac:dyDescent="0.2">
      <c r="A343" s="472"/>
      <c r="H343" s="473"/>
    </row>
    <row r="344" spans="1:8" x14ac:dyDescent="0.2">
      <c r="G344" s="476"/>
    </row>
    <row r="345" spans="1:8" x14ac:dyDescent="0.2">
      <c r="G345" s="184"/>
    </row>
    <row r="346" spans="1:8" x14ac:dyDescent="0.2">
      <c r="G346" s="184"/>
    </row>
    <row r="347" spans="1:8" x14ac:dyDescent="0.2">
      <c r="G347" s="184"/>
    </row>
    <row r="348" spans="1:8" x14ac:dyDescent="0.2">
      <c r="G348" s="184"/>
    </row>
    <row r="349" spans="1:8" x14ac:dyDescent="0.2">
      <c r="G349" s="184"/>
    </row>
    <row r="350" spans="1:8" x14ac:dyDescent="0.2">
      <c r="G350" s="184"/>
    </row>
    <row r="351" spans="1:8" x14ac:dyDescent="0.2">
      <c r="G351" s="184"/>
    </row>
    <row r="352" spans="1:8" x14ac:dyDescent="0.2">
      <c r="G352" s="184"/>
    </row>
    <row r="353" spans="7:7" x14ac:dyDescent="0.2">
      <c r="G353" s="184"/>
    </row>
    <row r="354" spans="7:7" x14ac:dyDescent="0.2">
      <c r="G354" s="184"/>
    </row>
    <row r="355" spans="7:7" x14ac:dyDescent="0.2">
      <c r="G355" s="184"/>
    </row>
    <row r="356" spans="7:7" x14ac:dyDescent="0.2">
      <c r="G356" s="184"/>
    </row>
    <row r="357" spans="7:7" x14ac:dyDescent="0.2">
      <c r="G357" s="184"/>
    </row>
    <row r="358" spans="7:7" x14ac:dyDescent="0.2">
      <c r="G358" s="184"/>
    </row>
    <row r="359" spans="7:7" x14ac:dyDescent="0.2">
      <c r="G359" s="184"/>
    </row>
    <row r="360" spans="7:7" x14ac:dyDescent="0.2">
      <c r="G360" s="184"/>
    </row>
    <row r="361" spans="7:7" x14ac:dyDescent="0.2">
      <c r="G361" s="184"/>
    </row>
    <row r="362" spans="7:7" x14ac:dyDescent="0.2">
      <c r="G362" s="476"/>
    </row>
    <row r="363" spans="7:7" x14ac:dyDescent="0.2">
      <c r="G363" s="476"/>
    </row>
    <row r="364" spans="7:7" x14ac:dyDescent="0.2">
      <c r="G364" s="476"/>
    </row>
    <row r="365" spans="7:7" x14ac:dyDescent="0.2">
      <c r="G365" s="476"/>
    </row>
    <row r="366" spans="7:7" x14ac:dyDescent="0.2">
      <c r="G366" s="476"/>
    </row>
    <row r="367" spans="7:7" x14ac:dyDescent="0.2">
      <c r="G367" s="476"/>
    </row>
    <row r="368" spans="7:7" x14ac:dyDescent="0.2">
      <c r="G368" s="476"/>
    </row>
    <row r="369" spans="7:7" x14ac:dyDescent="0.2">
      <c r="G369" s="476"/>
    </row>
    <row r="370" spans="7:7" x14ac:dyDescent="0.2">
      <c r="G370" s="476"/>
    </row>
    <row r="371" spans="7:7" x14ac:dyDescent="0.2">
      <c r="G371" s="476"/>
    </row>
    <row r="372" spans="7:7" x14ac:dyDescent="0.2">
      <c r="G372" s="476"/>
    </row>
    <row r="373" spans="7:7" x14ac:dyDescent="0.2">
      <c r="G373" s="476"/>
    </row>
    <row r="374" spans="7:7" x14ac:dyDescent="0.2">
      <c r="G374" s="476"/>
    </row>
    <row r="375" spans="7:7" x14ac:dyDescent="0.2">
      <c r="G375" s="476"/>
    </row>
    <row r="376" spans="7:7" x14ac:dyDescent="0.2">
      <c r="G376" s="476"/>
    </row>
    <row r="377" spans="7:7" x14ac:dyDescent="0.2">
      <c r="G377" s="476"/>
    </row>
    <row r="378" spans="7:7" x14ac:dyDescent="0.2">
      <c r="G378" s="476"/>
    </row>
    <row r="379" spans="7:7" x14ac:dyDescent="0.2">
      <c r="G379" s="476"/>
    </row>
    <row r="380" spans="7:7" x14ac:dyDescent="0.2">
      <c r="G380" s="476"/>
    </row>
    <row r="381" spans="7:7" x14ac:dyDescent="0.2">
      <c r="G381" s="476"/>
    </row>
    <row r="382" spans="7:7" x14ac:dyDescent="0.2">
      <c r="G382" s="476"/>
    </row>
    <row r="383" spans="7:7" x14ac:dyDescent="0.2">
      <c r="G383" s="476"/>
    </row>
    <row r="384" spans="7:7" x14ac:dyDescent="0.2">
      <c r="G384" s="476"/>
    </row>
  </sheetData>
  <sheetProtection formatCells="0" formatColumns="0" formatRows="0" sort="0" autoFilter="0"/>
  <autoFilter ref="B4:B342" xr:uid="{00000000-0009-0000-0000-000002000000}"/>
  <mergeCells count="7">
    <mergeCell ref="G3:H3"/>
    <mergeCell ref="A1:B1"/>
    <mergeCell ref="C1:F1"/>
    <mergeCell ref="A2:B2"/>
    <mergeCell ref="C2:F2"/>
    <mergeCell ref="A3:B3"/>
    <mergeCell ref="C3:F3"/>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R491"/>
  <sheetViews>
    <sheetView zoomScaleNormal="100" workbookViewId="0">
      <pane ySplit="5" topLeftCell="A373" activePane="bottomLeft" state="frozen"/>
      <selection pane="bottomLeft" activeCell="D266" sqref="D266"/>
    </sheetView>
  </sheetViews>
  <sheetFormatPr defaultColWidth="8.85546875" defaultRowHeight="15" customHeight="1" outlineLevelRow="1" x14ac:dyDescent="0.2"/>
  <cols>
    <col min="1" max="1" width="9.7109375" style="49" customWidth="1"/>
    <col min="2" max="2" width="10.28515625" style="12" bestFit="1" customWidth="1"/>
    <col min="3" max="3" width="7.140625" style="49" bestFit="1" customWidth="1"/>
    <col min="4" max="4" width="65.140625" style="49" customWidth="1"/>
    <col min="5" max="5" width="25.140625" style="49" bestFit="1" customWidth="1"/>
    <col min="6" max="6" width="9.5703125" style="49" bestFit="1" customWidth="1"/>
    <col min="7" max="7" width="8.85546875" style="49"/>
    <col min="8" max="8" width="20.85546875" style="535" bestFit="1" customWidth="1"/>
    <col min="9" max="9" width="8.85546875" style="218"/>
    <col min="10" max="16384" width="8.85546875" style="49"/>
  </cols>
  <sheetData>
    <row r="1" spans="1:8" ht="15" customHeight="1" x14ac:dyDescent="0.2">
      <c r="A1" s="975" t="s">
        <v>1</v>
      </c>
      <c r="B1" s="975"/>
      <c r="C1" s="11" t="s">
        <v>393</v>
      </c>
      <c r="D1" s="11" t="str">
        <f>'COVER SHEET'!B2</f>
        <v>LUMOS</v>
      </c>
      <c r="E1" s="11" t="s">
        <v>394</v>
      </c>
      <c r="F1" s="11"/>
    </row>
    <row r="2" spans="1:8" ht="15" customHeight="1" x14ac:dyDescent="0.2">
      <c r="A2" s="975" t="s">
        <v>3</v>
      </c>
      <c r="B2" s="975"/>
      <c r="C2" s="11" t="s">
        <v>393</v>
      </c>
      <c r="D2" s="11" t="str">
        <f>'COVER SHEET'!F2</f>
        <v>CHAD ROBERTSON</v>
      </c>
      <c r="E2" s="11"/>
      <c r="F2" s="11"/>
      <c r="G2" s="11"/>
      <c r="H2" s="536"/>
    </row>
    <row r="3" spans="1:8" ht="15" customHeight="1" x14ac:dyDescent="0.2">
      <c r="A3" s="975" t="s">
        <v>7</v>
      </c>
      <c r="B3" s="975"/>
      <c r="C3" s="11" t="s">
        <v>393</v>
      </c>
      <c r="D3" s="11" t="str">
        <f>'COVER SHEET'!F4</f>
        <v>CHST 02-01</v>
      </c>
      <c r="E3" s="11"/>
      <c r="F3" s="11"/>
      <c r="G3" s="11"/>
      <c r="H3" s="536"/>
    </row>
    <row r="4" spans="1:8" ht="15" customHeight="1" thickBot="1" x14ac:dyDescent="0.25">
      <c r="A4" s="12"/>
      <c r="C4" s="12"/>
      <c r="D4" s="250"/>
      <c r="E4" s="13"/>
      <c r="F4" s="13"/>
    </row>
    <row r="5" spans="1:8" ht="15" customHeight="1" thickBot="1" x14ac:dyDescent="0.25">
      <c r="A5" s="43" t="s">
        <v>67</v>
      </c>
      <c r="B5" s="7" t="s">
        <v>68</v>
      </c>
      <c r="C5" s="7" t="s">
        <v>395</v>
      </c>
      <c r="D5" s="7" t="s">
        <v>396</v>
      </c>
      <c r="E5" s="44" t="s">
        <v>397</v>
      </c>
      <c r="F5" s="144" t="s">
        <v>73</v>
      </c>
    </row>
    <row r="6" spans="1:8" ht="15" customHeight="1" thickBot="1" x14ac:dyDescent="0.25">
      <c r="A6" s="121"/>
      <c r="B6" s="185" t="str">
        <f>IF(SUM(F29)&gt;0,"-","")</f>
        <v>-</v>
      </c>
      <c r="C6" s="91"/>
      <c r="D6" s="91" t="s">
        <v>398</v>
      </c>
      <c r="E6" s="119"/>
      <c r="F6" s="150"/>
    </row>
    <row r="7" spans="1:8" ht="15" customHeight="1" outlineLevel="1" x14ac:dyDescent="0.2">
      <c r="A7" s="10"/>
      <c r="B7" s="52"/>
      <c r="C7" s="17"/>
      <c r="D7" s="18" t="s">
        <v>399</v>
      </c>
      <c r="E7" s="19">
        <v>0.7</v>
      </c>
      <c r="F7" s="74">
        <f t="shared" ref="F7:F28" si="0">E7*B7</f>
        <v>0</v>
      </c>
    </row>
    <row r="8" spans="1:8" ht="15" customHeight="1" outlineLevel="1" x14ac:dyDescent="0.2">
      <c r="A8" s="8"/>
      <c r="B8" s="53"/>
      <c r="C8" s="1"/>
      <c r="D8" s="20" t="s">
        <v>400</v>
      </c>
      <c r="E8" s="21">
        <v>50</v>
      </c>
      <c r="F8" s="63">
        <f t="shared" si="0"/>
        <v>0</v>
      </c>
    </row>
    <row r="9" spans="1:8" ht="15" customHeight="1" outlineLevel="1" x14ac:dyDescent="0.2">
      <c r="A9" s="8"/>
      <c r="B9" s="53"/>
      <c r="C9" s="1"/>
      <c r="D9" s="20" t="s">
        <v>401</v>
      </c>
      <c r="E9" s="21">
        <v>1</v>
      </c>
      <c r="F9" s="63">
        <f t="shared" si="0"/>
        <v>0</v>
      </c>
    </row>
    <row r="10" spans="1:8" ht="15" customHeight="1" outlineLevel="1" x14ac:dyDescent="0.2">
      <c r="A10" s="8"/>
      <c r="B10" s="53"/>
      <c r="C10" s="1"/>
      <c r="D10" s="20" t="s">
        <v>402</v>
      </c>
      <c r="E10" s="21">
        <v>0.5</v>
      </c>
      <c r="F10" s="63">
        <f t="shared" si="0"/>
        <v>0</v>
      </c>
    </row>
    <row r="11" spans="1:8" ht="15" customHeight="1" outlineLevel="1" x14ac:dyDescent="0.2">
      <c r="A11" s="8"/>
      <c r="B11" s="53"/>
      <c r="C11" s="1"/>
      <c r="D11" s="20" t="s">
        <v>403</v>
      </c>
      <c r="E11" s="21">
        <v>0.5</v>
      </c>
      <c r="F11" s="63">
        <f t="shared" si="0"/>
        <v>0</v>
      </c>
    </row>
    <row r="12" spans="1:8" ht="15" customHeight="1" outlineLevel="1" x14ac:dyDescent="0.2">
      <c r="A12" s="8"/>
      <c r="B12" s="53"/>
      <c r="C12" s="1"/>
      <c r="D12" s="20" t="s">
        <v>404</v>
      </c>
      <c r="E12" s="21">
        <v>0.5</v>
      </c>
      <c r="F12" s="63">
        <f t="shared" si="0"/>
        <v>0</v>
      </c>
    </row>
    <row r="13" spans="1:8" ht="15" customHeight="1" outlineLevel="1" x14ac:dyDescent="0.2">
      <c r="A13" s="8"/>
      <c r="B13" s="53"/>
      <c r="C13" s="1"/>
      <c r="D13" s="20" t="s">
        <v>405</v>
      </c>
      <c r="E13" s="21">
        <v>0.5</v>
      </c>
      <c r="F13" s="63">
        <f t="shared" si="0"/>
        <v>0</v>
      </c>
    </row>
    <row r="14" spans="1:8" ht="15" customHeight="1" outlineLevel="1" x14ac:dyDescent="0.2">
      <c r="A14" s="8"/>
      <c r="B14" s="53"/>
      <c r="C14" s="1"/>
      <c r="D14" s="20" t="s">
        <v>406</v>
      </c>
      <c r="E14" s="21">
        <v>0.5</v>
      </c>
      <c r="F14" s="63">
        <f t="shared" si="0"/>
        <v>0</v>
      </c>
    </row>
    <row r="15" spans="1:8" ht="15" customHeight="1" outlineLevel="1" x14ac:dyDescent="0.2">
      <c r="A15" s="8"/>
      <c r="B15" s="53">
        <f>SUM('LABOR SPAN SHEET'!AD2)</f>
        <v>10899</v>
      </c>
      <c r="C15" s="1"/>
      <c r="D15" s="20" t="s">
        <v>407</v>
      </c>
      <c r="E15" s="21">
        <v>0.5</v>
      </c>
      <c r="F15" s="63">
        <f t="shared" si="0"/>
        <v>5449.5</v>
      </c>
    </row>
    <row r="16" spans="1:8" ht="15" customHeight="1" outlineLevel="1" x14ac:dyDescent="0.2">
      <c r="A16" s="8"/>
      <c r="B16" s="53"/>
      <c r="C16" s="1"/>
      <c r="D16" s="20" t="s">
        <v>408</v>
      </c>
      <c r="E16" s="145"/>
      <c r="F16" s="63">
        <f t="shared" si="0"/>
        <v>0</v>
      </c>
    </row>
    <row r="17" spans="1:6" ht="15" customHeight="1" outlineLevel="1" x14ac:dyDescent="0.2">
      <c r="A17" s="8"/>
      <c r="B17" s="53"/>
      <c r="C17" s="1"/>
      <c r="D17" s="20" t="s">
        <v>409</v>
      </c>
      <c r="E17" s="21">
        <v>0.6</v>
      </c>
      <c r="F17" s="63">
        <f t="shared" si="0"/>
        <v>0</v>
      </c>
    </row>
    <row r="18" spans="1:6" ht="15" customHeight="1" outlineLevel="1" x14ac:dyDescent="0.2">
      <c r="A18" s="8"/>
      <c r="B18" s="53"/>
      <c r="C18" s="1"/>
      <c r="D18" s="20" t="s">
        <v>410</v>
      </c>
      <c r="E18" s="145"/>
      <c r="F18" s="63">
        <f t="shared" si="0"/>
        <v>0</v>
      </c>
    </row>
    <row r="19" spans="1:6" ht="15" customHeight="1" outlineLevel="1" x14ac:dyDescent="0.2">
      <c r="A19" s="8"/>
      <c r="B19" s="53"/>
      <c r="C19" s="1"/>
      <c r="D19" s="20" t="s">
        <v>411</v>
      </c>
      <c r="E19" s="21">
        <v>150</v>
      </c>
      <c r="F19" s="63">
        <f t="shared" si="0"/>
        <v>0</v>
      </c>
    </row>
    <row r="20" spans="1:6" ht="15" customHeight="1" outlineLevel="1" x14ac:dyDescent="0.2">
      <c r="A20" s="8"/>
      <c r="B20" s="53"/>
      <c r="C20" s="1"/>
      <c r="D20" s="20" t="s">
        <v>412</v>
      </c>
      <c r="E20" s="21">
        <v>350</v>
      </c>
      <c r="F20" s="63">
        <f t="shared" si="0"/>
        <v>0</v>
      </c>
    </row>
    <row r="21" spans="1:6" ht="15" customHeight="1" outlineLevel="1" x14ac:dyDescent="0.2">
      <c r="A21" s="8"/>
      <c r="B21" s="53"/>
      <c r="C21" s="1"/>
      <c r="D21" s="20" t="s">
        <v>413</v>
      </c>
      <c r="E21" s="21">
        <v>500</v>
      </c>
      <c r="F21" s="63">
        <f t="shared" si="0"/>
        <v>0</v>
      </c>
    </row>
    <row r="22" spans="1:6" ht="15" customHeight="1" outlineLevel="1" x14ac:dyDescent="0.2">
      <c r="A22" s="8"/>
      <c r="B22" s="53"/>
      <c r="C22" s="1"/>
      <c r="D22" s="20" t="s">
        <v>414</v>
      </c>
      <c r="E22" s="21">
        <v>48</v>
      </c>
      <c r="F22" s="63">
        <f t="shared" si="0"/>
        <v>0</v>
      </c>
    </row>
    <row r="23" spans="1:6" ht="15" customHeight="1" outlineLevel="1" x14ac:dyDescent="0.2">
      <c r="A23" s="8"/>
      <c r="B23" s="53"/>
      <c r="C23" s="1"/>
      <c r="D23" s="20" t="s">
        <v>415</v>
      </c>
      <c r="E23" s="21">
        <v>48</v>
      </c>
      <c r="F23" s="63">
        <f t="shared" si="0"/>
        <v>0</v>
      </c>
    </row>
    <row r="24" spans="1:6" ht="15" customHeight="1" outlineLevel="1" x14ac:dyDescent="0.2">
      <c r="A24" s="8"/>
      <c r="B24" s="53"/>
      <c r="C24" s="1"/>
      <c r="D24" s="20" t="s">
        <v>416</v>
      </c>
      <c r="E24" s="21">
        <v>37</v>
      </c>
      <c r="F24" s="63">
        <f t="shared" si="0"/>
        <v>0</v>
      </c>
    </row>
    <row r="25" spans="1:6" ht="15" customHeight="1" outlineLevel="1" x14ac:dyDescent="0.2">
      <c r="A25" s="8"/>
      <c r="B25" s="53"/>
      <c r="C25" s="1"/>
      <c r="D25" s="20" t="s">
        <v>417</v>
      </c>
      <c r="E25" s="21">
        <v>21</v>
      </c>
      <c r="F25" s="63">
        <f t="shared" si="0"/>
        <v>0</v>
      </c>
    </row>
    <row r="26" spans="1:6" ht="15" customHeight="1" outlineLevel="1" x14ac:dyDescent="0.2">
      <c r="A26" s="8"/>
      <c r="B26" s="53"/>
      <c r="C26" s="1"/>
      <c r="D26" s="20" t="s">
        <v>418</v>
      </c>
      <c r="E26" s="21">
        <v>29</v>
      </c>
      <c r="F26" s="63">
        <f t="shared" si="0"/>
        <v>0</v>
      </c>
    </row>
    <row r="27" spans="1:6" ht="15" customHeight="1" outlineLevel="1" x14ac:dyDescent="0.2">
      <c r="A27" s="8"/>
      <c r="B27" s="53"/>
      <c r="C27" s="1"/>
      <c r="D27" s="20" t="s">
        <v>419</v>
      </c>
      <c r="E27" s="21">
        <v>21</v>
      </c>
      <c r="F27" s="63">
        <f t="shared" si="0"/>
        <v>0</v>
      </c>
    </row>
    <row r="28" spans="1:6" ht="15" customHeight="1" outlineLevel="1" thickBot="1" x14ac:dyDescent="0.25">
      <c r="A28" s="8"/>
      <c r="B28" s="1"/>
      <c r="C28" s="1"/>
      <c r="D28" s="20" t="s">
        <v>420</v>
      </c>
      <c r="E28" s="21">
        <v>500</v>
      </c>
      <c r="F28" s="63">
        <f t="shared" si="0"/>
        <v>0</v>
      </c>
    </row>
    <row r="29" spans="1:6" ht="15" customHeight="1" outlineLevel="1" thickBot="1" x14ac:dyDescent="0.25">
      <c r="A29" s="110"/>
      <c r="B29" s="112"/>
      <c r="C29" s="112"/>
      <c r="D29" s="9" t="s">
        <v>1028</v>
      </c>
      <c r="E29" s="135"/>
      <c r="F29" s="62">
        <f>SUM(F7:F28)</f>
        <v>5449.5</v>
      </c>
    </row>
    <row r="30" spans="1:6" ht="15" customHeight="1" outlineLevel="1" thickBot="1" x14ac:dyDescent="0.25">
      <c r="A30" s="151" t="s">
        <v>421</v>
      </c>
      <c r="B30" s="120"/>
      <c r="C30" s="120"/>
      <c r="D30" s="104"/>
      <c r="E30" s="152"/>
      <c r="F30" s="105"/>
    </row>
    <row r="31" spans="1:6" ht="15" customHeight="1" outlineLevel="1" thickBot="1" x14ac:dyDescent="0.25">
      <c r="A31" s="242"/>
      <c r="B31" s="97" t="str">
        <f>IF(SUM(F35)&gt;0,"-","")</f>
        <v/>
      </c>
      <c r="C31" s="243"/>
      <c r="D31" s="243" t="s">
        <v>422</v>
      </c>
      <c r="E31" s="245"/>
      <c r="F31" s="83"/>
    </row>
    <row r="32" spans="1:6" ht="15" customHeight="1" outlineLevel="1" x14ac:dyDescent="0.2">
      <c r="A32" s="3"/>
      <c r="B32" s="54"/>
      <c r="C32" s="85"/>
      <c r="D32" s="143" t="s">
        <v>423</v>
      </c>
      <c r="E32" s="87">
        <v>32</v>
      </c>
      <c r="F32" s="64">
        <f>E32*B32</f>
        <v>0</v>
      </c>
    </row>
    <row r="33" spans="1:6" ht="15" customHeight="1" outlineLevel="1" x14ac:dyDescent="0.2">
      <c r="A33" s="14"/>
      <c r="B33" s="4"/>
      <c r="C33" s="5"/>
      <c r="D33" s="15" t="s">
        <v>424</v>
      </c>
      <c r="E33" s="16"/>
      <c r="F33" s="59">
        <f>E33*B33</f>
        <v>0</v>
      </c>
    </row>
    <row r="34" spans="1:6" ht="15" customHeight="1" outlineLevel="1" thickBot="1" x14ac:dyDescent="0.25">
      <c r="A34" s="14"/>
      <c r="B34" s="5"/>
      <c r="C34" s="5"/>
      <c r="D34" s="15" t="s">
        <v>425</v>
      </c>
      <c r="E34" s="16">
        <v>150</v>
      </c>
      <c r="F34" s="59">
        <f>E34*B34</f>
        <v>0</v>
      </c>
    </row>
    <row r="35" spans="1:6" ht="15" customHeight="1" outlineLevel="1" thickBot="1" x14ac:dyDescent="0.25">
      <c r="A35" s="45"/>
      <c r="B35" s="130"/>
      <c r="C35" s="130"/>
      <c r="D35" s="7" t="s">
        <v>1029</v>
      </c>
      <c r="E35" s="44"/>
      <c r="F35" s="58">
        <f>SUM(F32:F34)</f>
        <v>0</v>
      </c>
    </row>
    <row r="36" spans="1:6" ht="15" customHeight="1" outlineLevel="1" thickBot="1" x14ac:dyDescent="0.25">
      <c r="A36" s="149" t="s">
        <v>426</v>
      </c>
      <c r="B36" s="97"/>
      <c r="C36" s="97"/>
      <c r="D36" s="243"/>
      <c r="E36" s="245"/>
      <c r="F36" s="83"/>
    </row>
    <row r="37" spans="1:6" ht="15" customHeight="1" outlineLevel="1" thickBot="1" x14ac:dyDescent="0.25">
      <c r="A37" s="132"/>
      <c r="B37" s="142" t="str">
        <f>IF(SUM(F56)&gt;0,"-","")</f>
        <v>-</v>
      </c>
      <c r="C37" s="142"/>
      <c r="D37" s="124" t="s">
        <v>427</v>
      </c>
      <c r="E37" s="128"/>
      <c r="F37" s="129"/>
    </row>
    <row r="38" spans="1:6" ht="15" customHeight="1" outlineLevel="1" x14ac:dyDescent="0.2">
      <c r="A38" s="10"/>
      <c r="B38" s="52"/>
      <c r="C38" s="17"/>
      <c r="D38" s="18" t="s">
        <v>428</v>
      </c>
      <c r="E38" s="19">
        <v>50</v>
      </c>
      <c r="F38" s="74">
        <f>E38*B38</f>
        <v>0</v>
      </c>
    </row>
    <row r="39" spans="1:6" ht="15" customHeight="1" outlineLevel="1" x14ac:dyDescent="0.2">
      <c r="A39" s="8"/>
      <c r="B39" s="53"/>
      <c r="C39" s="1"/>
      <c r="D39" s="20" t="s">
        <v>429</v>
      </c>
      <c r="E39" s="21">
        <v>50</v>
      </c>
      <c r="F39" s="63">
        <f>E39*B39</f>
        <v>0</v>
      </c>
    </row>
    <row r="40" spans="1:6" ht="15" customHeight="1" outlineLevel="1" x14ac:dyDescent="0.2">
      <c r="A40" s="8"/>
      <c r="B40" s="53"/>
      <c r="C40" s="1"/>
      <c r="D40" s="20" t="s">
        <v>430</v>
      </c>
      <c r="E40" s="21">
        <v>500</v>
      </c>
      <c r="F40" s="63">
        <f>E40*B40</f>
        <v>0</v>
      </c>
    </row>
    <row r="41" spans="1:6" ht="15" customHeight="1" outlineLevel="1" x14ac:dyDescent="0.2">
      <c r="A41" s="8"/>
      <c r="B41" s="53"/>
      <c r="C41" s="1"/>
      <c r="D41" s="20" t="s">
        <v>431</v>
      </c>
      <c r="E41" s="21">
        <v>500</v>
      </c>
      <c r="F41" s="63">
        <f>E41*B41</f>
        <v>0</v>
      </c>
    </row>
    <row r="42" spans="1:6" ht="15" customHeight="1" outlineLevel="1" x14ac:dyDescent="0.2">
      <c r="A42" s="8"/>
      <c r="B42" s="1" t="str">
        <f>IF(SUM(F42)&gt;0,"-","")</f>
        <v/>
      </c>
      <c r="C42" s="1"/>
      <c r="D42" s="187" t="s">
        <v>432</v>
      </c>
      <c r="E42" s="21">
        <v>0</v>
      </c>
      <c r="F42" s="63">
        <f>E42</f>
        <v>0</v>
      </c>
    </row>
    <row r="43" spans="1:6" ht="15" customHeight="1" outlineLevel="1" x14ac:dyDescent="0.2">
      <c r="A43" s="8"/>
      <c r="B43" s="53"/>
      <c r="C43" s="1"/>
      <c r="D43" s="20" t="s">
        <v>433</v>
      </c>
      <c r="E43" s="21">
        <v>50</v>
      </c>
      <c r="F43" s="63">
        <f t="shared" ref="F43:F48" si="1">E43*B43</f>
        <v>0</v>
      </c>
    </row>
    <row r="44" spans="1:6" ht="15" customHeight="1" outlineLevel="1" x14ac:dyDescent="0.2">
      <c r="A44" s="8"/>
      <c r="B44" s="53"/>
      <c r="C44" s="1"/>
      <c r="D44" s="20" t="s">
        <v>434</v>
      </c>
      <c r="E44" s="21">
        <v>610</v>
      </c>
      <c r="F44" s="63">
        <f t="shared" si="1"/>
        <v>0</v>
      </c>
    </row>
    <row r="45" spans="1:6" ht="15" customHeight="1" outlineLevel="1" x14ac:dyDescent="0.2">
      <c r="A45" s="8"/>
      <c r="B45" s="53"/>
      <c r="C45" s="1"/>
      <c r="D45" s="20" t="s">
        <v>435</v>
      </c>
      <c r="E45" s="21">
        <v>300</v>
      </c>
      <c r="F45" s="63">
        <f t="shared" si="1"/>
        <v>0</v>
      </c>
    </row>
    <row r="46" spans="1:6" ht="15" customHeight="1" outlineLevel="1" x14ac:dyDescent="0.2">
      <c r="A46" s="8"/>
      <c r="B46" s="53"/>
      <c r="C46" s="1"/>
      <c r="D46" s="20" t="s">
        <v>436</v>
      </c>
      <c r="E46" s="21">
        <v>300</v>
      </c>
      <c r="F46" s="63">
        <f t="shared" si="1"/>
        <v>0</v>
      </c>
    </row>
    <row r="47" spans="1:6" ht="15" customHeight="1" outlineLevel="1" x14ac:dyDescent="0.2">
      <c r="A47" s="8"/>
      <c r="B47" s="53"/>
      <c r="C47" s="1"/>
      <c r="D47" s="20" t="s">
        <v>437</v>
      </c>
      <c r="E47" s="21">
        <v>625</v>
      </c>
      <c r="F47" s="63">
        <f t="shared" si="1"/>
        <v>0</v>
      </c>
    </row>
    <row r="48" spans="1:6" ht="15" customHeight="1" outlineLevel="1" x14ac:dyDescent="0.2">
      <c r="A48" s="8"/>
      <c r="B48" s="53"/>
      <c r="C48" s="1"/>
      <c r="D48" s="20" t="s">
        <v>410</v>
      </c>
      <c r="E48" s="145">
        <v>600</v>
      </c>
      <c r="F48" s="63">
        <f t="shared" si="1"/>
        <v>0</v>
      </c>
    </row>
    <row r="49" spans="1:11" ht="15" customHeight="1" outlineLevel="1" x14ac:dyDescent="0.2">
      <c r="A49" s="8"/>
      <c r="B49" s="1"/>
      <c r="C49" s="1"/>
      <c r="D49" s="187" t="s">
        <v>438</v>
      </c>
      <c r="E49" s="21">
        <v>175</v>
      </c>
      <c r="F49" s="63">
        <f>E49*B49</f>
        <v>0</v>
      </c>
    </row>
    <row r="50" spans="1:11" ht="15" customHeight="1" outlineLevel="1" x14ac:dyDescent="0.2">
      <c r="A50" s="8"/>
      <c r="B50" s="1"/>
      <c r="C50" s="1"/>
      <c r="D50" s="187" t="s">
        <v>439</v>
      </c>
      <c r="E50" s="21">
        <v>50</v>
      </c>
      <c r="F50" s="63">
        <f t="shared" ref="F50:F53" si="2">E50*B50</f>
        <v>0</v>
      </c>
    </row>
    <row r="51" spans="1:11" ht="15" customHeight="1" outlineLevel="1" x14ac:dyDescent="0.2">
      <c r="A51" s="8"/>
      <c r="B51" s="1"/>
      <c r="C51" s="1"/>
      <c r="D51" s="187" t="s">
        <v>440</v>
      </c>
      <c r="E51" s="21">
        <v>350</v>
      </c>
      <c r="F51" s="63">
        <f t="shared" si="2"/>
        <v>0</v>
      </c>
    </row>
    <row r="52" spans="1:11" ht="15" customHeight="1" outlineLevel="1" x14ac:dyDescent="0.2">
      <c r="A52" s="8"/>
      <c r="B52" s="1"/>
      <c r="C52" s="1"/>
      <c r="D52" s="187" t="s">
        <v>441</v>
      </c>
      <c r="E52" s="21">
        <v>0</v>
      </c>
      <c r="F52" s="63">
        <f t="shared" si="2"/>
        <v>0</v>
      </c>
    </row>
    <row r="53" spans="1:11" ht="15" customHeight="1" outlineLevel="1" x14ac:dyDescent="0.2">
      <c r="A53" s="8"/>
      <c r="B53" s="1"/>
      <c r="C53" s="1"/>
      <c r="D53" s="187" t="s">
        <v>442</v>
      </c>
      <c r="E53" s="21">
        <v>0</v>
      </c>
      <c r="F53" s="63">
        <f t="shared" si="2"/>
        <v>0</v>
      </c>
    </row>
    <row r="54" spans="1:11" ht="15" customHeight="1" outlineLevel="1" x14ac:dyDescent="0.2">
      <c r="A54" s="8"/>
      <c r="B54" s="1"/>
      <c r="C54" s="1"/>
      <c r="D54" s="187" t="s">
        <v>443</v>
      </c>
      <c r="E54" s="21">
        <v>10000</v>
      </c>
      <c r="F54" s="63">
        <f t="shared" ref="F54:F55" si="3">E54</f>
        <v>10000</v>
      </c>
    </row>
    <row r="55" spans="1:11" ht="15" customHeight="1" outlineLevel="1" thickBot="1" x14ac:dyDescent="0.25">
      <c r="A55" s="88"/>
      <c r="B55" s="1"/>
      <c r="C55" s="79"/>
      <c r="D55" s="188" t="s">
        <v>444</v>
      </c>
      <c r="E55" s="21">
        <v>0</v>
      </c>
      <c r="F55" s="63">
        <f t="shared" si="3"/>
        <v>0</v>
      </c>
    </row>
    <row r="56" spans="1:11" ht="15" customHeight="1" outlineLevel="1" thickBot="1" x14ac:dyDescent="0.25">
      <c r="A56" s="101"/>
      <c r="B56" s="146"/>
      <c r="C56" s="146"/>
      <c r="D56" s="147" t="s">
        <v>1030</v>
      </c>
      <c r="E56" s="148"/>
      <c r="F56" s="62">
        <f>SUM(F38:F55)</f>
        <v>10000</v>
      </c>
    </row>
    <row r="57" spans="1:11" ht="15" customHeight="1" thickBot="1" x14ac:dyDescent="0.25">
      <c r="A57" s="568" t="s">
        <v>445</v>
      </c>
      <c r="B57" s="569"/>
      <c r="C57" s="569"/>
      <c r="D57" s="570"/>
      <c r="E57" s="571"/>
      <c r="F57" s="572"/>
    </row>
    <row r="58" spans="1:11" ht="15" customHeight="1" thickBot="1" x14ac:dyDescent="0.25">
      <c r="A58" s="93"/>
      <c r="B58" s="97" t="str">
        <f>IF(SUM(F139)&gt;0,"-","")</f>
        <v/>
      </c>
      <c r="C58" s="97"/>
      <c r="D58" s="243" t="s">
        <v>1027</v>
      </c>
      <c r="E58" s="245"/>
      <c r="F58" s="83"/>
    </row>
    <row r="59" spans="1:11" ht="15" customHeight="1" outlineLevel="1" x14ac:dyDescent="0.25">
      <c r="A59" s="3" t="s">
        <v>75</v>
      </c>
      <c r="B59" s="54"/>
      <c r="C59" s="22">
        <v>100</v>
      </c>
      <c r="D59" s="23" t="s">
        <v>446</v>
      </c>
      <c r="E59" s="195">
        <v>250</v>
      </c>
      <c r="F59" s="64">
        <f t="shared" ref="F59:F96" si="4">E59*B59</f>
        <v>0</v>
      </c>
      <c r="G59" s="77"/>
      <c r="H59" s="537"/>
      <c r="I59" s="194"/>
      <c r="J59" s="77"/>
      <c r="K59" s="78"/>
    </row>
    <row r="60" spans="1:11" ht="15" customHeight="1" outlineLevel="1" x14ac:dyDescent="0.25">
      <c r="A60" s="3" t="s">
        <v>75</v>
      </c>
      <c r="B60" s="54"/>
      <c r="C60" s="22">
        <v>105</v>
      </c>
      <c r="D60" s="23" t="s">
        <v>447</v>
      </c>
      <c r="E60" s="195">
        <v>315</v>
      </c>
      <c r="F60" s="64">
        <f t="shared" si="4"/>
        <v>0</v>
      </c>
      <c r="G60" s="77"/>
      <c r="H60" s="538"/>
      <c r="I60" s="194"/>
      <c r="J60" s="77"/>
      <c r="K60" s="78"/>
    </row>
    <row r="61" spans="1:11" ht="15" customHeight="1" outlineLevel="1" x14ac:dyDescent="0.25">
      <c r="A61" s="3" t="s">
        <v>75</v>
      </c>
      <c r="B61" s="4"/>
      <c r="C61" s="24">
        <v>110</v>
      </c>
      <c r="D61" s="25" t="s">
        <v>448</v>
      </c>
      <c r="E61" s="195">
        <v>350</v>
      </c>
      <c r="F61" s="64">
        <f t="shared" si="4"/>
        <v>0</v>
      </c>
      <c r="G61" s="77"/>
      <c r="H61" s="538"/>
      <c r="I61" s="194"/>
      <c r="J61" s="77"/>
      <c r="K61" s="78"/>
    </row>
    <row r="62" spans="1:11" ht="15" customHeight="1" outlineLevel="1" x14ac:dyDescent="0.25">
      <c r="A62" s="3" t="s">
        <v>75</v>
      </c>
      <c r="B62" s="4"/>
      <c r="C62" s="24">
        <v>115</v>
      </c>
      <c r="D62" s="25" t="s">
        <v>449</v>
      </c>
      <c r="E62" s="195">
        <v>395</v>
      </c>
      <c r="F62" s="64">
        <f t="shared" si="4"/>
        <v>0</v>
      </c>
      <c r="G62" s="77"/>
      <c r="H62" s="538"/>
      <c r="I62" s="194"/>
      <c r="J62" s="77"/>
      <c r="K62" s="78"/>
    </row>
    <row r="63" spans="1:11" ht="15" customHeight="1" outlineLevel="1" x14ac:dyDescent="0.25">
      <c r="A63" s="3" t="s">
        <v>75</v>
      </c>
      <c r="B63" s="4"/>
      <c r="C63" s="24">
        <v>120</v>
      </c>
      <c r="D63" s="25" t="s">
        <v>450</v>
      </c>
      <c r="E63" s="195">
        <v>155</v>
      </c>
      <c r="F63" s="64">
        <f t="shared" si="4"/>
        <v>0</v>
      </c>
      <c r="G63" s="77"/>
      <c r="H63" s="538"/>
      <c r="I63" s="194"/>
      <c r="J63" s="77"/>
      <c r="K63" s="78"/>
    </row>
    <row r="64" spans="1:11" ht="15" customHeight="1" outlineLevel="1" x14ac:dyDescent="0.25">
      <c r="A64" s="3" t="s">
        <v>75</v>
      </c>
      <c r="B64" s="4"/>
      <c r="C64" s="24">
        <v>125</v>
      </c>
      <c r="D64" s="25" t="s">
        <v>451</v>
      </c>
      <c r="E64" s="195">
        <v>70</v>
      </c>
      <c r="F64" s="64">
        <f t="shared" si="4"/>
        <v>0</v>
      </c>
      <c r="G64" s="77"/>
      <c r="H64" s="538"/>
      <c r="I64" s="194"/>
      <c r="J64" s="77"/>
      <c r="K64" s="78"/>
    </row>
    <row r="65" spans="1:11" ht="15" customHeight="1" outlineLevel="1" x14ac:dyDescent="0.25">
      <c r="A65" s="3" t="s">
        <v>75</v>
      </c>
      <c r="B65" s="4"/>
      <c r="C65" s="24">
        <v>130</v>
      </c>
      <c r="D65" s="25" t="s">
        <v>452</v>
      </c>
      <c r="E65" s="195">
        <v>80</v>
      </c>
      <c r="F65" s="64">
        <f t="shared" si="4"/>
        <v>0</v>
      </c>
      <c r="G65" s="77"/>
      <c r="H65" s="538"/>
      <c r="I65" s="194"/>
      <c r="J65" s="77"/>
      <c r="K65" s="78"/>
    </row>
    <row r="66" spans="1:11" ht="15" customHeight="1" outlineLevel="1" x14ac:dyDescent="0.25">
      <c r="A66" s="3" t="s">
        <v>75</v>
      </c>
      <c r="B66" s="4"/>
      <c r="C66" s="24">
        <v>135</v>
      </c>
      <c r="D66" s="25" t="s">
        <v>453</v>
      </c>
      <c r="E66" s="195">
        <v>100</v>
      </c>
      <c r="F66" s="64">
        <f t="shared" si="4"/>
        <v>0</v>
      </c>
      <c r="G66" s="77"/>
      <c r="H66" s="538"/>
      <c r="I66" s="194"/>
      <c r="J66" s="77"/>
      <c r="K66" s="78"/>
    </row>
    <row r="67" spans="1:11" ht="15" customHeight="1" outlineLevel="1" x14ac:dyDescent="0.25">
      <c r="A67" s="3" t="s">
        <v>75</v>
      </c>
      <c r="B67" s="4"/>
      <c r="C67" s="24">
        <v>140</v>
      </c>
      <c r="D67" s="25" t="s">
        <v>454</v>
      </c>
      <c r="E67" s="195">
        <v>120</v>
      </c>
      <c r="F67" s="64">
        <f t="shared" si="4"/>
        <v>0</v>
      </c>
      <c r="G67" s="77"/>
      <c r="H67" s="538"/>
      <c r="I67" s="194"/>
      <c r="J67" s="77"/>
      <c r="K67" s="78"/>
    </row>
    <row r="68" spans="1:11" ht="15" customHeight="1" outlineLevel="1" x14ac:dyDescent="0.25">
      <c r="A68" s="3" t="s">
        <v>75</v>
      </c>
      <c r="B68" s="4"/>
      <c r="C68" s="24">
        <v>145</v>
      </c>
      <c r="D68" s="25" t="s">
        <v>455</v>
      </c>
      <c r="E68" s="195">
        <v>65</v>
      </c>
      <c r="F68" s="64">
        <f t="shared" si="4"/>
        <v>0</v>
      </c>
      <c r="G68" s="77"/>
      <c r="H68" s="538"/>
      <c r="I68" s="194"/>
      <c r="J68" s="77"/>
      <c r="K68" s="78"/>
    </row>
    <row r="69" spans="1:11" ht="15" customHeight="1" outlineLevel="1" x14ac:dyDescent="0.25">
      <c r="A69" s="3" t="s">
        <v>75</v>
      </c>
      <c r="B69" s="4"/>
      <c r="C69" s="24">
        <v>150</v>
      </c>
      <c r="D69" s="25" t="s">
        <v>456</v>
      </c>
      <c r="E69" s="195">
        <v>150</v>
      </c>
      <c r="F69" s="64">
        <f t="shared" si="4"/>
        <v>0</v>
      </c>
      <c r="G69" s="77"/>
      <c r="H69" s="538"/>
      <c r="I69" s="194"/>
      <c r="J69" s="77"/>
      <c r="K69" s="78"/>
    </row>
    <row r="70" spans="1:11" ht="15" customHeight="1" outlineLevel="1" x14ac:dyDescent="0.25">
      <c r="A70" s="3" t="s">
        <v>75</v>
      </c>
      <c r="B70" s="4"/>
      <c r="C70" s="24">
        <v>151</v>
      </c>
      <c r="D70" s="25" t="s">
        <v>457</v>
      </c>
      <c r="E70" s="195">
        <v>300</v>
      </c>
      <c r="F70" s="64">
        <f t="shared" si="4"/>
        <v>0</v>
      </c>
      <c r="G70" s="77"/>
      <c r="H70" s="538"/>
      <c r="I70" s="194"/>
      <c r="J70" s="77"/>
      <c r="K70" s="78"/>
    </row>
    <row r="71" spans="1:11" ht="15" customHeight="1" outlineLevel="1" x14ac:dyDescent="0.25">
      <c r="A71" s="3" t="s">
        <v>75</v>
      </c>
      <c r="B71" s="4"/>
      <c r="C71" s="24">
        <v>155</v>
      </c>
      <c r="D71" s="25" t="s">
        <v>458</v>
      </c>
      <c r="E71" s="195">
        <v>55</v>
      </c>
      <c r="F71" s="64">
        <f t="shared" si="4"/>
        <v>0</v>
      </c>
      <c r="G71" s="77"/>
      <c r="H71" s="538"/>
      <c r="I71" s="194"/>
      <c r="J71" s="77"/>
      <c r="K71" s="78"/>
    </row>
    <row r="72" spans="1:11" ht="15" customHeight="1" outlineLevel="1" x14ac:dyDescent="0.25">
      <c r="A72" s="3" t="s">
        <v>75</v>
      </c>
      <c r="B72" s="4"/>
      <c r="C72" s="24">
        <v>160</v>
      </c>
      <c r="D72" s="25" t="s">
        <v>459</v>
      </c>
      <c r="E72" s="195">
        <v>55</v>
      </c>
      <c r="F72" s="64">
        <f t="shared" si="4"/>
        <v>0</v>
      </c>
      <c r="G72" s="77"/>
      <c r="H72" s="538"/>
      <c r="I72" s="194"/>
      <c r="J72" s="77"/>
      <c r="K72" s="78"/>
    </row>
    <row r="73" spans="1:11" ht="15" customHeight="1" outlineLevel="1" x14ac:dyDescent="0.25">
      <c r="A73" s="3" t="s">
        <v>75</v>
      </c>
      <c r="B73" s="4"/>
      <c r="C73" s="24">
        <v>165</v>
      </c>
      <c r="D73" s="25" t="s">
        <v>460</v>
      </c>
      <c r="E73" s="195">
        <v>8</v>
      </c>
      <c r="F73" s="64">
        <f t="shared" si="4"/>
        <v>0</v>
      </c>
      <c r="G73" s="77"/>
      <c r="H73" s="538"/>
      <c r="I73" s="194"/>
      <c r="J73" s="77"/>
      <c r="K73" s="78"/>
    </row>
    <row r="74" spans="1:11" ht="15" customHeight="1" outlineLevel="1" x14ac:dyDescent="0.25">
      <c r="A74" s="3" t="s">
        <v>75</v>
      </c>
      <c r="B74" s="4"/>
      <c r="C74" s="24">
        <v>170</v>
      </c>
      <c r="D74" s="25" t="s">
        <v>461</v>
      </c>
      <c r="E74" s="195">
        <v>4</v>
      </c>
      <c r="F74" s="64">
        <f t="shared" si="4"/>
        <v>0</v>
      </c>
      <c r="G74" s="77"/>
      <c r="H74" s="538"/>
      <c r="I74" s="194"/>
      <c r="J74" s="77"/>
      <c r="K74" s="78"/>
    </row>
    <row r="75" spans="1:11" ht="15" customHeight="1" outlineLevel="1" x14ac:dyDescent="0.25">
      <c r="A75" s="3" t="s">
        <v>75</v>
      </c>
      <c r="B75" s="4"/>
      <c r="C75" s="24">
        <v>175</v>
      </c>
      <c r="D75" s="25" t="s">
        <v>462</v>
      </c>
      <c r="E75" s="195">
        <v>78</v>
      </c>
      <c r="F75" s="64">
        <f t="shared" si="4"/>
        <v>0</v>
      </c>
      <c r="G75" s="77"/>
      <c r="H75" s="538"/>
      <c r="I75" s="194"/>
      <c r="J75" s="77"/>
      <c r="K75" s="78"/>
    </row>
    <row r="76" spans="1:11" ht="15" customHeight="1" outlineLevel="1" x14ac:dyDescent="0.25">
      <c r="A76" s="3" t="s">
        <v>75</v>
      </c>
      <c r="B76" s="4"/>
      <c r="C76" s="24">
        <v>180</v>
      </c>
      <c r="D76" s="25" t="s">
        <v>463</v>
      </c>
      <c r="E76" s="195">
        <v>82</v>
      </c>
      <c r="F76" s="64">
        <f t="shared" si="4"/>
        <v>0</v>
      </c>
      <c r="G76" s="77"/>
      <c r="H76" s="538"/>
      <c r="I76" s="194"/>
      <c r="J76" s="77"/>
      <c r="K76" s="78"/>
    </row>
    <row r="77" spans="1:11" ht="15" customHeight="1" outlineLevel="1" x14ac:dyDescent="0.25">
      <c r="A77" s="3" t="s">
        <v>75</v>
      </c>
      <c r="B77" s="4"/>
      <c r="C77" s="24">
        <v>185</v>
      </c>
      <c r="D77" s="25" t="s">
        <v>464</v>
      </c>
      <c r="E77" s="195">
        <v>92</v>
      </c>
      <c r="F77" s="64">
        <f t="shared" si="4"/>
        <v>0</v>
      </c>
      <c r="G77" s="77"/>
      <c r="H77" s="538"/>
      <c r="I77" s="194"/>
      <c r="J77" s="77"/>
      <c r="K77" s="78"/>
    </row>
    <row r="78" spans="1:11" ht="15" customHeight="1" outlineLevel="1" x14ac:dyDescent="0.25">
      <c r="A78" s="3" t="s">
        <v>75</v>
      </c>
      <c r="B78" s="4"/>
      <c r="C78" s="24">
        <v>190</v>
      </c>
      <c r="D78" s="25" t="s">
        <v>465</v>
      </c>
      <c r="E78" s="195">
        <v>92</v>
      </c>
      <c r="F78" s="64">
        <f t="shared" si="4"/>
        <v>0</v>
      </c>
      <c r="G78" s="77"/>
      <c r="H78" s="538"/>
      <c r="I78" s="194"/>
      <c r="J78" s="77"/>
      <c r="K78" s="78"/>
    </row>
    <row r="79" spans="1:11" ht="15" customHeight="1" outlineLevel="1" x14ac:dyDescent="0.25">
      <c r="A79" s="3" t="s">
        <v>75</v>
      </c>
      <c r="B79" s="4"/>
      <c r="C79" s="24">
        <v>191</v>
      </c>
      <c r="D79" s="25" t="s">
        <v>466</v>
      </c>
      <c r="E79" s="195">
        <v>142</v>
      </c>
      <c r="F79" s="64">
        <f t="shared" si="4"/>
        <v>0</v>
      </c>
      <c r="G79" s="77"/>
      <c r="H79" s="538"/>
      <c r="I79" s="194"/>
      <c r="J79" s="77"/>
      <c r="K79" s="78"/>
    </row>
    <row r="80" spans="1:11" ht="15" customHeight="1" outlineLevel="1" x14ac:dyDescent="0.25">
      <c r="A80" s="3" t="s">
        <v>75</v>
      </c>
      <c r="B80" s="4"/>
      <c r="C80" s="24">
        <v>195</v>
      </c>
      <c r="D80" s="25" t="s">
        <v>467</v>
      </c>
      <c r="E80" s="195">
        <v>158</v>
      </c>
      <c r="F80" s="64">
        <f t="shared" si="4"/>
        <v>0</v>
      </c>
      <c r="G80" s="77"/>
      <c r="H80" s="538"/>
      <c r="I80" s="194"/>
      <c r="J80" s="77"/>
      <c r="K80" s="78"/>
    </row>
    <row r="81" spans="1:11" ht="15" customHeight="1" outlineLevel="1" x14ac:dyDescent="0.25">
      <c r="A81" s="3" t="s">
        <v>75</v>
      </c>
      <c r="B81" s="4"/>
      <c r="C81" s="24">
        <v>200</v>
      </c>
      <c r="D81" s="25" t="s">
        <v>468</v>
      </c>
      <c r="E81" s="195">
        <v>177</v>
      </c>
      <c r="F81" s="64">
        <f t="shared" si="4"/>
        <v>0</v>
      </c>
      <c r="G81" s="77"/>
      <c r="H81" s="538"/>
      <c r="I81" s="194"/>
      <c r="J81" s="77"/>
      <c r="K81" s="78"/>
    </row>
    <row r="82" spans="1:11" ht="15" customHeight="1" outlineLevel="1" x14ac:dyDescent="0.25">
      <c r="A82" s="3" t="s">
        <v>75</v>
      </c>
      <c r="B82" s="4"/>
      <c r="C82" s="24">
        <v>205</v>
      </c>
      <c r="D82" s="25" t="s">
        <v>469</v>
      </c>
      <c r="E82" s="195">
        <v>180</v>
      </c>
      <c r="F82" s="64">
        <f t="shared" si="4"/>
        <v>0</v>
      </c>
      <c r="G82" s="77"/>
      <c r="H82" s="538"/>
      <c r="I82" s="194"/>
      <c r="J82" s="77"/>
      <c r="K82" s="78"/>
    </row>
    <row r="83" spans="1:11" ht="15" customHeight="1" outlineLevel="1" x14ac:dyDescent="0.25">
      <c r="A83" s="3" t="s">
        <v>75</v>
      </c>
      <c r="B83" s="4"/>
      <c r="C83" s="24">
        <v>210</v>
      </c>
      <c r="D83" s="25" t="s">
        <v>470</v>
      </c>
      <c r="E83" s="195">
        <v>24</v>
      </c>
      <c r="F83" s="64">
        <f t="shared" si="4"/>
        <v>0</v>
      </c>
      <c r="G83" s="77"/>
      <c r="H83" s="538"/>
      <c r="I83" s="194"/>
      <c r="J83" s="77"/>
      <c r="K83" s="78"/>
    </row>
    <row r="84" spans="1:11" ht="15" customHeight="1" outlineLevel="1" x14ac:dyDescent="0.25">
      <c r="A84" s="3" t="s">
        <v>75</v>
      </c>
      <c r="B84" s="4"/>
      <c r="C84" s="24">
        <v>215</v>
      </c>
      <c r="D84" s="25" t="s">
        <v>471</v>
      </c>
      <c r="E84" s="195">
        <v>14</v>
      </c>
      <c r="F84" s="64">
        <f t="shared" si="4"/>
        <v>0</v>
      </c>
      <c r="G84" s="77"/>
      <c r="H84" s="538"/>
      <c r="I84" s="194"/>
      <c r="J84" s="77"/>
      <c r="K84" s="78"/>
    </row>
    <row r="85" spans="1:11" ht="15" customHeight="1" outlineLevel="1" x14ac:dyDescent="0.25">
      <c r="A85" s="3" t="s">
        <v>75</v>
      </c>
      <c r="B85" s="4"/>
      <c r="C85" s="24">
        <v>220</v>
      </c>
      <c r="D85" s="25" t="s">
        <v>472</v>
      </c>
      <c r="E85" s="195">
        <v>182</v>
      </c>
      <c r="F85" s="64">
        <f t="shared" si="4"/>
        <v>0</v>
      </c>
      <c r="G85" s="77"/>
      <c r="H85" s="538"/>
      <c r="I85" s="194"/>
      <c r="J85" s="77"/>
      <c r="K85" s="78"/>
    </row>
    <row r="86" spans="1:11" ht="15" customHeight="1" outlineLevel="1" x14ac:dyDescent="0.25">
      <c r="A86" s="3" t="s">
        <v>75</v>
      </c>
      <c r="B86" s="4"/>
      <c r="C86" s="24">
        <v>225</v>
      </c>
      <c r="D86" s="25" t="s">
        <v>473</v>
      </c>
      <c r="E86" s="195">
        <v>71</v>
      </c>
      <c r="F86" s="64">
        <f t="shared" si="4"/>
        <v>0</v>
      </c>
      <c r="G86" s="77"/>
      <c r="H86" s="538"/>
      <c r="I86" s="194"/>
      <c r="J86" s="77"/>
      <c r="K86" s="78"/>
    </row>
    <row r="87" spans="1:11" ht="15" customHeight="1" outlineLevel="1" x14ac:dyDescent="0.25">
      <c r="A87" s="3" t="s">
        <v>75</v>
      </c>
      <c r="B87" s="4"/>
      <c r="C87" s="24">
        <v>230</v>
      </c>
      <c r="D87" s="25" t="s">
        <v>474</v>
      </c>
      <c r="E87" s="195">
        <v>24</v>
      </c>
      <c r="F87" s="64">
        <f t="shared" si="4"/>
        <v>0</v>
      </c>
      <c r="G87" s="77"/>
      <c r="H87" s="538"/>
      <c r="I87" s="194"/>
      <c r="J87" s="77"/>
      <c r="K87" s="78"/>
    </row>
    <row r="88" spans="1:11" ht="15" customHeight="1" outlineLevel="1" x14ac:dyDescent="0.25">
      <c r="A88" s="3" t="s">
        <v>75</v>
      </c>
      <c r="B88" s="4"/>
      <c r="C88" s="24">
        <v>235</v>
      </c>
      <c r="D88" s="25" t="s">
        <v>475</v>
      </c>
      <c r="E88" s="195">
        <v>26</v>
      </c>
      <c r="F88" s="64">
        <f t="shared" si="4"/>
        <v>0</v>
      </c>
      <c r="G88" s="77"/>
      <c r="H88" s="538"/>
      <c r="I88" s="194"/>
      <c r="J88" s="77"/>
      <c r="K88" s="78"/>
    </row>
    <row r="89" spans="1:11" ht="15" customHeight="1" outlineLevel="1" x14ac:dyDescent="0.25">
      <c r="A89" s="3" t="s">
        <v>75</v>
      </c>
      <c r="B89" s="4"/>
      <c r="C89" s="24">
        <v>245</v>
      </c>
      <c r="D89" s="25" t="s">
        <v>476</v>
      </c>
      <c r="E89" s="195">
        <v>232</v>
      </c>
      <c r="F89" s="64">
        <f t="shared" si="4"/>
        <v>0</v>
      </c>
      <c r="G89" s="77"/>
      <c r="H89" s="538"/>
      <c r="I89" s="194"/>
      <c r="J89" s="77"/>
      <c r="K89" s="78"/>
    </row>
    <row r="90" spans="1:11" ht="15" customHeight="1" outlineLevel="1" x14ac:dyDescent="0.25">
      <c r="A90" s="3" t="s">
        <v>75</v>
      </c>
      <c r="B90" s="4"/>
      <c r="C90" s="24">
        <v>246</v>
      </c>
      <c r="D90" s="25" t="s">
        <v>477</v>
      </c>
      <c r="E90" s="195">
        <v>116</v>
      </c>
      <c r="F90" s="64">
        <f t="shared" si="4"/>
        <v>0</v>
      </c>
      <c r="G90" s="77"/>
      <c r="H90" s="538"/>
      <c r="I90" s="194"/>
      <c r="J90" s="77"/>
      <c r="K90" s="78"/>
    </row>
    <row r="91" spans="1:11" ht="15" customHeight="1" outlineLevel="1" x14ac:dyDescent="0.25">
      <c r="A91" s="3" t="s">
        <v>75</v>
      </c>
      <c r="B91" s="4"/>
      <c r="C91" s="24">
        <v>247</v>
      </c>
      <c r="D91" s="25" t="s">
        <v>478</v>
      </c>
      <c r="E91" s="195">
        <v>395</v>
      </c>
      <c r="F91" s="64">
        <f t="shared" si="4"/>
        <v>0</v>
      </c>
      <c r="G91" s="77"/>
      <c r="H91" s="538"/>
      <c r="I91" s="194"/>
      <c r="J91" s="77"/>
      <c r="K91" s="78"/>
    </row>
    <row r="92" spans="1:11" ht="15" customHeight="1" outlineLevel="1" x14ac:dyDescent="0.25">
      <c r="A92" s="3" t="s">
        <v>75</v>
      </c>
      <c r="B92" s="4"/>
      <c r="C92" s="24">
        <v>248</v>
      </c>
      <c r="D92" s="25" t="s">
        <v>479</v>
      </c>
      <c r="E92" s="195">
        <v>314</v>
      </c>
      <c r="F92" s="64">
        <f t="shared" si="4"/>
        <v>0</v>
      </c>
      <c r="G92" s="77"/>
      <c r="H92" s="538"/>
      <c r="I92" s="194"/>
      <c r="J92" s="77"/>
      <c r="K92" s="78"/>
    </row>
    <row r="93" spans="1:11" ht="15" customHeight="1" outlineLevel="1" x14ac:dyDescent="0.25">
      <c r="A93" s="3" t="s">
        <v>75</v>
      </c>
      <c r="B93" s="4"/>
      <c r="C93" s="24">
        <v>250</v>
      </c>
      <c r="D93" s="25" t="s">
        <v>480</v>
      </c>
      <c r="E93" s="195">
        <v>45</v>
      </c>
      <c r="F93" s="64">
        <f t="shared" si="4"/>
        <v>0</v>
      </c>
      <c r="G93" s="77"/>
      <c r="H93" s="538"/>
      <c r="I93" s="194"/>
      <c r="J93" s="77"/>
      <c r="K93" s="78"/>
    </row>
    <row r="94" spans="1:11" ht="15" customHeight="1" outlineLevel="1" x14ac:dyDescent="0.25">
      <c r="A94" s="3" t="s">
        <v>75</v>
      </c>
      <c r="B94" s="4"/>
      <c r="C94" s="24">
        <v>255</v>
      </c>
      <c r="D94" s="25" t="s">
        <v>481</v>
      </c>
      <c r="E94" s="195">
        <v>47</v>
      </c>
      <c r="F94" s="64">
        <f t="shared" si="4"/>
        <v>0</v>
      </c>
      <c r="G94" s="77"/>
      <c r="H94" s="538"/>
      <c r="I94" s="194"/>
      <c r="J94" s="77"/>
      <c r="K94" s="78"/>
    </row>
    <row r="95" spans="1:11" ht="15" customHeight="1" outlineLevel="1" x14ac:dyDescent="0.25">
      <c r="A95" s="3" t="s">
        <v>75</v>
      </c>
      <c r="B95" s="4"/>
      <c r="C95" s="24">
        <v>260</v>
      </c>
      <c r="D95" s="25" t="s">
        <v>482</v>
      </c>
      <c r="E95" s="195">
        <v>50</v>
      </c>
      <c r="F95" s="64">
        <f t="shared" si="4"/>
        <v>0</v>
      </c>
      <c r="G95" s="77"/>
      <c r="H95" s="538"/>
      <c r="I95" s="194"/>
      <c r="J95" s="77"/>
      <c r="K95" s="78"/>
    </row>
    <row r="96" spans="1:11" ht="15" customHeight="1" outlineLevel="1" x14ac:dyDescent="0.25">
      <c r="A96" s="3" t="s">
        <v>75</v>
      </c>
      <c r="B96" s="4"/>
      <c r="C96" s="24">
        <v>265</v>
      </c>
      <c r="D96" s="25" t="s">
        <v>483</v>
      </c>
      <c r="E96" s="195">
        <v>53</v>
      </c>
      <c r="F96" s="64">
        <f t="shared" si="4"/>
        <v>0</v>
      </c>
      <c r="G96" s="77"/>
      <c r="H96" s="538"/>
      <c r="I96" s="194"/>
      <c r="J96" s="77"/>
      <c r="K96" s="78"/>
    </row>
    <row r="97" spans="1:11" ht="15" customHeight="1" outlineLevel="1" x14ac:dyDescent="0.25">
      <c r="A97" s="3" t="s">
        <v>75</v>
      </c>
      <c r="B97" s="4"/>
      <c r="C97" s="24">
        <v>270</v>
      </c>
      <c r="D97" s="25" t="s">
        <v>484</v>
      </c>
      <c r="E97" s="195">
        <v>79</v>
      </c>
      <c r="F97" s="59">
        <f t="shared" ref="F97:F123" si="5">E97*B97</f>
        <v>0</v>
      </c>
      <c r="G97" s="77"/>
      <c r="H97" s="538"/>
      <c r="I97" s="194"/>
      <c r="J97" s="77"/>
      <c r="K97" s="78"/>
    </row>
    <row r="98" spans="1:11" ht="15" customHeight="1" outlineLevel="1" x14ac:dyDescent="0.25">
      <c r="A98" s="3" t="s">
        <v>75</v>
      </c>
      <c r="B98" s="4"/>
      <c r="C98" s="24">
        <v>275</v>
      </c>
      <c r="D98" s="25" t="s">
        <v>485</v>
      </c>
      <c r="E98" s="195">
        <v>81</v>
      </c>
      <c r="F98" s="59">
        <f t="shared" si="5"/>
        <v>0</v>
      </c>
      <c r="G98" s="77"/>
      <c r="H98" s="538"/>
      <c r="I98" s="194"/>
      <c r="J98" s="77"/>
      <c r="K98" s="78"/>
    </row>
    <row r="99" spans="1:11" ht="15" customHeight="1" outlineLevel="1" x14ac:dyDescent="0.25">
      <c r="A99" s="3" t="s">
        <v>75</v>
      </c>
      <c r="B99" s="4"/>
      <c r="C99" s="24">
        <v>276</v>
      </c>
      <c r="D99" s="25" t="s">
        <v>486</v>
      </c>
      <c r="E99" s="195">
        <v>90</v>
      </c>
      <c r="F99" s="59">
        <f t="shared" si="5"/>
        <v>0</v>
      </c>
      <c r="G99" s="77"/>
      <c r="H99" s="538"/>
      <c r="I99" s="194"/>
      <c r="J99" s="77"/>
      <c r="K99" s="78"/>
    </row>
    <row r="100" spans="1:11" ht="15" customHeight="1" outlineLevel="1" x14ac:dyDescent="0.25">
      <c r="A100" s="3" t="s">
        <v>75</v>
      </c>
      <c r="B100" s="4"/>
      <c r="C100" s="24">
        <v>280</v>
      </c>
      <c r="D100" s="25" t="s">
        <v>487</v>
      </c>
      <c r="E100" s="195">
        <v>95</v>
      </c>
      <c r="F100" s="59">
        <f t="shared" si="5"/>
        <v>0</v>
      </c>
      <c r="G100" s="77"/>
      <c r="H100" s="538"/>
      <c r="I100" s="194"/>
      <c r="J100" s="77"/>
      <c r="K100" s="78"/>
    </row>
    <row r="101" spans="1:11" ht="15" customHeight="1" outlineLevel="1" x14ac:dyDescent="0.25">
      <c r="A101" s="3" t="s">
        <v>75</v>
      </c>
      <c r="B101" s="4"/>
      <c r="C101" s="24">
        <v>285</v>
      </c>
      <c r="D101" s="25" t="s">
        <v>488</v>
      </c>
      <c r="E101" s="195">
        <v>28</v>
      </c>
      <c r="F101" s="59">
        <f t="shared" si="5"/>
        <v>0</v>
      </c>
      <c r="G101" s="77"/>
      <c r="H101" s="538"/>
      <c r="I101" s="194"/>
      <c r="J101" s="77"/>
      <c r="K101" s="78"/>
    </row>
    <row r="102" spans="1:11" ht="15" customHeight="1" outlineLevel="1" x14ac:dyDescent="0.25">
      <c r="A102" s="3" t="s">
        <v>75</v>
      </c>
      <c r="B102" s="4"/>
      <c r="C102" s="24">
        <v>290</v>
      </c>
      <c r="D102" s="25" t="s">
        <v>489</v>
      </c>
      <c r="E102" s="195">
        <v>37</v>
      </c>
      <c r="F102" s="59">
        <f t="shared" si="5"/>
        <v>0</v>
      </c>
      <c r="G102" s="77"/>
      <c r="H102" s="538"/>
      <c r="I102" s="194"/>
      <c r="J102" s="77"/>
      <c r="K102" s="78"/>
    </row>
    <row r="103" spans="1:11" ht="15" customHeight="1" outlineLevel="1" x14ac:dyDescent="0.25">
      <c r="A103" s="3" t="s">
        <v>75</v>
      </c>
      <c r="B103" s="4"/>
      <c r="C103" s="24">
        <v>295</v>
      </c>
      <c r="D103" s="25" t="s">
        <v>490</v>
      </c>
      <c r="E103" s="195">
        <v>47</v>
      </c>
      <c r="F103" s="59">
        <f t="shared" si="5"/>
        <v>0</v>
      </c>
      <c r="G103" s="77"/>
      <c r="H103" s="538"/>
      <c r="I103" s="194"/>
      <c r="J103" s="77"/>
      <c r="K103" s="78"/>
    </row>
    <row r="104" spans="1:11" ht="15" customHeight="1" outlineLevel="1" x14ac:dyDescent="0.25">
      <c r="A104" s="3" t="s">
        <v>75</v>
      </c>
      <c r="B104" s="4"/>
      <c r="C104" s="24">
        <v>300</v>
      </c>
      <c r="D104" s="25" t="s">
        <v>491</v>
      </c>
      <c r="E104" s="195">
        <v>58</v>
      </c>
      <c r="F104" s="59">
        <f t="shared" si="5"/>
        <v>0</v>
      </c>
      <c r="G104" s="77"/>
      <c r="H104" s="538"/>
      <c r="I104" s="194"/>
      <c r="J104" s="77"/>
      <c r="K104" s="78"/>
    </row>
    <row r="105" spans="1:11" ht="15" customHeight="1" outlineLevel="1" x14ac:dyDescent="0.25">
      <c r="A105" s="3" t="s">
        <v>75</v>
      </c>
      <c r="B105" s="4"/>
      <c r="C105" s="24">
        <v>305</v>
      </c>
      <c r="D105" s="25" t="s">
        <v>492</v>
      </c>
      <c r="E105" s="195">
        <v>58</v>
      </c>
      <c r="F105" s="59">
        <f t="shared" si="5"/>
        <v>0</v>
      </c>
      <c r="G105" s="77"/>
      <c r="H105" s="538"/>
      <c r="I105" s="194"/>
      <c r="J105" s="77"/>
      <c r="K105" s="78"/>
    </row>
    <row r="106" spans="1:11" ht="15" customHeight="1" outlineLevel="1" x14ac:dyDescent="0.25">
      <c r="A106" s="3" t="s">
        <v>75</v>
      </c>
      <c r="B106" s="4"/>
      <c r="C106" s="24">
        <v>310</v>
      </c>
      <c r="D106" s="25" t="s">
        <v>493</v>
      </c>
      <c r="E106" s="195">
        <v>63</v>
      </c>
      <c r="F106" s="59">
        <f t="shared" si="5"/>
        <v>0</v>
      </c>
      <c r="G106" s="77"/>
      <c r="H106" s="538"/>
      <c r="I106" s="194"/>
      <c r="J106" s="77"/>
      <c r="K106" s="78"/>
    </row>
    <row r="107" spans="1:11" ht="15" customHeight="1" outlineLevel="1" x14ac:dyDescent="0.25">
      <c r="A107" s="3" t="s">
        <v>75</v>
      </c>
      <c r="B107" s="4"/>
      <c r="C107" s="24">
        <v>315</v>
      </c>
      <c r="D107" s="25" t="s">
        <v>494</v>
      </c>
      <c r="E107" s="195">
        <v>10</v>
      </c>
      <c r="F107" s="59">
        <f t="shared" si="5"/>
        <v>0</v>
      </c>
      <c r="G107" s="77"/>
      <c r="H107" s="538"/>
      <c r="I107" s="194"/>
      <c r="J107" s="77"/>
      <c r="K107" s="78"/>
    </row>
    <row r="108" spans="1:11" ht="15" customHeight="1" outlineLevel="1" x14ac:dyDescent="0.25">
      <c r="A108" s="3" t="s">
        <v>75</v>
      </c>
      <c r="B108" s="4"/>
      <c r="C108" s="24">
        <v>320</v>
      </c>
      <c r="D108" s="25" t="s">
        <v>495</v>
      </c>
      <c r="E108" s="195">
        <v>6</v>
      </c>
      <c r="F108" s="59">
        <f t="shared" si="5"/>
        <v>0</v>
      </c>
      <c r="G108" s="77"/>
      <c r="H108" s="538"/>
      <c r="I108" s="194"/>
      <c r="J108" s="77"/>
      <c r="K108" s="78"/>
    </row>
    <row r="109" spans="1:11" ht="15" customHeight="1" outlineLevel="1" x14ac:dyDescent="0.25">
      <c r="A109" s="3" t="s">
        <v>75</v>
      </c>
      <c r="B109" s="4"/>
      <c r="C109" s="24">
        <v>325</v>
      </c>
      <c r="D109" s="25" t="s">
        <v>496</v>
      </c>
      <c r="E109" s="195">
        <v>14</v>
      </c>
      <c r="F109" s="59">
        <f t="shared" si="5"/>
        <v>0</v>
      </c>
      <c r="G109" s="77"/>
      <c r="H109" s="538"/>
      <c r="I109" s="194"/>
      <c r="J109" s="77"/>
      <c r="K109" s="78"/>
    </row>
    <row r="110" spans="1:11" ht="15" customHeight="1" outlineLevel="1" x14ac:dyDescent="0.25">
      <c r="A110" s="3" t="s">
        <v>75</v>
      </c>
      <c r="B110" s="4"/>
      <c r="C110" s="24">
        <v>330</v>
      </c>
      <c r="D110" s="25" t="s">
        <v>497</v>
      </c>
      <c r="E110" s="195">
        <v>48</v>
      </c>
      <c r="F110" s="59">
        <f t="shared" si="5"/>
        <v>0</v>
      </c>
      <c r="G110" s="77"/>
      <c r="H110" s="538"/>
      <c r="I110" s="194"/>
      <c r="J110" s="77"/>
      <c r="K110" s="78"/>
    </row>
    <row r="111" spans="1:11" ht="15" customHeight="1" outlineLevel="1" x14ac:dyDescent="0.25">
      <c r="A111" s="3" t="s">
        <v>75</v>
      </c>
      <c r="B111" s="4"/>
      <c r="C111" s="24">
        <v>335</v>
      </c>
      <c r="D111" s="25" t="s">
        <v>498</v>
      </c>
      <c r="E111" s="195">
        <v>63</v>
      </c>
      <c r="F111" s="59">
        <f t="shared" si="5"/>
        <v>0</v>
      </c>
      <c r="G111" s="77"/>
      <c r="H111" s="538"/>
      <c r="I111" s="194"/>
      <c r="J111" s="77"/>
      <c r="K111" s="78"/>
    </row>
    <row r="112" spans="1:11" ht="15" customHeight="1" outlineLevel="1" x14ac:dyDescent="0.25">
      <c r="A112" s="3" t="s">
        <v>75</v>
      </c>
      <c r="B112" s="4"/>
      <c r="C112" s="24">
        <v>340</v>
      </c>
      <c r="D112" s="25" t="s">
        <v>499</v>
      </c>
      <c r="E112" s="195">
        <v>11</v>
      </c>
      <c r="F112" s="59">
        <f t="shared" si="5"/>
        <v>0</v>
      </c>
      <c r="G112" s="77"/>
      <c r="H112" s="538"/>
      <c r="I112" s="194"/>
      <c r="J112" s="77"/>
      <c r="K112" s="78"/>
    </row>
    <row r="113" spans="1:11" ht="15" customHeight="1" outlineLevel="1" x14ac:dyDescent="0.25">
      <c r="A113" s="3" t="s">
        <v>75</v>
      </c>
      <c r="B113" s="4"/>
      <c r="C113" s="24">
        <v>345</v>
      </c>
      <c r="D113" s="25" t="s">
        <v>500</v>
      </c>
      <c r="E113" s="195">
        <v>42</v>
      </c>
      <c r="F113" s="59">
        <f t="shared" si="5"/>
        <v>0</v>
      </c>
      <c r="G113" s="77"/>
      <c r="H113" s="538"/>
      <c r="I113" s="194"/>
      <c r="J113" s="77"/>
      <c r="K113" s="78"/>
    </row>
    <row r="114" spans="1:11" ht="15" customHeight="1" outlineLevel="1" x14ac:dyDescent="0.25">
      <c r="A114" s="3" t="s">
        <v>75</v>
      </c>
      <c r="B114" s="4"/>
      <c r="C114" s="24">
        <v>350</v>
      </c>
      <c r="D114" s="25" t="s">
        <v>501</v>
      </c>
      <c r="E114" s="195">
        <v>15</v>
      </c>
      <c r="F114" s="59">
        <f t="shared" si="5"/>
        <v>0</v>
      </c>
      <c r="G114" s="77"/>
      <c r="H114" s="538"/>
      <c r="I114" s="194"/>
      <c r="J114" s="77"/>
      <c r="K114" s="78"/>
    </row>
    <row r="115" spans="1:11" ht="15" customHeight="1" outlineLevel="1" x14ac:dyDescent="0.25">
      <c r="A115" s="3" t="s">
        <v>75</v>
      </c>
      <c r="B115" s="4"/>
      <c r="C115" s="24">
        <v>355</v>
      </c>
      <c r="D115" s="25" t="s">
        <v>502</v>
      </c>
      <c r="E115" s="195">
        <v>80</v>
      </c>
      <c r="F115" s="59">
        <f t="shared" si="5"/>
        <v>0</v>
      </c>
      <c r="G115" s="77"/>
      <c r="H115" s="538"/>
      <c r="I115" s="194"/>
      <c r="J115" s="77"/>
      <c r="K115" s="78"/>
    </row>
    <row r="116" spans="1:11" ht="15" customHeight="1" outlineLevel="1" x14ac:dyDescent="0.25">
      <c r="A116" s="3" t="s">
        <v>75</v>
      </c>
      <c r="B116" s="4"/>
      <c r="C116" s="24">
        <v>356</v>
      </c>
      <c r="D116" s="25" t="s">
        <v>503</v>
      </c>
      <c r="E116" s="195">
        <v>169</v>
      </c>
      <c r="F116" s="59">
        <f t="shared" si="5"/>
        <v>0</v>
      </c>
      <c r="G116" s="77"/>
      <c r="H116" s="538"/>
      <c r="I116" s="194"/>
      <c r="J116" s="77"/>
      <c r="K116" s="78"/>
    </row>
    <row r="117" spans="1:11" ht="15" customHeight="1" outlineLevel="1" x14ac:dyDescent="0.25">
      <c r="A117" s="3" t="s">
        <v>75</v>
      </c>
      <c r="B117" s="4"/>
      <c r="C117" s="24">
        <v>360</v>
      </c>
      <c r="D117" s="25" t="s">
        <v>504</v>
      </c>
      <c r="E117" s="195">
        <v>128</v>
      </c>
      <c r="F117" s="59">
        <f t="shared" si="5"/>
        <v>0</v>
      </c>
      <c r="G117" s="77"/>
      <c r="H117" s="538"/>
      <c r="I117" s="194"/>
      <c r="J117" s="77"/>
      <c r="K117" s="78"/>
    </row>
    <row r="118" spans="1:11" ht="15" customHeight="1" outlineLevel="1" x14ac:dyDescent="0.25">
      <c r="A118" s="3" t="s">
        <v>75</v>
      </c>
      <c r="B118" s="4"/>
      <c r="C118" s="24">
        <v>365</v>
      </c>
      <c r="D118" s="25" t="s">
        <v>505</v>
      </c>
      <c r="E118" s="195">
        <v>23</v>
      </c>
      <c r="F118" s="59">
        <f t="shared" si="5"/>
        <v>0</v>
      </c>
      <c r="G118" s="77"/>
      <c r="H118" s="538"/>
      <c r="I118" s="194"/>
      <c r="J118" s="77"/>
      <c r="K118" s="78"/>
    </row>
    <row r="119" spans="1:11" ht="15" customHeight="1" outlineLevel="1" x14ac:dyDescent="0.25">
      <c r="A119" s="3" t="s">
        <v>75</v>
      </c>
      <c r="B119" s="4"/>
      <c r="C119" s="24">
        <v>370</v>
      </c>
      <c r="D119" s="25" t="s">
        <v>506</v>
      </c>
      <c r="E119" s="195">
        <v>138</v>
      </c>
      <c r="F119" s="59">
        <f t="shared" si="5"/>
        <v>0</v>
      </c>
      <c r="G119" s="77"/>
      <c r="H119" s="538"/>
      <c r="I119" s="194"/>
      <c r="J119" s="77"/>
      <c r="K119" s="78"/>
    </row>
    <row r="120" spans="1:11" ht="15" customHeight="1" outlineLevel="1" x14ac:dyDescent="0.25">
      <c r="A120" s="3" t="s">
        <v>75</v>
      </c>
      <c r="B120" s="4"/>
      <c r="C120" s="24">
        <v>371</v>
      </c>
      <c r="D120" s="25" t="s">
        <v>507</v>
      </c>
      <c r="E120" s="195">
        <v>89</v>
      </c>
      <c r="F120" s="59">
        <f t="shared" si="5"/>
        <v>0</v>
      </c>
      <c r="G120" s="77"/>
      <c r="H120" s="538"/>
      <c r="I120" s="194"/>
      <c r="J120" s="77"/>
      <c r="K120" s="78"/>
    </row>
    <row r="121" spans="1:11" ht="15" customHeight="1" outlineLevel="1" x14ac:dyDescent="0.25">
      <c r="A121" s="3" t="s">
        <v>75</v>
      </c>
      <c r="B121" s="76"/>
      <c r="C121" s="24">
        <v>375</v>
      </c>
      <c r="D121" s="25" t="s">
        <v>508</v>
      </c>
      <c r="E121" s="195">
        <v>169</v>
      </c>
      <c r="F121" s="59">
        <f t="shared" si="5"/>
        <v>0</v>
      </c>
      <c r="G121" s="77"/>
      <c r="H121" s="538"/>
      <c r="I121" s="194"/>
      <c r="J121" s="77"/>
      <c r="K121" s="78"/>
    </row>
    <row r="122" spans="1:11" ht="15" customHeight="1" outlineLevel="1" x14ac:dyDescent="0.25">
      <c r="A122" s="3" t="s">
        <v>75</v>
      </c>
      <c r="B122" s="4"/>
      <c r="C122" s="24">
        <v>380</v>
      </c>
      <c r="D122" s="25" t="s">
        <v>509</v>
      </c>
      <c r="E122" s="195">
        <v>17</v>
      </c>
      <c r="F122" s="59">
        <f t="shared" si="5"/>
        <v>0</v>
      </c>
      <c r="G122" s="77"/>
      <c r="H122" s="538"/>
      <c r="I122" s="194"/>
      <c r="J122" s="77"/>
      <c r="K122" s="78"/>
    </row>
    <row r="123" spans="1:11" ht="15" customHeight="1" outlineLevel="1" x14ac:dyDescent="0.25">
      <c r="A123" s="3" t="s">
        <v>75</v>
      </c>
      <c r="B123" s="4"/>
      <c r="C123" s="24">
        <v>385</v>
      </c>
      <c r="D123" s="25" t="s">
        <v>510</v>
      </c>
      <c r="E123" s="195">
        <v>9.5</v>
      </c>
      <c r="F123" s="59">
        <f t="shared" si="5"/>
        <v>0</v>
      </c>
      <c r="G123" s="77"/>
      <c r="H123" s="538"/>
      <c r="I123" s="194"/>
      <c r="J123" s="77"/>
      <c r="K123" s="78"/>
    </row>
    <row r="124" spans="1:11" ht="15" customHeight="1" outlineLevel="1" x14ac:dyDescent="0.25">
      <c r="A124" s="3" t="s">
        <v>75</v>
      </c>
      <c r="B124" s="4"/>
      <c r="C124" s="24">
        <v>390</v>
      </c>
      <c r="D124" s="25" t="s">
        <v>511</v>
      </c>
      <c r="E124" s="195">
        <v>23</v>
      </c>
      <c r="F124" s="59">
        <f t="shared" ref="F124:F138" si="6">E124*B124</f>
        <v>0</v>
      </c>
      <c r="G124" s="77"/>
      <c r="H124" s="538"/>
      <c r="I124" s="194"/>
      <c r="J124" s="77"/>
      <c r="K124" s="78"/>
    </row>
    <row r="125" spans="1:11" ht="15" customHeight="1" outlineLevel="1" x14ac:dyDescent="0.25">
      <c r="A125" s="3" t="s">
        <v>75</v>
      </c>
      <c r="B125" s="4"/>
      <c r="C125" s="24">
        <v>395</v>
      </c>
      <c r="D125" s="25" t="s">
        <v>512</v>
      </c>
      <c r="E125" s="195">
        <v>1</v>
      </c>
      <c r="F125" s="59">
        <f t="shared" si="6"/>
        <v>0</v>
      </c>
      <c r="G125" s="77"/>
      <c r="H125" s="538"/>
      <c r="I125" s="194"/>
      <c r="J125" s="77"/>
      <c r="K125" s="78"/>
    </row>
    <row r="126" spans="1:11" ht="15" customHeight="1" outlineLevel="1" x14ac:dyDescent="0.25">
      <c r="A126" s="3" t="s">
        <v>75</v>
      </c>
      <c r="B126" s="4"/>
      <c r="C126" s="24">
        <v>400</v>
      </c>
      <c r="D126" s="25" t="s">
        <v>513</v>
      </c>
      <c r="E126" s="195">
        <v>1.1000000000000001</v>
      </c>
      <c r="F126" s="59">
        <f t="shared" si="6"/>
        <v>0</v>
      </c>
      <c r="G126" s="77"/>
      <c r="H126" s="538"/>
      <c r="I126" s="194"/>
      <c r="J126" s="77"/>
      <c r="K126" s="78"/>
    </row>
    <row r="127" spans="1:11" ht="15" customHeight="1" outlineLevel="1" x14ac:dyDescent="0.25">
      <c r="A127" s="3" t="s">
        <v>75</v>
      </c>
      <c r="B127" s="4"/>
      <c r="C127" s="24">
        <v>401</v>
      </c>
      <c r="D127" s="25" t="s">
        <v>514</v>
      </c>
      <c r="E127" s="195">
        <v>1.1499999999999999</v>
      </c>
      <c r="F127" s="59">
        <f t="shared" si="6"/>
        <v>0</v>
      </c>
      <c r="G127" s="77"/>
      <c r="H127" s="538"/>
      <c r="I127" s="194"/>
      <c r="J127" s="77"/>
      <c r="K127" s="78"/>
    </row>
    <row r="128" spans="1:11" ht="15" customHeight="1" outlineLevel="1" x14ac:dyDescent="0.25">
      <c r="A128" s="3" t="s">
        <v>75</v>
      </c>
      <c r="B128" s="4"/>
      <c r="C128" s="24">
        <v>402</v>
      </c>
      <c r="D128" s="25" t="s">
        <v>515</v>
      </c>
      <c r="E128" s="195">
        <v>1.25</v>
      </c>
      <c r="F128" s="59">
        <f t="shared" si="6"/>
        <v>0</v>
      </c>
      <c r="G128" s="77"/>
      <c r="H128" s="538"/>
      <c r="I128" s="194"/>
      <c r="J128" s="77"/>
      <c r="K128" s="78"/>
    </row>
    <row r="129" spans="1:11" ht="15" customHeight="1" outlineLevel="1" x14ac:dyDescent="0.25">
      <c r="A129" s="3" t="s">
        <v>75</v>
      </c>
      <c r="B129" s="4"/>
      <c r="C129" s="24">
        <v>405</v>
      </c>
      <c r="D129" s="25" t="s">
        <v>516</v>
      </c>
      <c r="E129" s="195">
        <v>58</v>
      </c>
      <c r="F129" s="59">
        <f t="shared" si="6"/>
        <v>0</v>
      </c>
      <c r="G129" s="77"/>
      <c r="H129" s="538"/>
      <c r="I129" s="194"/>
      <c r="J129" s="77"/>
      <c r="K129" s="78"/>
    </row>
    <row r="130" spans="1:11" ht="15" customHeight="1" outlineLevel="1" x14ac:dyDescent="0.25">
      <c r="A130" s="3" t="s">
        <v>75</v>
      </c>
      <c r="B130" s="4"/>
      <c r="C130" s="24">
        <v>410</v>
      </c>
      <c r="D130" s="25" t="s">
        <v>517</v>
      </c>
      <c r="E130" s="195">
        <v>0.32</v>
      </c>
      <c r="F130" s="59">
        <f t="shared" si="6"/>
        <v>0</v>
      </c>
      <c r="G130" s="77"/>
      <c r="H130" s="538"/>
      <c r="I130" s="194"/>
      <c r="J130" s="77"/>
      <c r="K130" s="78"/>
    </row>
    <row r="131" spans="1:11" ht="15" customHeight="1" outlineLevel="1" x14ac:dyDescent="0.25">
      <c r="A131" s="3" t="s">
        <v>75</v>
      </c>
      <c r="B131" s="4"/>
      <c r="C131" s="24">
        <v>415</v>
      </c>
      <c r="D131" s="25" t="s">
        <v>518</v>
      </c>
      <c r="E131" s="195">
        <v>0.34</v>
      </c>
      <c r="F131" s="59">
        <f t="shared" si="6"/>
        <v>0</v>
      </c>
      <c r="G131" s="77"/>
      <c r="H131" s="538"/>
      <c r="I131" s="194"/>
      <c r="J131" s="77"/>
      <c r="K131" s="78"/>
    </row>
    <row r="132" spans="1:11" ht="15" customHeight="1" outlineLevel="1" x14ac:dyDescent="0.25">
      <c r="A132" s="3" t="s">
        <v>75</v>
      </c>
      <c r="B132" s="4"/>
      <c r="C132" s="24">
        <v>416</v>
      </c>
      <c r="D132" s="25" t="s">
        <v>519</v>
      </c>
      <c r="E132" s="195">
        <v>0.4</v>
      </c>
      <c r="F132" s="59">
        <f t="shared" si="6"/>
        <v>0</v>
      </c>
      <c r="G132" s="77"/>
      <c r="H132" s="538"/>
      <c r="I132" s="194"/>
      <c r="J132" s="77"/>
      <c r="K132" s="78"/>
    </row>
    <row r="133" spans="1:11" ht="15" customHeight="1" outlineLevel="1" x14ac:dyDescent="0.25">
      <c r="A133" s="3" t="s">
        <v>75</v>
      </c>
      <c r="B133" s="4"/>
      <c r="C133" s="24">
        <v>417</v>
      </c>
      <c r="D133" s="25" t="s">
        <v>520</v>
      </c>
      <c r="E133" s="195">
        <v>0.42</v>
      </c>
      <c r="F133" s="59">
        <f t="shared" si="6"/>
        <v>0</v>
      </c>
      <c r="G133" s="77"/>
      <c r="H133" s="538"/>
      <c r="I133" s="194"/>
      <c r="J133" s="77"/>
      <c r="K133" s="78"/>
    </row>
    <row r="134" spans="1:11" ht="15" customHeight="1" outlineLevel="1" x14ac:dyDescent="0.2">
      <c r="A134" s="3" t="s">
        <v>75</v>
      </c>
      <c r="B134" s="4"/>
      <c r="C134" s="24">
        <v>625</v>
      </c>
      <c r="D134" s="27" t="s">
        <v>521</v>
      </c>
      <c r="E134" s="195">
        <v>130</v>
      </c>
      <c r="F134" s="59">
        <f t="shared" si="6"/>
        <v>0</v>
      </c>
    </row>
    <row r="135" spans="1:11" ht="15" customHeight="1" outlineLevel="1" x14ac:dyDescent="0.2">
      <c r="A135" s="3" t="s">
        <v>75</v>
      </c>
      <c r="B135" s="4"/>
      <c r="C135" s="24">
        <v>670</v>
      </c>
      <c r="D135" s="27" t="s">
        <v>522</v>
      </c>
      <c r="E135" s="26"/>
      <c r="F135" s="59">
        <f t="shared" si="6"/>
        <v>0</v>
      </c>
    </row>
    <row r="136" spans="1:11" ht="15" customHeight="1" outlineLevel="1" x14ac:dyDescent="0.2">
      <c r="A136" s="3" t="s">
        <v>75</v>
      </c>
      <c r="B136" s="4"/>
      <c r="C136" s="24">
        <v>671</v>
      </c>
      <c r="D136" s="27" t="s">
        <v>523</v>
      </c>
      <c r="E136" s="26"/>
      <c r="F136" s="59">
        <f t="shared" si="6"/>
        <v>0</v>
      </c>
    </row>
    <row r="137" spans="1:11" ht="15" customHeight="1" outlineLevel="1" x14ac:dyDescent="0.2">
      <c r="A137" s="3" t="s">
        <v>75</v>
      </c>
      <c r="B137" s="4"/>
      <c r="C137" s="28">
        <v>672</v>
      </c>
      <c r="D137" s="27" t="s">
        <v>524</v>
      </c>
      <c r="E137" s="29"/>
      <c r="F137" s="59">
        <f t="shared" si="6"/>
        <v>0</v>
      </c>
    </row>
    <row r="138" spans="1:11" ht="15" customHeight="1" outlineLevel="1" thickBot="1" x14ac:dyDescent="0.25">
      <c r="A138" s="3" t="s">
        <v>75</v>
      </c>
      <c r="B138" s="4"/>
      <c r="C138" s="28">
        <v>673</v>
      </c>
      <c r="D138" s="27" t="s">
        <v>525</v>
      </c>
      <c r="E138" s="29"/>
      <c r="F138" s="59">
        <f t="shared" si="6"/>
        <v>0</v>
      </c>
    </row>
    <row r="139" spans="1:11" ht="15" customHeight="1" outlineLevel="1" thickBot="1" x14ac:dyDescent="0.25">
      <c r="A139" s="202"/>
      <c r="B139" s="203"/>
      <c r="C139" s="204"/>
      <c r="D139" s="205" t="s">
        <v>1031</v>
      </c>
      <c r="E139" s="206"/>
      <c r="F139" s="61">
        <f>SUM(F59:F138)</f>
        <v>0</v>
      </c>
    </row>
    <row r="140" spans="1:11" ht="15" customHeight="1" thickBot="1" x14ac:dyDescent="0.25">
      <c r="A140" s="231" t="s">
        <v>1032</v>
      </c>
      <c r="B140" s="224"/>
      <c r="C140" s="224"/>
      <c r="D140" s="232"/>
      <c r="E140" s="152"/>
      <c r="F140" s="105"/>
    </row>
    <row r="141" spans="1:11" ht="15" customHeight="1" thickBot="1" x14ac:dyDescent="0.25">
      <c r="A141" s="242"/>
      <c r="B141" s="97" t="str">
        <f>IF(SUM(F159)&gt;0,"-","")</f>
        <v/>
      </c>
      <c r="C141" s="243"/>
      <c r="D141" s="243" t="s">
        <v>1027</v>
      </c>
      <c r="E141" s="243"/>
      <c r="F141" s="244"/>
    </row>
    <row r="142" spans="1:11" ht="15" customHeight="1" outlineLevel="1" x14ac:dyDescent="0.2">
      <c r="A142" s="3" t="s">
        <v>75</v>
      </c>
      <c r="B142" s="22"/>
      <c r="C142" s="22">
        <v>101</v>
      </c>
      <c r="D142" s="23" t="s">
        <v>526</v>
      </c>
      <c r="E142" s="207">
        <v>350</v>
      </c>
      <c r="F142" s="59">
        <f>E142*B142</f>
        <v>0</v>
      </c>
    </row>
    <row r="143" spans="1:11" ht="15" customHeight="1" outlineLevel="1" x14ac:dyDescent="0.2">
      <c r="A143" s="3" t="s">
        <v>75</v>
      </c>
      <c r="B143" s="22"/>
      <c r="C143" s="22">
        <v>102</v>
      </c>
      <c r="D143" s="23" t="s">
        <v>527</v>
      </c>
      <c r="E143" s="207">
        <v>425</v>
      </c>
      <c r="F143" s="59">
        <f t="shared" ref="F143:F156" si="7">E143*B143</f>
        <v>0</v>
      </c>
    </row>
    <row r="144" spans="1:11" ht="15" customHeight="1" outlineLevel="1" x14ac:dyDescent="0.2">
      <c r="A144" s="3" t="s">
        <v>75</v>
      </c>
      <c r="B144" s="24"/>
      <c r="C144" s="24">
        <v>103</v>
      </c>
      <c r="D144" s="25" t="s">
        <v>528</v>
      </c>
      <c r="E144" s="207">
        <v>515</v>
      </c>
      <c r="F144" s="59">
        <f t="shared" si="7"/>
        <v>0</v>
      </c>
    </row>
    <row r="145" spans="1:6" ht="15" customHeight="1" outlineLevel="1" x14ac:dyDescent="0.2">
      <c r="A145" s="3" t="s">
        <v>75</v>
      </c>
      <c r="B145" s="24"/>
      <c r="C145" s="24">
        <v>106</v>
      </c>
      <c r="D145" s="25" t="s">
        <v>529</v>
      </c>
      <c r="E145" s="207">
        <v>215</v>
      </c>
      <c r="F145" s="59">
        <f t="shared" si="7"/>
        <v>0</v>
      </c>
    </row>
    <row r="146" spans="1:6" ht="15" customHeight="1" outlineLevel="1" x14ac:dyDescent="0.2">
      <c r="A146" s="3" t="s">
        <v>75</v>
      </c>
      <c r="B146" s="24"/>
      <c r="C146" s="24">
        <v>108</v>
      </c>
      <c r="D146" s="25" t="s">
        <v>530</v>
      </c>
      <c r="E146" s="207">
        <v>215</v>
      </c>
      <c r="F146" s="59">
        <f t="shared" si="7"/>
        <v>0</v>
      </c>
    </row>
    <row r="147" spans="1:6" ht="15" customHeight="1" outlineLevel="1" x14ac:dyDescent="0.2">
      <c r="A147" s="3" t="s">
        <v>75</v>
      </c>
      <c r="B147" s="24"/>
      <c r="C147" s="24">
        <v>110</v>
      </c>
      <c r="D147" s="912" t="s">
        <v>531</v>
      </c>
      <c r="E147" s="207">
        <v>2.5</v>
      </c>
      <c r="F147" s="59">
        <f t="shared" si="7"/>
        <v>0</v>
      </c>
    </row>
    <row r="148" spans="1:6" ht="15" customHeight="1" outlineLevel="1" x14ac:dyDescent="0.2">
      <c r="A148" s="3" t="s">
        <v>75</v>
      </c>
      <c r="B148" s="24"/>
      <c r="C148" s="24">
        <v>111</v>
      </c>
      <c r="D148" s="25" t="s">
        <v>456</v>
      </c>
      <c r="E148" s="207">
        <v>175</v>
      </c>
      <c r="F148" s="59">
        <f t="shared" si="7"/>
        <v>0</v>
      </c>
    </row>
    <row r="149" spans="1:6" ht="15" customHeight="1" outlineLevel="1" x14ac:dyDescent="0.2">
      <c r="A149" s="3" t="s">
        <v>75</v>
      </c>
      <c r="B149" s="24"/>
      <c r="C149" s="24">
        <v>112</v>
      </c>
      <c r="D149" s="25" t="s">
        <v>457</v>
      </c>
      <c r="E149" s="207">
        <v>600</v>
      </c>
      <c r="F149" s="59">
        <f t="shared" si="7"/>
        <v>0</v>
      </c>
    </row>
    <row r="150" spans="1:6" ht="15" customHeight="1" outlineLevel="1" x14ac:dyDescent="0.2">
      <c r="A150" s="3" t="s">
        <v>75</v>
      </c>
      <c r="B150" s="24"/>
      <c r="C150" s="24">
        <v>113</v>
      </c>
      <c r="D150" s="25" t="s">
        <v>458</v>
      </c>
      <c r="E150" s="207">
        <v>75</v>
      </c>
      <c r="F150" s="59">
        <f t="shared" si="7"/>
        <v>0</v>
      </c>
    </row>
    <row r="151" spans="1:6" ht="15" customHeight="1" outlineLevel="1" x14ac:dyDescent="0.2">
      <c r="A151" s="3" t="s">
        <v>75</v>
      </c>
      <c r="B151" s="24"/>
      <c r="C151" s="24">
        <v>114</v>
      </c>
      <c r="D151" s="25" t="s">
        <v>459</v>
      </c>
      <c r="E151" s="207">
        <v>75</v>
      </c>
      <c r="F151" s="59">
        <f t="shared" si="7"/>
        <v>0</v>
      </c>
    </row>
    <row r="152" spans="1:6" ht="15" customHeight="1" outlineLevel="1" x14ac:dyDescent="0.2">
      <c r="A152" s="3" t="s">
        <v>75</v>
      </c>
      <c r="B152" s="24"/>
      <c r="C152" s="24">
        <v>115</v>
      </c>
      <c r="D152" s="25" t="s">
        <v>532</v>
      </c>
      <c r="E152" s="207">
        <v>100</v>
      </c>
      <c r="F152" s="59">
        <f t="shared" si="7"/>
        <v>0</v>
      </c>
    </row>
    <row r="153" spans="1:6" ht="15" customHeight="1" outlineLevel="1" x14ac:dyDescent="0.2">
      <c r="A153" s="3" t="s">
        <v>75</v>
      </c>
      <c r="B153" s="24"/>
      <c r="C153" s="24">
        <v>116</v>
      </c>
      <c r="D153" s="25" t="s">
        <v>533</v>
      </c>
      <c r="E153" s="207">
        <v>165</v>
      </c>
      <c r="F153" s="59">
        <f t="shared" si="7"/>
        <v>0</v>
      </c>
    </row>
    <row r="154" spans="1:6" ht="15" customHeight="1" outlineLevel="1" x14ac:dyDescent="0.2">
      <c r="A154" s="3" t="s">
        <v>75</v>
      </c>
      <c r="B154" s="24"/>
      <c r="C154" s="24">
        <v>117</v>
      </c>
      <c r="D154" s="912" t="s">
        <v>534</v>
      </c>
      <c r="E154" s="207">
        <v>225</v>
      </c>
      <c r="F154" s="59">
        <f t="shared" si="7"/>
        <v>0</v>
      </c>
    </row>
    <row r="155" spans="1:6" ht="15" customHeight="1" outlineLevel="1" x14ac:dyDescent="0.2">
      <c r="A155" s="3" t="s">
        <v>75</v>
      </c>
      <c r="B155" s="24"/>
      <c r="C155" s="24">
        <v>118</v>
      </c>
      <c r="D155" s="25" t="s">
        <v>535</v>
      </c>
      <c r="E155" s="207">
        <v>115</v>
      </c>
      <c r="F155" s="59">
        <f t="shared" si="7"/>
        <v>0</v>
      </c>
    </row>
    <row r="156" spans="1:6" ht="15" customHeight="1" outlineLevel="1" x14ac:dyDescent="0.2">
      <c r="A156" s="3" t="s">
        <v>75</v>
      </c>
      <c r="B156" s="28"/>
      <c r="C156" s="28">
        <v>144</v>
      </c>
      <c r="D156" s="27" t="s">
        <v>536</v>
      </c>
      <c r="E156" s="207">
        <v>220</v>
      </c>
      <c r="F156" s="59">
        <f t="shared" si="7"/>
        <v>0</v>
      </c>
    </row>
    <row r="157" spans="1:6" ht="15" customHeight="1" outlineLevel="1" x14ac:dyDescent="0.2">
      <c r="A157" s="3" t="s">
        <v>75</v>
      </c>
      <c r="B157" s="28"/>
      <c r="C157" s="27" t="s">
        <v>357</v>
      </c>
      <c r="D157" s="29"/>
      <c r="E157" s="209"/>
      <c r="F157" s="59"/>
    </row>
    <row r="158" spans="1:6" ht="15" customHeight="1" outlineLevel="1" thickBot="1" x14ac:dyDescent="0.25">
      <c r="A158" s="3" t="s">
        <v>75</v>
      </c>
      <c r="B158" s="28"/>
      <c r="C158" s="27" t="s">
        <v>357</v>
      </c>
      <c r="D158" s="29"/>
      <c r="E158" s="209"/>
      <c r="F158" s="208"/>
    </row>
    <row r="159" spans="1:6" ht="15" customHeight="1" outlineLevel="1" thickBot="1" x14ac:dyDescent="0.25">
      <c r="A159" s="202"/>
      <c r="B159" s="203"/>
      <c r="C159" s="204"/>
      <c r="D159" s="205" t="s">
        <v>1031</v>
      </c>
      <c r="E159" s="206"/>
      <c r="F159" s="61">
        <f>SUM(F142:F158)</f>
        <v>0</v>
      </c>
    </row>
    <row r="160" spans="1:6" ht="15" customHeight="1" thickBot="1" x14ac:dyDescent="0.25">
      <c r="A160" s="573" t="s">
        <v>1032</v>
      </c>
      <c r="B160" s="574"/>
      <c r="C160" s="575"/>
      <c r="D160" s="576"/>
      <c r="E160" s="571"/>
      <c r="F160" s="572"/>
    </row>
    <row r="161" spans="1:12" s="235" customFormat="1" ht="15" customHeight="1" thickBot="1" x14ac:dyDescent="0.3">
      <c r="A161" s="90"/>
      <c r="B161" s="185" t="str">
        <f>IF(SUM(F185)&gt;0,"-","")</f>
        <v/>
      </c>
      <c r="C161" s="91"/>
      <c r="D161" s="230" t="s">
        <v>1035</v>
      </c>
      <c r="E161" s="119"/>
      <c r="F161" s="95"/>
      <c r="G161" s="234"/>
      <c r="H161" s="539"/>
      <c r="I161" s="559"/>
      <c r="J161" s="234"/>
      <c r="K161" s="233"/>
    </row>
    <row r="162" spans="1:12" s="235" customFormat="1" ht="15" customHeight="1" outlineLevel="1" x14ac:dyDescent="0.25">
      <c r="A162" s="10" t="s">
        <v>114</v>
      </c>
      <c r="B162" s="52"/>
      <c r="C162" s="196">
        <v>420</v>
      </c>
      <c r="D162" s="197" t="s">
        <v>537</v>
      </c>
      <c r="E162" s="198">
        <v>1.06</v>
      </c>
      <c r="F162" s="74">
        <f>E162*B162</f>
        <v>0</v>
      </c>
      <c r="G162" s="234"/>
      <c r="H162" s="539"/>
      <c r="I162" s="559"/>
      <c r="J162" s="234"/>
      <c r="K162" s="233"/>
    </row>
    <row r="163" spans="1:12" s="235" customFormat="1" ht="15" customHeight="1" outlineLevel="1" x14ac:dyDescent="0.25">
      <c r="A163" s="8" t="s">
        <v>114</v>
      </c>
      <c r="B163" s="52"/>
      <c r="C163" s="30">
        <v>421</v>
      </c>
      <c r="D163" s="32" t="s">
        <v>538</v>
      </c>
      <c r="E163" s="31">
        <v>1.08</v>
      </c>
      <c r="F163" s="74">
        <f t="shared" ref="F163:F183" si="8">E163*B163</f>
        <v>0</v>
      </c>
      <c r="G163" s="234"/>
      <c r="H163" s="539"/>
      <c r="I163" s="559"/>
      <c r="J163" s="234"/>
      <c r="K163" s="233"/>
    </row>
    <row r="164" spans="1:12" s="235" customFormat="1" ht="15" customHeight="1" outlineLevel="1" x14ac:dyDescent="0.25">
      <c r="A164" s="8" t="s">
        <v>114</v>
      </c>
      <c r="B164" s="52"/>
      <c r="C164" s="30">
        <v>425</v>
      </c>
      <c r="D164" s="32" t="s">
        <v>539</v>
      </c>
      <c r="E164" s="31">
        <v>1.18</v>
      </c>
      <c r="F164" s="74">
        <f t="shared" si="8"/>
        <v>0</v>
      </c>
      <c r="G164" s="234"/>
      <c r="H164" s="539"/>
      <c r="I164" s="559"/>
      <c r="J164" s="234"/>
      <c r="K164" s="233"/>
    </row>
    <row r="165" spans="1:12" s="235" customFormat="1" ht="15" customHeight="1" outlineLevel="1" x14ac:dyDescent="0.25">
      <c r="A165" s="8" t="s">
        <v>114</v>
      </c>
      <c r="B165" s="52"/>
      <c r="C165" s="30">
        <v>430</v>
      </c>
      <c r="D165" s="32" t="s">
        <v>540</v>
      </c>
      <c r="E165" s="31">
        <v>1.26</v>
      </c>
      <c r="F165" s="74">
        <f t="shared" si="8"/>
        <v>0</v>
      </c>
      <c r="G165" s="234"/>
      <c r="H165" s="539"/>
      <c r="I165" s="559"/>
      <c r="J165" s="234"/>
      <c r="K165" s="233"/>
    </row>
    <row r="166" spans="1:12" s="235" customFormat="1" ht="15" customHeight="1" outlineLevel="1" x14ac:dyDescent="0.25">
      <c r="A166" s="8" t="s">
        <v>541</v>
      </c>
      <c r="B166" s="52"/>
      <c r="C166" s="30">
        <v>435</v>
      </c>
      <c r="D166" s="32" t="s">
        <v>542</v>
      </c>
      <c r="E166" s="31">
        <v>0.8</v>
      </c>
      <c r="F166" s="74">
        <f t="shared" si="8"/>
        <v>0</v>
      </c>
      <c r="G166" s="234"/>
      <c r="H166" s="539"/>
      <c r="I166" s="559"/>
      <c r="J166" s="234"/>
      <c r="K166" s="233"/>
    </row>
    <row r="167" spans="1:12" s="235" customFormat="1" ht="15" customHeight="1" outlineLevel="1" x14ac:dyDescent="0.25">
      <c r="A167" s="8" t="s">
        <v>541</v>
      </c>
      <c r="B167" s="52"/>
      <c r="C167" s="30">
        <v>436</v>
      </c>
      <c r="D167" s="32" t="s">
        <v>543</v>
      </c>
      <c r="E167" s="31">
        <v>0.88</v>
      </c>
      <c r="F167" s="74">
        <f t="shared" si="8"/>
        <v>0</v>
      </c>
      <c r="G167" s="234"/>
      <c r="H167" s="539"/>
      <c r="I167" s="559"/>
      <c r="J167" s="234"/>
      <c r="K167" s="233"/>
    </row>
    <row r="168" spans="1:12" s="235" customFormat="1" ht="15" customHeight="1" outlineLevel="1" x14ac:dyDescent="0.25">
      <c r="A168" s="8" t="s">
        <v>541</v>
      </c>
      <c r="B168" s="52"/>
      <c r="C168" s="30">
        <v>440</v>
      </c>
      <c r="D168" s="32" t="s">
        <v>544</v>
      </c>
      <c r="E168" s="31">
        <v>0.9</v>
      </c>
      <c r="F168" s="74">
        <f t="shared" si="8"/>
        <v>0</v>
      </c>
      <c r="G168" s="234"/>
      <c r="H168" s="539"/>
      <c r="I168" s="559"/>
      <c r="J168" s="234"/>
      <c r="K168" s="233"/>
    </row>
    <row r="169" spans="1:12" s="235" customFormat="1" ht="15" customHeight="1" outlineLevel="1" x14ac:dyDescent="0.25">
      <c r="A169" s="8" t="s">
        <v>541</v>
      </c>
      <c r="B169" s="52"/>
      <c r="C169" s="30">
        <v>445</v>
      </c>
      <c r="D169" s="32" t="s">
        <v>545</v>
      </c>
      <c r="E169" s="31">
        <v>1.1599999999999999</v>
      </c>
      <c r="F169" s="74">
        <f t="shared" si="8"/>
        <v>0</v>
      </c>
      <c r="G169" s="234"/>
      <c r="H169" s="539"/>
      <c r="I169" s="559"/>
      <c r="J169" s="234"/>
      <c r="K169" s="233"/>
    </row>
    <row r="170" spans="1:12" s="235" customFormat="1" ht="15" customHeight="1" outlineLevel="1" x14ac:dyDescent="0.25">
      <c r="A170" s="8" t="s">
        <v>541</v>
      </c>
      <c r="B170" s="52"/>
      <c r="C170" s="30">
        <v>450</v>
      </c>
      <c r="D170" s="33" t="s">
        <v>546</v>
      </c>
      <c r="E170" s="31">
        <v>1.42</v>
      </c>
      <c r="F170" s="74">
        <f t="shared" si="8"/>
        <v>0</v>
      </c>
      <c r="G170" s="234"/>
      <c r="H170" s="539"/>
      <c r="I170" s="559"/>
      <c r="J170" s="234"/>
      <c r="K170" s="233"/>
    </row>
    <row r="171" spans="1:12" s="235" customFormat="1" ht="15" customHeight="1" outlineLevel="1" x14ac:dyDescent="0.25">
      <c r="A171" s="8" t="s">
        <v>114</v>
      </c>
      <c r="B171" s="53"/>
      <c r="C171" s="30">
        <v>451</v>
      </c>
      <c r="D171" s="33" t="s">
        <v>547</v>
      </c>
      <c r="E171" s="31">
        <v>0.95</v>
      </c>
      <c r="F171" s="74">
        <f t="shared" si="8"/>
        <v>0</v>
      </c>
      <c r="G171" s="234"/>
      <c r="H171" s="539"/>
      <c r="I171" s="559"/>
      <c r="J171" s="234"/>
      <c r="K171" s="233"/>
    </row>
    <row r="172" spans="1:12" s="235" customFormat="1" ht="15" customHeight="1" outlineLevel="1" x14ac:dyDescent="0.25">
      <c r="A172" s="8" t="s">
        <v>541</v>
      </c>
      <c r="B172" s="53"/>
      <c r="C172" s="30">
        <v>455</v>
      </c>
      <c r="D172" s="33" t="s">
        <v>548</v>
      </c>
      <c r="E172" s="31">
        <v>0.44</v>
      </c>
      <c r="F172" s="74">
        <f t="shared" si="8"/>
        <v>0</v>
      </c>
      <c r="G172" s="234"/>
      <c r="H172" s="539"/>
      <c r="I172" s="559"/>
      <c r="J172" s="236"/>
      <c r="K172" s="237"/>
      <c r="L172" s="238"/>
    </row>
    <row r="173" spans="1:12" s="235" customFormat="1" ht="15" customHeight="1" outlineLevel="1" x14ac:dyDescent="0.25">
      <c r="A173" s="8" t="s">
        <v>541</v>
      </c>
      <c r="B173" s="53"/>
      <c r="C173" s="30">
        <v>460</v>
      </c>
      <c r="D173" s="33" t="s">
        <v>549</v>
      </c>
      <c r="E173" s="31">
        <v>0.6</v>
      </c>
      <c r="F173" s="74">
        <f t="shared" si="8"/>
        <v>0</v>
      </c>
      <c r="G173" s="234"/>
      <c r="H173" s="539"/>
      <c r="I173" s="559"/>
      <c r="J173" s="236"/>
      <c r="K173" s="237"/>
      <c r="L173" s="238"/>
    </row>
    <row r="174" spans="1:12" s="235" customFormat="1" ht="15" customHeight="1" outlineLevel="1" x14ac:dyDescent="0.25">
      <c r="A174" s="8" t="s">
        <v>541</v>
      </c>
      <c r="B174" s="53"/>
      <c r="C174" s="34">
        <v>465</v>
      </c>
      <c r="D174" s="33" t="s">
        <v>550</v>
      </c>
      <c r="E174" s="31">
        <v>0.82</v>
      </c>
      <c r="F174" s="74">
        <f t="shared" si="8"/>
        <v>0</v>
      </c>
      <c r="G174" s="234"/>
      <c r="H174" s="539"/>
      <c r="I174" s="559"/>
      <c r="J174" s="236"/>
      <c r="K174" s="237"/>
      <c r="L174" s="238"/>
    </row>
    <row r="175" spans="1:12" s="235" customFormat="1" ht="15" customHeight="1" outlineLevel="1" x14ac:dyDescent="0.25">
      <c r="A175" s="8" t="s">
        <v>114</v>
      </c>
      <c r="B175" s="53"/>
      <c r="C175" s="34">
        <v>485</v>
      </c>
      <c r="D175" s="2" t="s">
        <v>551</v>
      </c>
      <c r="E175" s="31">
        <v>0.85</v>
      </c>
      <c r="F175" s="74">
        <f t="shared" si="8"/>
        <v>0</v>
      </c>
      <c r="G175" s="234"/>
      <c r="H175" s="539"/>
      <c r="I175" s="559"/>
      <c r="J175" s="236"/>
      <c r="K175" s="237"/>
      <c r="L175" s="238"/>
    </row>
    <row r="176" spans="1:12" s="235" customFormat="1" ht="15" customHeight="1" outlineLevel="1" x14ac:dyDescent="0.25">
      <c r="A176" s="8" t="s">
        <v>114</v>
      </c>
      <c r="B176" s="53"/>
      <c r="C176" s="34">
        <v>500</v>
      </c>
      <c r="D176" s="2" t="s">
        <v>552</v>
      </c>
      <c r="E176" s="31">
        <v>1.28</v>
      </c>
      <c r="F176" s="74">
        <f t="shared" si="8"/>
        <v>0</v>
      </c>
      <c r="G176" s="234"/>
      <c r="H176" s="539"/>
      <c r="I176" s="559"/>
      <c r="J176" s="234"/>
      <c r="K176" s="233"/>
    </row>
    <row r="177" spans="1:11" s="235" customFormat="1" ht="15" customHeight="1" outlineLevel="1" x14ac:dyDescent="0.25">
      <c r="A177" s="8" t="s">
        <v>114</v>
      </c>
      <c r="B177" s="53"/>
      <c r="C177" s="34">
        <v>620</v>
      </c>
      <c r="D177" s="2" t="s">
        <v>553</v>
      </c>
      <c r="E177" s="31">
        <v>41</v>
      </c>
      <c r="F177" s="74">
        <f t="shared" si="8"/>
        <v>0</v>
      </c>
      <c r="G177" s="234"/>
      <c r="H177" s="539"/>
      <c r="I177" s="559"/>
      <c r="J177" s="234"/>
      <c r="K177" s="233"/>
    </row>
    <row r="178" spans="1:11" s="235" customFormat="1" ht="15" customHeight="1" outlineLevel="1" x14ac:dyDescent="0.2">
      <c r="A178" s="8" t="s">
        <v>114</v>
      </c>
      <c r="B178" s="53"/>
      <c r="C178" s="34">
        <v>685</v>
      </c>
      <c r="D178" s="2" t="s">
        <v>554</v>
      </c>
      <c r="E178" s="31">
        <v>42</v>
      </c>
      <c r="F178" s="74">
        <f t="shared" si="8"/>
        <v>0</v>
      </c>
      <c r="H178" s="540"/>
      <c r="I178" s="560"/>
    </row>
    <row r="179" spans="1:11" s="235" customFormat="1" ht="15" customHeight="1" outlineLevel="1" x14ac:dyDescent="0.2">
      <c r="A179" s="8" t="s">
        <v>114</v>
      </c>
      <c r="B179" s="53"/>
      <c r="C179" s="34">
        <v>690</v>
      </c>
      <c r="D179" s="2" t="s">
        <v>555</v>
      </c>
      <c r="E179" s="31">
        <v>42</v>
      </c>
      <c r="F179" s="74">
        <f t="shared" si="8"/>
        <v>0</v>
      </c>
      <c r="H179" s="540"/>
      <c r="I179" s="560"/>
    </row>
    <row r="180" spans="1:11" s="235" customFormat="1" ht="15" customHeight="1" outlineLevel="1" x14ac:dyDescent="0.2">
      <c r="A180" s="8" t="s">
        <v>114</v>
      </c>
      <c r="B180" s="53"/>
      <c r="C180" s="34">
        <v>691</v>
      </c>
      <c r="D180" s="2" t="s">
        <v>556</v>
      </c>
      <c r="E180" s="31">
        <v>242</v>
      </c>
      <c r="F180" s="74">
        <f t="shared" si="8"/>
        <v>0</v>
      </c>
      <c r="H180" s="540"/>
      <c r="I180" s="560"/>
    </row>
    <row r="181" spans="1:11" s="235" customFormat="1" ht="15" customHeight="1" outlineLevel="1" x14ac:dyDescent="0.2">
      <c r="A181" s="8" t="s">
        <v>114</v>
      </c>
      <c r="B181" s="53"/>
      <c r="C181" s="34">
        <v>695</v>
      </c>
      <c r="D181" s="2" t="s">
        <v>557</v>
      </c>
      <c r="E181" s="31">
        <v>42</v>
      </c>
      <c r="F181" s="74">
        <f t="shared" si="8"/>
        <v>0</v>
      </c>
      <c r="H181" s="540"/>
      <c r="I181" s="560"/>
    </row>
    <row r="182" spans="1:11" s="235" customFormat="1" ht="15" customHeight="1" outlineLevel="1" x14ac:dyDescent="0.2">
      <c r="A182" s="8" t="s">
        <v>114</v>
      </c>
      <c r="B182" s="53"/>
      <c r="C182" s="34">
        <v>700</v>
      </c>
      <c r="D182" s="2" t="s">
        <v>558</v>
      </c>
      <c r="E182" s="31">
        <v>42</v>
      </c>
      <c r="F182" s="74">
        <f t="shared" si="8"/>
        <v>0</v>
      </c>
      <c r="H182" s="540"/>
      <c r="I182" s="560"/>
    </row>
    <row r="183" spans="1:11" s="235" customFormat="1" ht="15" customHeight="1" outlineLevel="1" x14ac:dyDescent="0.2">
      <c r="A183" s="8" t="s">
        <v>114</v>
      </c>
      <c r="B183" s="53"/>
      <c r="C183" s="34">
        <v>705</v>
      </c>
      <c r="D183" s="2" t="s">
        <v>559</v>
      </c>
      <c r="E183" s="31">
        <v>37</v>
      </c>
      <c r="F183" s="63">
        <f t="shared" si="8"/>
        <v>0</v>
      </c>
      <c r="H183" s="540"/>
      <c r="I183" s="560"/>
    </row>
    <row r="184" spans="1:11" s="235" customFormat="1" ht="15" customHeight="1" outlineLevel="1" thickBot="1" x14ac:dyDescent="0.25">
      <c r="A184" s="8"/>
      <c r="B184" s="53"/>
      <c r="C184" s="34"/>
      <c r="D184" s="2"/>
      <c r="E184" s="31"/>
      <c r="F184" s="63"/>
      <c r="H184" s="540"/>
      <c r="I184" s="560"/>
    </row>
    <row r="185" spans="1:11" s="235" customFormat="1" ht="15" customHeight="1" outlineLevel="1" thickBot="1" x14ac:dyDescent="0.25">
      <c r="A185" s="89"/>
      <c r="B185" s="112"/>
      <c r="C185" s="9"/>
      <c r="D185" s="9" t="s">
        <v>1034</v>
      </c>
      <c r="E185" s="135"/>
      <c r="F185" s="62">
        <f>SUM(F162:F183)</f>
        <v>0</v>
      </c>
      <c r="H185" s="540"/>
      <c r="I185" s="560"/>
    </row>
    <row r="186" spans="1:11" s="235" customFormat="1" ht="15" customHeight="1" thickBot="1" x14ac:dyDescent="0.25">
      <c r="A186" s="151" t="s">
        <v>1033</v>
      </c>
      <c r="B186" s="185"/>
      <c r="C186" s="91"/>
      <c r="D186" s="91"/>
      <c r="E186" s="119"/>
      <c r="F186" s="95"/>
      <c r="H186" s="540"/>
      <c r="I186" s="560"/>
    </row>
    <row r="187" spans="1:11" s="235" customFormat="1" ht="15" customHeight="1" thickBot="1" x14ac:dyDescent="0.25">
      <c r="A187" s="90"/>
      <c r="B187" s="185" t="str">
        <f>IF(SUM(F216)&gt;0,"-","")</f>
        <v/>
      </c>
      <c r="C187" s="137"/>
      <c r="D187" s="137" t="s">
        <v>1035</v>
      </c>
      <c r="E187" s="119"/>
      <c r="F187" s="150"/>
      <c r="H187" s="540"/>
      <c r="I187" s="560"/>
    </row>
    <row r="188" spans="1:11" s="235" customFormat="1" ht="15" customHeight="1" outlineLevel="1" x14ac:dyDescent="0.2">
      <c r="A188" s="10" t="s">
        <v>114</v>
      </c>
      <c r="B188" s="17"/>
      <c r="C188" s="196">
        <v>100</v>
      </c>
      <c r="D188" s="223" t="s">
        <v>560</v>
      </c>
      <c r="E188" s="198">
        <v>2.25</v>
      </c>
      <c r="F188" s="216">
        <f>E188*B188</f>
        <v>0</v>
      </c>
      <c r="H188" s="540"/>
      <c r="I188" s="560"/>
    </row>
    <row r="189" spans="1:11" ht="15" customHeight="1" outlineLevel="1" x14ac:dyDescent="0.2">
      <c r="A189" s="8" t="s">
        <v>114</v>
      </c>
      <c r="B189" s="1"/>
      <c r="C189" s="30">
        <v>122</v>
      </c>
      <c r="D189" s="32" t="s">
        <v>561</v>
      </c>
      <c r="E189" s="198">
        <v>1.25</v>
      </c>
      <c r="F189" s="216">
        <f t="shared" ref="F189:F214" si="9">E189*B189</f>
        <v>0</v>
      </c>
    </row>
    <row r="190" spans="1:11" ht="15" customHeight="1" outlineLevel="1" x14ac:dyDescent="0.2">
      <c r="A190" s="8" t="s">
        <v>114</v>
      </c>
      <c r="B190" s="1"/>
      <c r="C190" s="30">
        <v>123</v>
      </c>
      <c r="D190" s="32" t="s">
        <v>562</v>
      </c>
      <c r="E190" s="198">
        <v>1.25</v>
      </c>
      <c r="F190" s="216">
        <f t="shared" si="9"/>
        <v>0</v>
      </c>
    </row>
    <row r="191" spans="1:11" ht="15" customHeight="1" outlineLevel="1" x14ac:dyDescent="0.2">
      <c r="A191" s="8" t="s">
        <v>114</v>
      </c>
      <c r="B191" s="1"/>
      <c r="C191" s="30">
        <v>124</v>
      </c>
      <c r="D191" s="32" t="s">
        <v>563</v>
      </c>
      <c r="E191" s="198">
        <v>1.25</v>
      </c>
      <c r="F191" s="216">
        <f t="shared" si="9"/>
        <v>0</v>
      </c>
    </row>
    <row r="192" spans="1:11" ht="15" customHeight="1" outlineLevel="1" x14ac:dyDescent="0.2">
      <c r="A192" s="8" t="s">
        <v>114</v>
      </c>
      <c r="B192" s="1"/>
      <c r="C192" s="30">
        <v>125</v>
      </c>
      <c r="D192" s="33" t="s">
        <v>564</v>
      </c>
      <c r="E192" s="198">
        <v>105</v>
      </c>
      <c r="F192" s="216">
        <f t="shared" si="9"/>
        <v>0</v>
      </c>
    </row>
    <row r="193" spans="1:9" s="228" customFormat="1" ht="15" customHeight="1" outlineLevel="1" x14ac:dyDescent="0.2">
      <c r="A193" s="225" t="s">
        <v>114</v>
      </c>
      <c r="B193" s="239"/>
      <c r="C193" s="226">
        <v>126</v>
      </c>
      <c r="D193" s="227" t="s">
        <v>565</v>
      </c>
      <c r="E193" s="198">
        <v>1.35</v>
      </c>
      <c r="F193" s="216">
        <f t="shared" si="9"/>
        <v>0</v>
      </c>
      <c r="H193" s="541"/>
      <c r="I193" s="561"/>
    </row>
    <row r="194" spans="1:9" ht="15" customHeight="1" outlineLevel="1" x14ac:dyDescent="0.2">
      <c r="A194" s="8" t="s">
        <v>114</v>
      </c>
      <c r="B194" s="1">
        <f>'LABOR SPAN SHEET'!AN2</f>
        <v>0</v>
      </c>
      <c r="C194" s="30">
        <v>127</v>
      </c>
      <c r="D194" s="521" t="s">
        <v>566</v>
      </c>
      <c r="E194" s="198">
        <v>0.45</v>
      </c>
      <c r="F194" s="216">
        <f t="shared" si="9"/>
        <v>0</v>
      </c>
    </row>
    <row r="195" spans="1:9" ht="15" customHeight="1" outlineLevel="1" x14ac:dyDescent="0.2">
      <c r="A195" s="8" t="s">
        <v>114</v>
      </c>
      <c r="B195" s="1"/>
      <c r="C195" s="30">
        <v>128</v>
      </c>
      <c r="D195" s="32" t="s">
        <v>567</v>
      </c>
      <c r="E195" s="198">
        <v>2.25</v>
      </c>
      <c r="F195" s="216">
        <f t="shared" si="9"/>
        <v>0</v>
      </c>
    </row>
    <row r="196" spans="1:9" ht="15" customHeight="1" outlineLevel="1" x14ac:dyDescent="0.2">
      <c r="A196" s="8" t="s">
        <v>114</v>
      </c>
      <c r="B196" s="1"/>
      <c r="C196" s="30">
        <v>129</v>
      </c>
      <c r="D196" s="32" t="s">
        <v>568</v>
      </c>
      <c r="E196" s="198">
        <v>2.25</v>
      </c>
      <c r="F196" s="216">
        <f t="shared" si="9"/>
        <v>0</v>
      </c>
    </row>
    <row r="197" spans="1:9" ht="15" customHeight="1" outlineLevel="1" x14ac:dyDescent="0.2">
      <c r="A197" s="8" t="s">
        <v>114</v>
      </c>
      <c r="B197" s="1"/>
      <c r="C197" s="30">
        <v>130</v>
      </c>
      <c r="D197" s="32" t="s">
        <v>569</v>
      </c>
      <c r="E197" s="198">
        <v>0.55000000000000004</v>
      </c>
      <c r="F197" s="216">
        <f t="shared" si="9"/>
        <v>0</v>
      </c>
    </row>
    <row r="198" spans="1:9" ht="15" customHeight="1" outlineLevel="1" x14ac:dyDescent="0.2">
      <c r="A198" s="8" t="s">
        <v>114</v>
      </c>
      <c r="B198" s="1"/>
      <c r="C198" s="30">
        <v>131</v>
      </c>
      <c r="D198" s="32" t="s">
        <v>570</v>
      </c>
      <c r="E198" s="198">
        <v>0.95</v>
      </c>
      <c r="F198" s="216">
        <f t="shared" si="9"/>
        <v>0</v>
      </c>
    </row>
    <row r="199" spans="1:9" ht="15" customHeight="1" outlineLevel="1" x14ac:dyDescent="0.2">
      <c r="A199" s="8" t="s">
        <v>114</v>
      </c>
      <c r="B199" s="1"/>
      <c r="C199" s="30">
        <v>132</v>
      </c>
      <c r="D199" s="32" t="s">
        <v>571</v>
      </c>
      <c r="E199" s="198">
        <v>1.9</v>
      </c>
      <c r="F199" s="216">
        <f t="shared" si="9"/>
        <v>0</v>
      </c>
    </row>
    <row r="200" spans="1:9" ht="15" customHeight="1" outlineLevel="1" x14ac:dyDescent="0.2">
      <c r="A200" s="8" t="s">
        <v>114</v>
      </c>
      <c r="B200" s="1">
        <f>'LABOR SPAN SHEET'!J2</f>
        <v>0</v>
      </c>
      <c r="C200" s="30">
        <v>140</v>
      </c>
      <c r="D200" s="520" t="s">
        <v>572</v>
      </c>
      <c r="E200" s="198">
        <v>2.5</v>
      </c>
      <c r="F200" s="216">
        <f t="shared" si="9"/>
        <v>0</v>
      </c>
    </row>
    <row r="201" spans="1:9" ht="15" customHeight="1" outlineLevel="1" x14ac:dyDescent="0.2">
      <c r="A201" s="8" t="s">
        <v>114</v>
      </c>
      <c r="B201" s="1">
        <f>SUM('LABOR SPAN SHEET'!K2,'LABOR SPAN SHEET'!L2,'LABOR SPAN SHEET'!M2)</f>
        <v>0</v>
      </c>
      <c r="C201" s="30">
        <v>141</v>
      </c>
      <c r="D201" s="520" t="s">
        <v>573</v>
      </c>
      <c r="E201" s="198">
        <v>1.75</v>
      </c>
      <c r="F201" s="216">
        <f t="shared" si="9"/>
        <v>0</v>
      </c>
    </row>
    <row r="202" spans="1:9" ht="15" customHeight="1" outlineLevel="1" x14ac:dyDescent="0.2">
      <c r="A202" s="8" t="s">
        <v>114</v>
      </c>
      <c r="B202" s="1"/>
      <c r="C202" s="30">
        <v>142</v>
      </c>
      <c r="D202" s="521" t="s">
        <v>574</v>
      </c>
      <c r="E202" s="198">
        <v>100</v>
      </c>
      <c r="F202" s="216">
        <f t="shared" si="9"/>
        <v>0</v>
      </c>
    </row>
    <row r="203" spans="1:9" s="228" customFormat="1" ht="15" customHeight="1" outlineLevel="1" x14ac:dyDescent="0.2">
      <c r="A203" s="225" t="s">
        <v>114</v>
      </c>
      <c r="B203" s="239"/>
      <c r="C203" s="226">
        <v>143</v>
      </c>
      <c r="D203" s="913" t="s">
        <v>575</v>
      </c>
      <c r="E203" s="198">
        <v>100</v>
      </c>
      <c r="F203" s="216">
        <f t="shared" si="9"/>
        <v>0</v>
      </c>
      <c r="H203" s="541"/>
      <c r="I203" s="561"/>
    </row>
    <row r="204" spans="1:9" ht="15" customHeight="1" outlineLevel="1" x14ac:dyDescent="0.2">
      <c r="A204" s="8" t="s">
        <v>114</v>
      </c>
      <c r="B204" s="1"/>
      <c r="C204" s="30">
        <v>145</v>
      </c>
      <c r="D204" s="32" t="s">
        <v>576</v>
      </c>
      <c r="E204" s="198">
        <v>0.25</v>
      </c>
      <c r="F204" s="216">
        <f t="shared" si="9"/>
        <v>0</v>
      </c>
    </row>
    <row r="205" spans="1:9" ht="15" customHeight="1" outlineLevel="1" x14ac:dyDescent="0.2">
      <c r="A205" s="8" t="s">
        <v>114</v>
      </c>
      <c r="B205" s="1"/>
      <c r="C205" s="30">
        <v>146</v>
      </c>
      <c r="D205" s="521" t="s">
        <v>577</v>
      </c>
      <c r="E205" s="198">
        <v>1.2</v>
      </c>
      <c r="F205" s="216">
        <f t="shared" si="9"/>
        <v>0</v>
      </c>
    </row>
    <row r="206" spans="1:9" ht="15" customHeight="1" outlineLevel="1" x14ac:dyDescent="0.2">
      <c r="A206" s="8" t="s">
        <v>114</v>
      </c>
      <c r="B206" s="1"/>
      <c r="C206" s="30">
        <v>147</v>
      </c>
      <c r="D206" s="521" t="s">
        <v>578</v>
      </c>
      <c r="E206" s="198">
        <v>1.2</v>
      </c>
      <c r="F206" s="216">
        <f t="shared" si="9"/>
        <v>0</v>
      </c>
    </row>
    <row r="207" spans="1:9" ht="15" customHeight="1" outlineLevel="1" x14ac:dyDescent="0.2">
      <c r="A207" s="8" t="s">
        <v>114</v>
      </c>
      <c r="B207" s="1">
        <f>'LABOR SPAN SHEET'!O2</f>
        <v>0</v>
      </c>
      <c r="C207" s="30">
        <v>148</v>
      </c>
      <c r="D207" s="521" t="s">
        <v>579</v>
      </c>
      <c r="E207" s="198">
        <v>0.83</v>
      </c>
      <c r="F207" s="216">
        <f t="shared" si="9"/>
        <v>0</v>
      </c>
    </row>
    <row r="208" spans="1:9" ht="15" customHeight="1" outlineLevel="1" x14ac:dyDescent="0.2">
      <c r="A208" s="8" t="s">
        <v>114</v>
      </c>
      <c r="B208" s="1"/>
      <c r="C208" s="30">
        <v>150</v>
      </c>
      <c r="D208" s="522" t="s">
        <v>580</v>
      </c>
      <c r="E208" s="198">
        <v>100</v>
      </c>
      <c r="F208" s="216">
        <f t="shared" si="9"/>
        <v>0</v>
      </c>
    </row>
    <row r="209" spans="1:6" ht="15" customHeight="1" outlineLevel="1" x14ac:dyDescent="0.2">
      <c r="A209" s="8" t="s">
        <v>114</v>
      </c>
      <c r="B209" s="1"/>
      <c r="C209" s="30">
        <v>151</v>
      </c>
      <c r="D209" s="522" t="s">
        <v>581</v>
      </c>
      <c r="E209" s="198">
        <v>16.5</v>
      </c>
      <c r="F209" s="216">
        <f t="shared" si="9"/>
        <v>0</v>
      </c>
    </row>
    <row r="210" spans="1:6" ht="15" customHeight="1" outlineLevel="1" x14ac:dyDescent="0.2">
      <c r="A210" s="8" t="s">
        <v>114</v>
      </c>
      <c r="B210" s="1"/>
      <c r="C210" s="30">
        <v>152</v>
      </c>
      <c r="D210" s="33" t="s">
        <v>582</v>
      </c>
      <c r="E210" s="198">
        <v>202</v>
      </c>
      <c r="F210" s="216">
        <f t="shared" si="9"/>
        <v>0</v>
      </c>
    </row>
    <row r="211" spans="1:6" ht="15" customHeight="1" outlineLevel="1" x14ac:dyDescent="0.2">
      <c r="A211" s="8" t="s">
        <v>114</v>
      </c>
      <c r="B211" s="1"/>
      <c r="C211" s="34">
        <v>155</v>
      </c>
      <c r="D211" s="35" t="s">
        <v>583</v>
      </c>
      <c r="E211" s="198">
        <v>0.55000000000000004</v>
      </c>
      <c r="F211" s="216">
        <f t="shared" si="9"/>
        <v>0</v>
      </c>
    </row>
    <row r="212" spans="1:6" ht="15" customHeight="1" outlineLevel="1" x14ac:dyDescent="0.2">
      <c r="A212" s="8" t="s">
        <v>114</v>
      </c>
      <c r="B212" s="1"/>
      <c r="C212" s="34">
        <v>156</v>
      </c>
      <c r="D212" s="911" t="s">
        <v>584</v>
      </c>
      <c r="E212" s="198">
        <v>2.25</v>
      </c>
      <c r="F212" s="216">
        <f t="shared" si="9"/>
        <v>0</v>
      </c>
    </row>
    <row r="213" spans="1:6" ht="15" customHeight="1" outlineLevel="1" x14ac:dyDescent="0.2">
      <c r="A213" s="8" t="s">
        <v>114</v>
      </c>
      <c r="B213" s="1"/>
      <c r="C213" s="34"/>
      <c r="D213" s="35" t="s">
        <v>357</v>
      </c>
      <c r="E213" s="31"/>
      <c r="F213" s="216">
        <f t="shared" si="9"/>
        <v>0</v>
      </c>
    </row>
    <row r="214" spans="1:6" ht="15" customHeight="1" outlineLevel="1" x14ac:dyDescent="0.2">
      <c r="A214" s="8" t="s">
        <v>114</v>
      </c>
      <c r="B214" s="1"/>
      <c r="C214" s="34"/>
      <c r="D214" s="35" t="s">
        <v>357</v>
      </c>
      <c r="E214" s="31"/>
      <c r="F214" s="216">
        <f t="shared" si="9"/>
        <v>0</v>
      </c>
    </row>
    <row r="215" spans="1:6" ht="15" customHeight="1" outlineLevel="1" thickBot="1" x14ac:dyDescent="0.25">
      <c r="A215" s="217"/>
      <c r="B215" s="218"/>
      <c r="C215" s="219"/>
      <c r="D215" s="220"/>
      <c r="E215" s="221"/>
      <c r="F215" s="222"/>
    </row>
    <row r="216" spans="1:6" ht="15" customHeight="1" outlineLevel="1" thickBot="1" x14ac:dyDescent="0.25">
      <c r="A216" s="121"/>
      <c r="B216" s="122"/>
      <c r="C216" s="147"/>
      <c r="D216" s="229" t="s">
        <v>1034</v>
      </c>
      <c r="E216" s="213"/>
      <c r="F216" s="62">
        <f>SUM(F188:F214)</f>
        <v>0</v>
      </c>
    </row>
    <row r="217" spans="1:6" ht="15" customHeight="1" thickBot="1" x14ac:dyDescent="0.25">
      <c r="A217" s="577" t="s">
        <v>1033</v>
      </c>
      <c r="B217" s="578"/>
      <c r="C217" s="579"/>
      <c r="D217" s="579"/>
      <c r="E217" s="580"/>
      <c r="F217" s="581"/>
    </row>
    <row r="218" spans="1:6" ht="15" customHeight="1" thickBot="1" x14ac:dyDescent="0.25">
      <c r="A218" s="126"/>
      <c r="B218" s="98" t="str">
        <f>IF(SUM(F243)&gt;0,"-","")</f>
        <v/>
      </c>
      <c r="C218" s="100"/>
      <c r="D218" s="136" t="s">
        <v>1036</v>
      </c>
      <c r="E218" s="118"/>
      <c r="F218" s="102"/>
    </row>
    <row r="219" spans="1:6" ht="15" customHeight="1" outlineLevel="1" x14ac:dyDescent="0.2">
      <c r="A219" s="3" t="s">
        <v>585</v>
      </c>
      <c r="B219" s="54"/>
      <c r="C219" s="22">
        <v>470</v>
      </c>
      <c r="D219" s="141" t="s">
        <v>586</v>
      </c>
      <c r="E219" s="39">
        <v>0.57999999999999996</v>
      </c>
      <c r="F219" s="64">
        <f>E219*B219</f>
        <v>0</v>
      </c>
    </row>
    <row r="220" spans="1:6" ht="15" customHeight="1" outlineLevel="1" x14ac:dyDescent="0.2">
      <c r="A220" s="14" t="s">
        <v>585</v>
      </c>
      <c r="B220" s="4"/>
      <c r="C220" s="24">
        <v>475</v>
      </c>
      <c r="D220" s="38" t="s">
        <v>587</v>
      </c>
      <c r="E220" s="39">
        <v>0.82</v>
      </c>
      <c r="F220" s="59">
        <f t="shared" ref="F220:F242" si="10">E220*B220</f>
        <v>0</v>
      </c>
    </row>
    <row r="221" spans="1:6" ht="15" customHeight="1" outlineLevel="1" x14ac:dyDescent="0.2">
      <c r="A221" s="14" t="s">
        <v>585</v>
      </c>
      <c r="B221" s="4"/>
      <c r="C221" s="24">
        <v>480</v>
      </c>
      <c r="D221" s="38" t="s">
        <v>588</v>
      </c>
      <c r="E221" s="39">
        <v>1.1399999999999999</v>
      </c>
      <c r="F221" s="59">
        <f t="shared" si="10"/>
        <v>0</v>
      </c>
    </row>
    <row r="222" spans="1:6" ht="15" customHeight="1" outlineLevel="1" x14ac:dyDescent="0.2">
      <c r="A222" s="14" t="s">
        <v>585</v>
      </c>
      <c r="B222" s="4"/>
      <c r="C222" s="24">
        <v>481</v>
      </c>
      <c r="D222" s="38" t="s">
        <v>589</v>
      </c>
      <c r="E222" s="39">
        <v>1.58</v>
      </c>
      <c r="F222" s="59">
        <f t="shared" si="10"/>
        <v>0</v>
      </c>
    </row>
    <row r="223" spans="1:6" ht="15" customHeight="1" outlineLevel="1" x14ac:dyDescent="0.2">
      <c r="A223" s="14" t="s">
        <v>585</v>
      </c>
      <c r="B223" s="4"/>
      <c r="C223" s="24">
        <v>490</v>
      </c>
      <c r="D223" s="38" t="s">
        <v>590</v>
      </c>
      <c r="E223" s="39">
        <v>1.38</v>
      </c>
      <c r="F223" s="59">
        <f t="shared" si="10"/>
        <v>0</v>
      </c>
    </row>
    <row r="224" spans="1:6" ht="15" customHeight="1" outlineLevel="1" x14ac:dyDescent="0.2">
      <c r="A224" s="14" t="s">
        <v>585</v>
      </c>
      <c r="B224" s="4"/>
      <c r="C224" s="24">
        <v>495</v>
      </c>
      <c r="D224" s="38" t="s">
        <v>591</v>
      </c>
      <c r="E224" s="39">
        <v>1.55</v>
      </c>
      <c r="F224" s="59">
        <f t="shared" si="10"/>
        <v>0</v>
      </c>
    </row>
    <row r="225" spans="1:28" ht="15" customHeight="1" outlineLevel="1" x14ac:dyDescent="0.2">
      <c r="A225" s="14" t="s">
        <v>254</v>
      </c>
      <c r="B225" s="4"/>
      <c r="C225" s="24">
        <v>505</v>
      </c>
      <c r="D225" s="38" t="s">
        <v>592</v>
      </c>
      <c r="E225" s="39">
        <v>1.2</v>
      </c>
      <c r="F225" s="59">
        <f t="shared" si="10"/>
        <v>0</v>
      </c>
    </row>
    <row r="226" spans="1:28" ht="15" customHeight="1" outlineLevel="1" x14ac:dyDescent="0.2">
      <c r="A226" s="14" t="s">
        <v>254</v>
      </c>
      <c r="B226" s="4"/>
      <c r="C226" s="24">
        <v>506</v>
      </c>
      <c r="D226" s="38" t="s">
        <v>593</v>
      </c>
      <c r="E226" s="39">
        <v>1.6</v>
      </c>
      <c r="F226" s="59">
        <f t="shared" si="10"/>
        <v>0</v>
      </c>
    </row>
    <row r="227" spans="1:28" ht="15" customHeight="1" outlineLevel="1" x14ac:dyDescent="0.2">
      <c r="A227" s="14" t="s">
        <v>254</v>
      </c>
      <c r="B227" s="4"/>
      <c r="C227" s="24">
        <v>507</v>
      </c>
      <c r="D227" s="38" t="s">
        <v>594</v>
      </c>
      <c r="E227" s="39">
        <v>0.8</v>
      </c>
      <c r="F227" s="59">
        <f t="shared" si="10"/>
        <v>0</v>
      </c>
    </row>
    <row r="228" spans="1:28" ht="15" customHeight="1" outlineLevel="1" x14ac:dyDescent="0.2">
      <c r="A228" s="14" t="s">
        <v>254</v>
      </c>
      <c r="B228" s="4"/>
      <c r="C228" s="24">
        <v>510</v>
      </c>
      <c r="D228" s="38" t="s">
        <v>595</v>
      </c>
      <c r="E228" s="39">
        <v>0.9</v>
      </c>
      <c r="F228" s="59">
        <f t="shared" si="10"/>
        <v>0</v>
      </c>
    </row>
    <row r="229" spans="1:28" ht="15" customHeight="1" outlineLevel="1" x14ac:dyDescent="0.2">
      <c r="A229" s="14" t="s">
        <v>254</v>
      </c>
      <c r="B229" s="4"/>
      <c r="C229" s="24">
        <v>515</v>
      </c>
      <c r="D229" s="38" t="s">
        <v>596</v>
      </c>
      <c r="E229" s="39">
        <v>57</v>
      </c>
      <c r="F229" s="59">
        <f t="shared" si="10"/>
        <v>0</v>
      </c>
    </row>
    <row r="230" spans="1:28" ht="15" customHeight="1" outlineLevel="1" x14ac:dyDescent="0.2">
      <c r="A230" s="14" t="s">
        <v>254</v>
      </c>
      <c r="B230" s="4"/>
      <c r="C230" s="24">
        <v>520</v>
      </c>
      <c r="D230" s="38" t="s">
        <v>597</v>
      </c>
      <c r="E230" s="39">
        <v>5.51</v>
      </c>
      <c r="F230" s="59">
        <f t="shared" si="10"/>
        <v>0</v>
      </c>
    </row>
    <row r="231" spans="1:28" ht="15" customHeight="1" outlineLevel="1" x14ac:dyDescent="0.2">
      <c r="A231" s="14" t="s">
        <v>254</v>
      </c>
      <c r="B231" s="4"/>
      <c r="C231" s="24">
        <v>525</v>
      </c>
      <c r="D231" s="38" t="s">
        <v>598</v>
      </c>
      <c r="E231" s="39">
        <v>42</v>
      </c>
      <c r="F231" s="59">
        <f t="shared" si="10"/>
        <v>0</v>
      </c>
    </row>
    <row r="232" spans="1:28" ht="15" customHeight="1" outlineLevel="1" x14ac:dyDescent="0.2">
      <c r="A232" s="14" t="s">
        <v>254</v>
      </c>
      <c r="B232" s="4"/>
      <c r="C232" s="24">
        <v>526</v>
      </c>
      <c r="D232" s="38" t="s">
        <v>599</v>
      </c>
      <c r="E232" s="39">
        <v>23</v>
      </c>
      <c r="F232" s="59">
        <f t="shared" si="10"/>
        <v>0</v>
      </c>
    </row>
    <row r="233" spans="1:28" ht="15" customHeight="1" outlineLevel="1" x14ac:dyDescent="0.2">
      <c r="A233" s="14" t="s">
        <v>585</v>
      </c>
      <c r="B233" s="4"/>
      <c r="C233" s="24">
        <v>630</v>
      </c>
      <c r="D233" s="38" t="s">
        <v>600</v>
      </c>
      <c r="E233" s="39">
        <v>25</v>
      </c>
      <c r="F233" s="59">
        <f t="shared" si="10"/>
        <v>0</v>
      </c>
    </row>
    <row r="234" spans="1:28" ht="15" customHeight="1" outlineLevel="1" x14ac:dyDescent="0.2">
      <c r="A234" s="14" t="s">
        <v>278</v>
      </c>
      <c r="B234" s="4"/>
      <c r="C234" s="24">
        <v>610</v>
      </c>
      <c r="D234" s="25" t="s">
        <v>601</v>
      </c>
      <c r="E234" s="39">
        <v>1.9</v>
      </c>
      <c r="F234" s="59">
        <f t="shared" si="10"/>
        <v>0</v>
      </c>
    </row>
    <row r="235" spans="1:28" s="157" customFormat="1" ht="15" customHeight="1" outlineLevel="1" x14ac:dyDescent="0.2">
      <c r="A235" s="14" t="s">
        <v>278</v>
      </c>
      <c r="B235" s="4"/>
      <c r="C235" s="24">
        <v>611</v>
      </c>
      <c r="D235" s="25" t="s">
        <v>602</v>
      </c>
      <c r="E235" s="39">
        <v>1.2</v>
      </c>
      <c r="F235" s="59">
        <f t="shared" si="10"/>
        <v>0</v>
      </c>
      <c r="H235" s="542"/>
      <c r="I235" s="562"/>
      <c r="J235" s="48"/>
      <c r="K235" s="48"/>
      <c r="L235" s="158"/>
      <c r="M235" s="48"/>
      <c r="N235" s="48"/>
      <c r="O235" s="48"/>
      <c r="P235" s="48"/>
      <c r="Q235" s="48"/>
      <c r="R235" s="48"/>
      <c r="S235" s="48"/>
      <c r="T235" s="48"/>
      <c r="U235" s="48"/>
      <c r="V235" s="48"/>
      <c r="W235" s="48"/>
      <c r="X235" s="48"/>
      <c r="Y235" s="47"/>
      <c r="Z235" s="48"/>
      <c r="AA235" s="48"/>
      <c r="AB235" s="48"/>
    </row>
    <row r="236" spans="1:28" ht="15" customHeight="1" outlineLevel="1" x14ac:dyDescent="0.2">
      <c r="A236" s="14" t="s">
        <v>278</v>
      </c>
      <c r="B236" s="4"/>
      <c r="C236" s="28">
        <v>210</v>
      </c>
      <c r="D236" s="27" t="s">
        <v>603</v>
      </c>
      <c r="E236" s="39">
        <v>24</v>
      </c>
      <c r="F236" s="59">
        <f t="shared" si="10"/>
        <v>0</v>
      </c>
    </row>
    <row r="237" spans="1:28" ht="15" customHeight="1" outlineLevel="1" x14ac:dyDescent="0.2">
      <c r="A237" s="14" t="s">
        <v>278</v>
      </c>
      <c r="B237" s="107"/>
      <c r="C237" s="28">
        <v>220</v>
      </c>
      <c r="D237" s="27" t="s">
        <v>604</v>
      </c>
      <c r="E237" s="39">
        <v>182</v>
      </c>
      <c r="F237" s="59">
        <f t="shared" si="10"/>
        <v>0</v>
      </c>
    </row>
    <row r="238" spans="1:28" ht="15" customHeight="1" outlineLevel="1" x14ac:dyDescent="0.2">
      <c r="A238" s="14" t="s">
        <v>278</v>
      </c>
      <c r="B238" s="4"/>
      <c r="C238" s="24">
        <v>615</v>
      </c>
      <c r="D238" s="25" t="s">
        <v>605</v>
      </c>
      <c r="E238" s="39">
        <v>0.9</v>
      </c>
      <c r="F238" s="59">
        <f t="shared" si="10"/>
        <v>0</v>
      </c>
    </row>
    <row r="239" spans="1:28" ht="15" customHeight="1" outlineLevel="1" x14ac:dyDescent="0.2">
      <c r="A239" s="14" t="s">
        <v>278</v>
      </c>
      <c r="B239" s="4"/>
      <c r="C239" s="24">
        <v>635</v>
      </c>
      <c r="D239" s="25" t="s">
        <v>606</v>
      </c>
      <c r="E239" s="39">
        <v>1.8</v>
      </c>
      <c r="F239" s="59">
        <f t="shared" si="10"/>
        <v>0</v>
      </c>
    </row>
    <row r="240" spans="1:28" ht="15" customHeight="1" outlineLevel="1" x14ac:dyDescent="0.2">
      <c r="A240" s="65" t="s">
        <v>278</v>
      </c>
      <c r="B240" s="107"/>
      <c r="C240" s="138">
        <v>636</v>
      </c>
      <c r="D240" s="139" t="s">
        <v>607</v>
      </c>
      <c r="E240" s="39">
        <v>0.45</v>
      </c>
      <c r="F240" s="59">
        <f t="shared" si="10"/>
        <v>0</v>
      </c>
    </row>
    <row r="241" spans="1:6" ht="15" customHeight="1" outlineLevel="1" x14ac:dyDescent="0.2">
      <c r="A241" s="14" t="s">
        <v>278</v>
      </c>
      <c r="B241" s="4"/>
      <c r="C241" s="5">
        <v>804</v>
      </c>
      <c r="D241" s="70" t="s">
        <v>608</v>
      </c>
      <c r="E241" s="39">
        <v>1.2</v>
      </c>
      <c r="F241" s="59">
        <f>E241*B241</f>
        <v>0</v>
      </c>
    </row>
    <row r="242" spans="1:6" ht="15" customHeight="1" outlineLevel="1" thickBot="1" x14ac:dyDescent="0.25">
      <c r="A242" s="14" t="s">
        <v>278</v>
      </c>
      <c r="B242" s="4"/>
      <c r="C242" s="5" t="s">
        <v>609</v>
      </c>
      <c r="D242" s="70" t="s">
        <v>610</v>
      </c>
      <c r="E242" s="39">
        <v>0.45</v>
      </c>
      <c r="F242" s="59">
        <f t="shared" si="10"/>
        <v>0</v>
      </c>
    </row>
    <row r="243" spans="1:6" ht="15" customHeight="1" outlineLevel="1" thickBot="1" x14ac:dyDescent="0.25">
      <c r="A243" s="242"/>
      <c r="B243" s="97"/>
      <c r="C243" s="243"/>
      <c r="D243" s="244" t="s">
        <v>1037</v>
      </c>
      <c r="E243" s="125"/>
      <c r="F243" s="58">
        <f>SUM(F219:F242)</f>
        <v>0</v>
      </c>
    </row>
    <row r="244" spans="1:6" ht="15" customHeight="1" thickBot="1" x14ac:dyDescent="0.25">
      <c r="A244" s="94" t="s">
        <v>1038</v>
      </c>
      <c r="B244" s="97"/>
      <c r="C244" s="243"/>
      <c r="D244" s="243"/>
      <c r="E244" s="245"/>
      <c r="F244" s="83"/>
    </row>
    <row r="245" spans="1:6" ht="15" customHeight="1" thickBot="1" x14ac:dyDescent="0.25">
      <c r="A245" s="123"/>
      <c r="B245" s="142" t="str">
        <f>IF(SUM(F262)&gt;0,"-","")</f>
        <v/>
      </c>
      <c r="C245" s="124"/>
      <c r="D245" s="140" t="s">
        <v>1036</v>
      </c>
      <c r="E245" s="128"/>
      <c r="F245" s="129"/>
    </row>
    <row r="246" spans="1:6" ht="15" customHeight="1" outlineLevel="1" x14ac:dyDescent="0.2">
      <c r="A246" s="259" t="s">
        <v>278</v>
      </c>
      <c r="B246" s="261">
        <f>'LABOR SPAN SHEET'!AB2</f>
        <v>0</v>
      </c>
      <c r="C246" s="272">
        <v>210</v>
      </c>
      <c r="D246" s="523" t="s">
        <v>611</v>
      </c>
      <c r="E246" s="274">
        <v>1.3</v>
      </c>
      <c r="F246" s="264">
        <f t="shared" ref="F246:F258" si="11">E246*B246</f>
        <v>0</v>
      </c>
    </row>
    <row r="247" spans="1:6" ht="15" customHeight="1" outlineLevel="1" x14ac:dyDescent="0.2">
      <c r="A247" s="259" t="s">
        <v>278</v>
      </c>
      <c r="B247" s="261">
        <f>'LABOR SPAN SHEET'!AA2</f>
        <v>0</v>
      </c>
      <c r="C247" s="272">
        <v>220</v>
      </c>
      <c r="D247" s="523" t="s">
        <v>604</v>
      </c>
      <c r="E247" s="274">
        <v>1.3</v>
      </c>
      <c r="F247" s="264">
        <f t="shared" si="11"/>
        <v>0</v>
      </c>
    </row>
    <row r="248" spans="1:6" ht="15" customHeight="1" outlineLevel="1" x14ac:dyDescent="0.2">
      <c r="A248" s="259" t="s">
        <v>278</v>
      </c>
      <c r="B248" s="260"/>
      <c r="C248" s="272">
        <v>1</v>
      </c>
      <c r="D248" s="273" t="s">
        <v>612</v>
      </c>
      <c r="E248" s="274">
        <v>550</v>
      </c>
      <c r="F248" s="264">
        <f t="shared" si="11"/>
        <v>0</v>
      </c>
    </row>
    <row r="249" spans="1:6" ht="15" customHeight="1" outlineLevel="1" x14ac:dyDescent="0.2">
      <c r="A249" s="259" t="s">
        <v>278</v>
      </c>
      <c r="B249" s="260"/>
      <c r="C249" s="272">
        <v>2</v>
      </c>
      <c r="D249" s="273" t="s">
        <v>613</v>
      </c>
      <c r="E249" s="274">
        <v>550</v>
      </c>
      <c r="F249" s="264">
        <f t="shared" si="11"/>
        <v>0</v>
      </c>
    </row>
    <row r="250" spans="1:6" ht="15" customHeight="1" outlineLevel="1" x14ac:dyDescent="0.2">
      <c r="A250" s="259" t="s">
        <v>278</v>
      </c>
      <c r="B250" s="260"/>
      <c r="C250" s="272">
        <v>3</v>
      </c>
      <c r="D250" s="273" t="s">
        <v>614</v>
      </c>
      <c r="E250" s="274">
        <v>1.0900000000000001</v>
      </c>
      <c r="F250" s="264">
        <f t="shared" si="11"/>
        <v>0</v>
      </c>
    </row>
    <row r="251" spans="1:6" ht="15" customHeight="1" outlineLevel="1" x14ac:dyDescent="0.2">
      <c r="A251" s="259" t="s">
        <v>278</v>
      </c>
      <c r="B251" s="260"/>
      <c r="C251" s="272">
        <v>4</v>
      </c>
      <c r="D251" s="273" t="s">
        <v>615</v>
      </c>
      <c r="E251" s="274">
        <v>1.66</v>
      </c>
      <c r="F251" s="264">
        <f t="shared" si="11"/>
        <v>0</v>
      </c>
    </row>
    <row r="252" spans="1:6" ht="15" customHeight="1" outlineLevel="1" x14ac:dyDescent="0.2">
      <c r="A252" s="259" t="s">
        <v>278</v>
      </c>
      <c r="B252" s="260"/>
      <c r="C252" s="272">
        <v>5</v>
      </c>
      <c r="D252" s="273" t="s">
        <v>616</v>
      </c>
      <c r="E252" s="274">
        <v>2.3199999999999998</v>
      </c>
      <c r="F252" s="264">
        <f t="shared" si="11"/>
        <v>0</v>
      </c>
    </row>
    <row r="253" spans="1:6" ht="15" customHeight="1" outlineLevel="1" x14ac:dyDescent="0.2">
      <c r="A253" s="259" t="s">
        <v>278</v>
      </c>
      <c r="B253" s="260"/>
      <c r="C253" s="272">
        <v>6</v>
      </c>
      <c r="D253" s="273" t="s">
        <v>617</v>
      </c>
      <c r="E253" s="274">
        <v>16</v>
      </c>
      <c r="F253" s="264">
        <f t="shared" si="11"/>
        <v>0</v>
      </c>
    </row>
    <row r="254" spans="1:6" ht="15" customHeight="1" outlineLevel="1" x14ac:dyDescent="0.2">
      <c r="A254" s="259" t="s">
        <v>278</v>
      </c>
      <c r="B254" s="260"/>
      <c r="C254" s="272">
        <v>7</v>
      </c>
      <c r="D254" s="273" t="s">
        <v>618</v>
      </c>
      <c r="E254" s="274">
        <v>2.25</v>
      </c>
      <c r="F254" s="264">
        <f t="shared" si="11"/>
        <v>0</v>
      </c>
    </row>
    <row r="255" spans="1:6" ht="15" customHeight="1" outlineLevel="1" x14ac:dyDescent="0.2">
      <c r="A255" s="259" t="s">
        <v>278</v>
      </c>
      <c r="B255" s="260"/>
      <c r="C255" s="272">
        <v>8</v>
      </c>
      <c r="D255" s="273" t="s">
        <v>619</v>
      </c>
      <c r="E255" s="274">
        <v>0.95</v>
      </c>
      <c r="F255" s="264">
        <f t="shared" si="11"/>
        <v>0</v>
      </c>
    </row>
    <row r="256" spans="1:6" ht="15" customHeight="1" outlineLevel="1" x14ac:dyDescent="0.2">
      <c r="A256" s="259" t="s">
        <v>278</v>
      </c>
      <c r="B256" s="260"/>
      <c r="C256" s="272">
        <v>9</v>
      </c>
      <c r="D256" s="273" t="s">
        <v>620</v>
      </c>
      <c r="E256" s="274">
        <v>0.95</v>
      </c>
      <c r="F256" s="264">
        <f t="shared" si="11"/>
        <v>0</v>
      </c>
    </row>
    <row r="257" spans="1:6" ht="15" customHeight="1" outlineLevel="1" x14ac:dyDescent="0.2">
      <c r="A257" s="259" t="s">
        <v>278</v>
      </c>
      <c r="B257" s="260"/>
      <c r="C257" s="272">
        <v>11</v>
      </c>
      <c r="D257" s="523" t="s">
        <v>621</v>
      </c>
      <c r="E257" s="274">
        <v>425</v>
      </c>
      <c r="F257" s="264">
        <f t="shared" si="11"/>
        <v>0</v>
      </c>
    </row>
    <row r="258" spans="1:6" ht="15" customHeight="1" outlineLevel="1" x14ac:dyDescent="0.2">
      <c r="A258" s="267" t="s">
        <v>278</v>
      </c>
      <c r="B258" s="265"/>
      <c r="C258" s="275">
        <v>153</v>
      </c>
      <c r="D258" s="524" t="s">
        <v>622</v>
      </c>
      <c r="E258" s="274">
        <v>0.28999999999999998</v>
      </c>
      <c r="F258" s="268">
        <f t="shared" si="11"/>
        <v>0</v>
      </c>
    </row>
    <row r="259" spans="1:6" ht="15" customHeight="1" outlineLevel="1" x14ac:dyDescent="0.2">
      <c r="A259" s="259"/>
      <c r="B259" s="260"/>
      <c r="C259" s="272"/>
      <c r="D259" s="276" t="s">
        <v>357</v>
      </c>
      <c r="E259" s="277"/>
      <c r="F259" s="278"/>
    </row>
    <row r="260" spans="1:6" ht="15" customHeight="1" outlineLevel="1" x14ac:dyDescent="0.2">
      <c r="A260" s="259"/>
      <c r="B260" s="260"/>
      <c r="C260" s="261"/>
      <c r="D260" s="276" t="s">
        <v>357</v>
      </c>
      <c r="E260" s="263"/>
      <c r="F260" s="278"/>
    </row>
    <row r="261" spans="1:6" ht="15" customHeight="1" outlineLevel="1" thickBot="1" x14ac:dyDescent="0.25">
      <c r="A261" s="259"/>
      <c r="B261" s="260"/>
      <c r="C261" s="272"/>
      <c r="D261" s="276" t="s">
        <v>357</v>
      </c>
      <c r="E261" s="279"/>
      <c r="F261" s="278"/>
    </row>
    <row r="262" spans="1:6" ht="15" customHeight="1" outlineLevel="1" thickBot="1" x14ac:dyDescent="0.25">
      <c r="A262" s="90"/>
      <c r="B262" s="185"/>
      <c r="C262" s="91"/>
      <c r="D262" s="269" t="s">
        <v>1037</v>
      </c>
      <c r="E262" s="280"/>
      <c r="F262" s="131">
        <f>SUM(F246:F261)</f>
        <v>0</v>
      </c>
    </row>
    <row r="263" spans="1:6" ht="15" customHeight="1" thickBot="1" x14ac:dyDescent="0.25">
      <c r="A263" s="573" t="s">
        <v>1038</v>
      </c>
      <c r="B263" s="578"/>
      <c r="C263" s="579"/>
      <c r="D263" s="579"/>
      <c r="E263" s="580"/>
      <c r="F263" s="581"/>
    </row>
    <row r="264" spans="1:6" ht="15" customHeight="1" thickBot="1" x14ac:dyDescent="0.25">
      <c r="A264" s="126"/>
      <c r="B264" s="98" t="str">
        <f>IF(SUM(F307)&gt;0,"-","")</f>
        <v/>
      </c>
      <c r="C264" s="100"/>
      <c r="D264" s="136" t="s">
        <v>1039</v>
      </c>
      <c r="E264" s="245"/>
      <c r="F264" s="83"/>
    </row>
    <row r="265" spans="1:6" ht="15" customHeight="1" outlineLevel="1" x14ac:dyDescent="0.2">
      <c r="A265" s="14" t="s">
        <v>254</v>
      </c>
      <c r="B265" s="4"/>
      <c r="C265" s="24">
        <v>525</v>
      </c>
      <c r="D265" s="38" t="s">
        <v>598</v>
      </c>
      <c r="E265" s="39">
        <v>42</v>
      </c>
      <c r="F265" s="59">
        <f>E265*B265</f>
        <v>0</v>
      </c>
    </row>
    <row r="266" spans="1:6" ht="15" customHeight="1" outlineLevel="1" x14ac:dyDescent="0.2">
      <c r="A266" s="14" t="s">
        <v>254</v>
      </c>
      <c r="B266" s="4"/>
      <c r="C266" s="24">
        <v>526</v>
      </c>
      <c r="D266" s="38" t="s">
        <v>599</v>
      </c>
      <c r="E266" s="39">
        <v>23</v>
      </c>
      <c r="F266" s="59">
        <f t="shared" ref="F266:F288" si="12">E266*B266</f>
        <v>0</v>
      </c>
    </row>
    <row r="267" spans="1:6" ht="15" customHeight="1" outlineLevel="1" x14ac:dyDescent="0.2">
      <c r="A267" s="3" t="s">
        <v>278</v>
      </c>
      <c r="B267" s="54"/>
      <c r="C267" s="22">
        <v>527</v>
      </c>
      <c r="D267" s="141" t="s">
        <v>623</v>
      </c>
      <c r="E267" s="39">
        <v>5.46</v>
      </c>
      <c r="F267" s="64">
        <f t="shared" si="12"/>
        <v>0</v>
      </c>
    </row>
    <row r="268" spans="1:6" ht="15" customHeight="1" outlineLevel="1" x14ac:dyDescent="0.2">
      <c r="A268" s="14" t="s">
        <v>278</v>
      </c>
      <c r="B268" s="4"/>
      <c r="C268" s="24">
        <v>528</v>
      </c>
      <c r="D268" s="25" t="s">
        <v>624</v>
      </c>
      <c r="E268" s="39">
        <v>6.06</v>
      </c>
      <c r="F268" s="59">
        <f t="shared" si="12"/>
        <v>0</v>
      </c>
    </row>
    <row r="269" spans="1:6" ht="15" customHeight="1" outlineLevel="1" x14ac:dyDescent="0.2">
      <c r="A269" s="14" t="s">
        <v>278</v>
      </c>
      <c r="B269" s="4"/>
      <c r="C269" s="24">
        <v>530</v>
      </c>
      <c r="D269" s="25" t="s">
        <v>625</v>
      </c>
      <c r="E269" s="39">
        <v>6.26</v>
      </c>
      <c r="F269" s="59">
        <f t="shared" si="12"/>
        <v>0</v>
      </c>
    </row>
    <row r="270" spans="1:6" ht="15" customHeight="1" outlineLevel="1" x14ac:dyDescent="0.2">
      <c r="A270" s="14" t="s">
        <v>278</v>
      </c>
      <c r="B270" s="4"/>
      <c r="C270" s="24">
        <v>534</v>
      </c>
      <c r="D270" s="25" t="s">
        <v>626</v>
      </c>
      <c r="E270" s="39">
        <v>6.46</v>
      </c>
      <c r="F270" s="59">
        <f t="shared" si="12"/>
        <v>0</v>
      </c>
    </row>
    <row r="271" spans="1:6" ht="15" customHeight="1" outlineLevel="1" x14ac:dyDescent="0.2">
      <c r="A271" s="14" t="s">
        <v>278</v>
      </c>
      <c r="B271" s="4"/>
      <c r="C271" s="24">
        <v>535</v>
      </c>
      <c r="D271" s="38" t="s">
        <v>627</v>
      </c>
      <c r="E271" s="39">
        <v>6.7</v>
      </c>
      <c r="F271" s="59">
        <f t="shared" si="12"/>
        <v>0</v>
      </c>
    </row>
    <row r="272" spans="1:6" ht="15" customHeight="1" outlineLevel="1" x14ac:dyDescent="0.2">
      <c r="A272" s="14" t="s">
        <v>278</v>
      </c>
      <c r="B272" s="4"/>
      <c r="C272" s="24">
        <v>540</v>
      </c>
      <c r="D272" s="38" t="s">
        <v>628</v>
      </c>
      <c r="E272" s="39">
        <v>1</v>
      </c>
      <c r="F272" s="59">
        <f t="shared" si="12"/>
        <v>0</v>
      </c>
    </row>
    <row r="273" spans="1:6" ht="15" customHeight="1" outlineLevel="1" x14ac:dyDescent="0.2">
      <c r="A273" s="14" t="s">
        <v>278</v>
      </c>
      <c r="B273" s="4"/>
      <c r="C273" s="24">
        <v>541</v>
      </c>
      <c r="D273" s="38" t="s">
        <v>629</v>
      </c>
      <c r="E273" s="39">
        <v>1</v>
      </c>
      <c r="F273" s="59">
        <f t="shared" si="12"/>
        <v>0</v>
      </c>
    </row>
    <row r="274" spans="1:6" ht="15" customHeight="1" outlineLevel="1" x14ac:dyDescent="0.2">
      <c r="A274" s="14" t="s">
        <v>278</v>
      </c>
      <c r="B274" s="4"/>
      <c r="C274" s="24">
        <v>545</v>
      </c>
      <c r="D274" s="38" t="s">
        <v>630</v>
      </c>
      <c r="E274" s="39">
        <v>1.1000000000000001</v>
      </c>
      <c r="F274" s="59">
        <f t="shared" si="12"/>
        <v>0</v>
      </c>
    </row>
    <row r="275" spans="1:6" ht="15" customHeight="1" outlineLevel="1" x14ac:dyDescent="0.2">
      <c r="A275" s="14" t="s">
        <v>278</v>
      </c>
      <c r="B275" s="4"/>
      <c r="C275" s="24">
        <v>550</v>
      </c>
      <c r="D275" s="38" t="s">
        <v>631</v>
      </c>
      <c r="E275" s="39">
        <v>2.4</v>
      </c>
      <c r="F275" s="59">
        <f t="shared" si="12"/>
        <v>0</v>
      </c>
    </row>
    <row r="276" spans="1:6" ht="15" customHeight="1" outlineLevel="1" x14ac:dyDescent="0.2">
      <c r="A276" s="14" t="s">
        <v>278</v>
      </c>
      <c r="B276" s="4"/>
      <c r="C276" s="24">
        <v>555</v>
      </c>
      <c r="D276" s="38" t="s">
        <v>632</v>
      </c>
      <c r="E276" s="39">
        <v>13.98</v>
      </c>
      <c r="F276" s="59">
        <f t="shared" si="12"/>
        <v>0</v>
      </c>
    </row>
    <row r="277" spans="1:6" ht="15" customHeight="1" outlineLevel="1" x14ac:dyDescent="0.2">
      <c r="A277" s="14" t="s">
        <v>278</v>
      </c>
      <c r="B277" s="4"/>
      <c r="C277" s="24">
        <v>558</v>
      </c>
      <c r="D277" s="38" t="s">
        <v>633</v>
      </c>
      <c r="E277" s="39">
        <v>2.25</v>
      </c>
      <c r="F277" s="59">
        <f t="shared" si="12"/>
        <v>0</v>
      </c>
    </row>
    <row r="278" spans="1:6" ht="15" customHeight="1" outlineLevel="1" x14ac:dyDescent="0.2">
      <c r="A278" s="14" t="s">
        <v>278</v>
      </c>
      <c r="B278" s="4"/>
      <c r="C278" s="24">
        <v>562</v>
      </c>
      <c r="D278" s="38" t="s">
        <v>634</v>
      </c>
      <c r="E278" s="39">
        <v>2.75</v>
      </c>
      <c r="F278" s="59">
        <f t="shared" si="12"/>
        <v>0</v>
      </c>
    </row>
    <row r="279" spans="1:6" ht="15" customHeight="1" outlineLevel="1" x14ac:dyDescent="0.2">
      <c r="A279" s="14" t="s">
        <v>278</v>
      </c>
      <c r="B279" s="4"/>
      <c r="C279" s="24">
        <v>570</v>
      </c>
      <c r="D279" s="38" t="s">
        <v>635</v>
      </c>
      <c r="E279" s="39" t="s">
        <v>636</v>
      </c>
      <c r="F279" s="59"/>
    </row>
    <row r="280" spans="1:6" ht="15" customHeight="1" outlineLevel="1" x14ac:dyDescent="0.2">
      <c r="A280" s="14" t="s">
        <v>278</v>
      </c>
      <c r="B280" s="4"/>
      <c r="C280" s="24">
        <v>575</v>
      </c>
      <c r="D280" s="38" t="s">
        <v>637</v>
      </c>
      <c r="E280" s="39" t="s">
        <v>636</v>
      </c>
      <c r="F280" s="59"/>
    </row>
    <row r="281" spans="1:6" ht="15" customHeight="1" outlineLevel="1" x14ac:dyDescent="0.2">
      <c r="A281" s="14" t="s">
        <v>278</v>
      </c>
      <c r="B281" s="4"/>
      <c r="C281" s="24">
        <v>590</v>
      </c>
      <c r="D281" s="38" t="s">
        <v>638</v>
      </c>
      <c r="E281" s="39">
        <v>17</v>
      </c>
      <c r="F281" s="59">
        <f t="shared" si="12"/>
        <v>0</v>
      </c>
    </row>
    <row r="282" spans="1:6" ht="15" customHeight="1" outlineLevel="1" x14ac:dyDescent="0.2">
      <c r="A282" s="14" t="s">
        <v>278</v>
      </c>
      <c r="B282" s="4"/>
      <c r="C282" s="24">
        <v>595</v>
      </c>
      <c r="D282" s="38" t="s">
        <v>639</v>
      </c>
      <c r="E282" s="39" t="s">
        <v>636</v>
      </c>
      <c r="F282" s="59"/>
    </row>
    <row r="283" spans="1:6" ht="15" customHeight="1" outlineLevel="1" x14ac:dyDescent="0.2">
      <c r="A283" s="14" t="s">
        <v>278</v>
      </c>
      <c r="B283" s="4"/>
      <c r="C283" s="24">
        <v>600</v>
      </c>
      <c r="D283" s="38" t="s">
        <v>640</v>
      </c>
      <c r="E283" s="39" t="s">
        <v>636</v>
      </c>
      <c r="F283" s="59"/>
    </row>
    <row r="284" spans="1:6" ht="15" customHeight="1" outlineLevel="1" x14ac:dyDescent="0.2">
      <c r="A284" s="14" t="s">
        <v>278</v>
      </c>
      <c r="B284" s="4"/>
      <c r="C284" s="24">
        <v>601</v>
      </c>
      <c r="D284" s="38" t="s">
        <v>641</v>
      </c>
      <c r="E284" s="39" t="s">
        <v>642</v>
      </c>
      <c r="F284" s="59"/>
    </row>
    <row r="285" spans="1:6" ht="15" customHeight="1" outlineLevel="1" x14ac:dyDescent="0.2">
      <c r="A285" s="14" t="s">
        <v>278</v>
      </c>
      <c r="B285" s="4"/>
      <c r="C285" s="24">
        <v>602</v>
      </c>
      <c r="D285" s="38" t="s">
        <v>643</v>
      </c>
      <c r="E285" s="39" t="s">
        <v>644</v>
      </c>
      <c r="F285" s="59"/>
    </row>
    <row r="286" spans="1:6" ht="15" customHeight="1" outlineLevel="1" x14ac:dyDescent="0.2">
      <c r="A286" s="14" t="s">
        <v>278</v>
      </c>
      <c r="B286" s="4"/>
      <c r="C286" s="24">
        <v>605</v>
      </c>
      <c r="D286" s="38" t="s">
        <v>645</v>
      </c>
      <c r="E286" s="39">
        <v>280</v>
      </c>
      <c r="F286" s="59">
        <f t="shared" si="12"/>
        <v>0</v>
      </c>
    </row>
    <row r="287" spans="1:6" ht="15" customHeight="1" outlineLevel="1" x14ac:dyDescent="0.2">
      <c r="A287" s="14" t="s">
        <v>278</v>
      </c>
      <c r="B287" s="4"/>
      <c r="C287" s="24">
        <v>606</v>
      </c>
      <c r="D287" s="38" t="s">
        <v>646</v>
      </c>
      <c r="E287" s="39">
        <v>260</v>
      </c>
      <c r="F287" s="59">
        <f t="shared" si="12"/>
        <v>0</v>
      </c>
    </row>
    <row r="288" spans="1:6" ht="15" customHeight="1" outlineLevel="1" x14ac:dyDescent="0.2">
      <c r="A288" s="14" t="s">
        <v>278</v>
      </c>
      <c r="B288" s="4"/>
      <c r="C288" s="24">
        <v>607</v>
      </c>
      <c r="D288" s="25" t="s">
        <v>647</v>
      </c>
      <c r="E288" s="39">
        <v>60</v>
      </c>
      <c r="F288" s="59">
        <f t="shared" si="12"/>
        <v>0</v>
      </c>
    </row>
    <row r="289" spans="1:28" ht="15" customHeight="1" outlineLevel="1" x14ac:dyDescent="0.2">
      <c r="A289" s="14" t="s">
        <v>278</v>
      </c>
      <c r="B289" s="4"/>
      <c r="C289" s="24">
        <v>608</v>
      </c>
      <c r="D289" s="25" t="s">
        <v>648</v>
      </c>
      <c r="E289" s="39">
        <v>60</v>
      </c>
      <c r="F289" s="59">
        <f t="shared" ref="F289:F301" si="13">E289*B289</f>
        <v>0</v>
      </c>
    </row>
    <row r="290" spans="1:28" ht="15" customHeight="1" outlineLevel="1" x14ac:dyDescent="0.2">
      <c r="A290" s="14" t="s">
        <v>278</v>
      </c>
      <c r="B290" s="4"/>
      <c r="C290" s="24">
        <v>610</v>
      </c>
      <c r="D290" s="25" t="s">
        <v>601</v>
      </c>
      <c r="E290" s="39">
        <v>1.9</v>
      </c>
      <c r="F290" s="59">
        <f t="shared" si="13"/>
        <v>0</v>
      </c>
    </row>
    <row r="291" spans="1:28" ht="15" customHeight="1" outlineLevel="1" x14ac:dyDescent="0.2">
      <c r="A291" s="14" t="s">
        <v>278</v>
      </c>
      <c r="B291" s="4"/>
      <c r="C291" s="24">
        <v>611</v>
      </c>
      <c r="D291" s="25" t="s">
        <v>602</v>
      </c>
      <c r="E291" s="39">
        <v>1.2</v>
      </c>
      <c r="F291" s="59">
        <f t="shared" si="13"/>
        <v>0</v>
      </c>
    </row>
    <row r="292" spans="1:28" ht="15" customHeight="1" outlineLevel="1" x14ac:dyDescent="0.2">
      <c r="A292" s="14" t="s">
        <v>278</v>
      </c>
      <c r="B292" s="4"/>
      <c r="C292" s="24">
        <v>615</v>
      </c>
      <c r="D292" s="25" t="s">
        <v>605</v>
      </c>
      <c r="E292" s="39">
        <v>0.9</v>
      </c>
      <c r="F292" s="59">
        <f t="shared" si="13"/>
        <v>0</v>
      </c>
    </row>
    <row r="293" spans="1:28" ht="15" customHeight="1" outlineLevel="1" x14ac:dyDescent="0.2">
      <c r="A293" s="14" t="s">
        <v>278</v>
      </c>
      <c r="B293" s="4"/>
      <c r="C293" s="24">
        <v>635</v>
      </c>
      <c r="D293" s="25" t="s">
        <v>606</v>
      </c>
      <c r="E293" s="39">
        <v>1.8</v>
      </c>
      <c r="F293" s="59">
        <f t="shared" si="13"/>
        <v>0</v>
      </c>
    </row>
    <row r="294" spans="1:28" ht="15" customHeight="1" outlineLevel="1" x14ac:dyDescent="0.2">
      <c r="A294" s="14" t="s">
        <v>278</v>
      </c>
      <c r="B294" s="4"/>
      <c r="C294" s="24">
        <v>636</v>
      </c>
      <c r="D294" s="25" t="s">
        <v>607</v>
      </c>
      <c r="E294" s="39">
        <v>0.45</v>
      </c>
      <c r="F294" s="59">
        <f t="shared" si="13"/>
        <v>0</v>
      </c>
    </row>
    <row r="295" spans="1:28" ht="15" customHeight="1" outlineLevel="1" x14ac:dyDescent="0.2">
      <c r="A295" s="14" t="s">
        <v>278</v>
      </c>
      <c r="B295" s="4"/>
      <c r="C295" s="24">
        <v>645</v>
      </c>
      <c r="D295" s="25" t="s">
        <v>649</v>
      </c>
      <c r="E295" s="39">
        <v>15</v>
      </c>
      <c r="F295" s="59">
        <f t="shared" si="13"/>
        <v>0</v>
      </c>
    </row>
    <row r="296" spans="1:28" ht="15" customHeight="1" outlineLevel="1" x14ac:dyDescent="0.2">
      <c r="A296" s="14" t="s">
        <v>278</v>
      </c>
      <c r="B296" s="4"/>
      <c r="C296" s="24">
        <v>660</v>
      </c>
      <c r="D296" s="25" t="s">
        <v>650</v>
      </c>
      <c r="E296" s="39">
        <v>45</v>
      </c>
      <c r="F296" s="59">
        <f t="shared" si="13"/>
        <v>0</v>
      </c>
    </row>
    <row r="297" spans="1:28" ht="15" customHeight="1" outlineLevel="1" x14ac:dyDescent="0.2">
      <c r="A297" s="14" t="s">
        <v>278</v>
      </c>
      <c r="B297" s="4"/>
      <c r="C297" s="24">
        <v>665</v>
      </c>
      <c r="D297" s="25" t="s">
        <v>651</v>
      </c>
      <c r="E297" s="39">
        <v>125</v>
      </c>
      <c r="F297" s="59">
        <f t="shared" si="13"/>
        <v>0</v>
      </c>
    </row>
    <row r="298" spans="1:28" ht="15" customHeight="1" outlineLevel="1" x14ac:dyDescent="0.2">
      <c r="A298" s="14" t="s">
        <v>278</v>
      </c>
      <c r="B298" s="4"/>
      <c r="C298" s="24">
        <v>675</v>
      </c>
      <c r="D298" s="25" t="s">
        <v>652</v>
      </c>
      <c r="E298" s="39">
        <v>1900</v>
      </c>
      <c r="F298" s="59">
        <f t="shared" si="13"/>
        <v>0</v>
      </c>
    </row>
    <row r="299" spans="1:28" ht="15" customHeight="1" outlineLevel="1" x14ac:dyDescent="0.2">
      <c r="A299" s="14" t="s">
        <v>278</v>
      </c>
      <c r="B299" s="4"/>
      <c r="C299" s="28">
        <v>676</v>
      </c>
      <c r="D299" s="27" t="s">
        <v>653</v>
      </c>
      <c r="E299" s="39" t="s">
        <v>654</v>
      </c>
      <c r="F299" s="59"/>
    </row>
    <row r="300" spans="1:28" ht="15" customHeight="1" outlineLevel="1" x14ac:dyDescent="0.2">
      <c r="A300" s="14" t="s">
        <v>278</v>
      </c>
      <c r="B300" s="107"/>
      <c r="C300" s="28">
        <v>680</v>
      </c>
      <c r="D300" s="27" t="s">
        <v>655</v>
      </c>
      <c r="E300" s="39">
        <v>320</v>
      </c>
      <c r="F300" s="59">
        <f t="shared" si="13"/>
        <v>0</v>
      </c>
    </row>
    <row r="301" spans="1:28" ht="15" customHeight="1" outlineLevel="1" x14ac:dyDescent="0.2">
      <c r="A301" s="14" t="s">
        <v>278</v>
      </c>
      <c r="B301" s="107"/>
      <c r="C301" s="28">
        <v>710</v>
      </c>
      <c r="D301" s="27" t="s">
        <v>656</v>
      </c>
      <c r="E301" s="39">
        <v>14</v>
      </c>
      <c r="F301" s="59">
        <f t="shared" si="13"/>
        <v>0</v>
      </c>
    </row>
    <row r="302" spans="1:28" ht="15" customHeight="1" outlineLevel="1" x14ac:dyDescent="0.2">
      <c r="A302" s="14" t="s">
        <v>278</v>
      </c>
      <c r="B302" s="107"/>
      <c r="C302" s="28">
        <v>715</v>
      </c>
      <c r="D302" s="27" t="s">
        <v>657</v>
      </c>
      <c r="E302" s="39">
        <v>315</v>
      </c>
      <c r="F302" s="59">
        <f>E302*B302</f>
        <v>0</v>
      </c>
    </row>
    <row r="303" spans="1:28" ht="15" customHeight="1" outlineLevel="1" x14ac:dyDescent="0.2">
      <c r="A303" s="14" t="s">
        <v>278</v>
      </c>
      <c r="B303" s="107"/>
      <c r="C303" s="28">
        <v>730</v>
      </c>
      <c r="D303" s="27" t="s">
        <v>658</v>
      </c>
      <c r="E303" s="39">
        <v>15</v>
      </c>
      <c r="F303" s="59">
        <f>E303*B303</f>
        <v>0</v>
      </c>
    </row>
    <row r="304" spans="1:28" s="157" customFormat="1" ht="15" customHeight="1" outlineLevel="1" x14ac:dyDescent="0.2">
      <c r="A304" s="14" t="s">
        <v>278</v>
      </c>
      <c r="B304" s="4"/>
      <c r="C304" s="28">
        <v>735</v>
      </c>
      <c r="D304" s="27" t="s">
        <v>659</v>
      </c>
      <c r="E304" s="39">
        <v>5.51</v>
      </c>
      <c r="F304" s="59">
        <f>E304*B304</f>
        <v>0</v>
      </c>
      <c r="H304" s="542"/>
      <c r="I304" s="562"/>
      <c r="J304" s="48"/>
      <c r="K304" s="48"/>
      <c r="L304" s="158"/>
      <c r="M304" s="48"/>
      <c r="N304" s="48"/>
      <c r="O304" s="48"/>
      <c r="P304" s="48"/>
      <c r="Q304" s="48"/>
      <c r="R304" s="48"/>
      <c r="S304" s="48"/>
      <c r="T304" s="48"/>
      <c r="U304" s="48"/>
      <c r="V304" s="48"/>
      <c r="W304" s="48"/>
      <c r="X304" s="48"/>
      <c r="Y304" s="47"/>
      <c r="Z304" s="48"/>
      <c r="AA304" s="48"/>
      <c r="AB304" s="48"/>
    </row>
    <row r="305" spans="1:6" ht="15" customHeight="1" outlineLevel="1" x14ac:dyDescent="0.2">
      <c r="A305" s="14" t="s">
        <v>278</v>
      </c>
      <c r="B305" s="4"/>
      <c r="C305" s="28">
        <v>740</v>
      </c>
      <c r="D305" s="27" t="s">
        <v>660</v>
      </c>
      <c r="E305" s="39">
        <v>35</v>
      </c>
      <c r="F305" s="59">
        <f>E305*B305</f>
        <v>0</v>
      </c>
    </row>
    <row r="306" spans="1:6" ht="15" customHeight="1" outlineLevel="1" thickBot="1" x14ac:dyDescent="0.25">
      <c r="A306" s="14" t="s">
        <v>278</v>
      </c>
      <c r="B306" s="107"/>
      <c r="C306" s="28"/>
      <c r="D306" s="27"/>
      <c r="E306" s="29"/>
      <c r="F306" s="59"/>
    </row>
    <row r="307" spans="1:6" ht="15" customHeight="1" outlineLevel="1" thickBot="1" x14ac:dyDescent="0.25">
      <c r="A307" s="43"/>
      <c r="B307" s="130"/>
      <c r="C307" s="7"/>
      <c r="D307" s="281" t="s">
        <v>1040</v>
      </c>
      <c r="E307" s="44"/>
      <c r="F307" s="58">
        <f>SUM(F265:F305)</f>
        <v>0</v>
      </c>
    </row>
    <row r="308" spans="1:6" ht="15" customHeight="1" thickBot="1" x14ac:dyDescent="0.25">
      <c r="A308" s="92" t="s">
        <v>1041</v>
      </c>
      <c r="B308" s="185"/>
      <c r="C308" s="91"/>
      <c r="D308" s="137"/>
      <c r="E308" s="119"/>
      <c r="F308" s="95"/>
    </row>
    <row r="309" spans="1:6" ht="15" customHeight="1" thickBot="1" x14ac:dyDescent="0.25">
      <c r="A309" s="123"/>
      <c r="B309" s="185" t="str">
        <f>IF(SUM(F339)&gt;0,"-","")</f>
        <v>-</v>
      </c>
      <c r="C309" s="124"/>
      <c r="D309" s="140" t="s">
        <v>1039</v>
      </c>
      <c r="E309" s="119"/>
      <c r="F309" s="95"/>
    </row>
    <row r="310" spans="1:6" ht="15" customHeight="1" outlineLevel="1" x14ac:dyDescent="0.2">
      <c r="A310" s="8"/>
      <c r="B310" s="79">
        <f>'LABOR SPAN SHEET'!AD2</f>
        <v>10899</v>
      </c>
      <c r="C310" s="199">
        <v>200</v>
      </c>
      <c r="D310" s="525" t="s">
        <v>661</v>
      </c>
      <c r="E310" s="274">
        <v>9.5</v>
      </c>
      <c r="F310" s="63">
        <f t="shared" ref="F310:F335" si="14">E310*B310</f>
        <v>103540.5</v>
      </c>
    </row>
    <row r="311" spans="1:6" ht="15" customHeight="1" outlineLevel="1" x14ac:dyDescent="0.2">
      <c r="A311" s="8"/>
      <c r="B311" s="79">
        <f>'LABOR SPAN SHEET'!AE2+'LABOR SPAN SHEET'!AF2</f>
        <v>0</v>
      </c>
      <c r="C311" s="199">
        <v>5</v>
      </c>
      <c r="D311" s="776" t="s">
        <v>662</v>
      </c>
      <c r="E311" s="274">
        <v>1.2</v>
      </c>
      <c r="F311" s="63">
        <f t="shared" si="14"/>
        <v>0</v>
      </c>
    </row>
    <row r="312" spans="1:6" ht="15" customHeight="1" outlineLevel="1" x14ac:dyDescent="0.2">
      <c r="A312" s="8"/>
      <c r="B312" s="55"/>
      <c r="C312" s="40">
        <v>201</v>
      </c>
      <c r="D312" s="526" t="s">
        <v>663</v>
      </c>
      <c r="E312" s="274">
        <v>52</v>
      </c>
      <c r="F312" s="63">
        <f t="shared" si="14"/>
        <v>0</v>
      </c>
    </row>
    <row r="313" spans="1:6" ht="15" customHeight="1" outlineLevel="1" x14ac:dyDescent="0.2">
      <c r="A313" s="8"/>
      <c r="B313" s="55"/>
      <c r="C313" s="40">
        <v>202</v>
      </c>
      <c r="D313" s="41" t="s">
        <v>664</v>
      </c>
      <c r="E313" s="274">
        <v>0.75</v>
      </c>
      <c r="F313" s="63">
        <f t="shared" si="14"/>
        <v>0</v>
      </c>
    </row>
    <row r="314" spans="1:6" ht="15" customHeight="1" outlineLevel="1" x14ac:dyDescent="0.2">
      <c r="A314" s="8"/>
      <c r="B314" s="55"/>
      <c r="C314" s="40">
        <v>203</v>
      </c>
      <c r="D314" s="41" t="s">
        <v>665</v>
      </c>
      <c r="E314" s="274">
        <v>7.5</v>
      </c>
      <c r="F314" s="63">
        <f t="shared" si="14"/>
        <v>0</v>
      </c>
    </row>
    <row r="315" spans="1:6" ht="15" customHeight="1" outlineLevel="1" x14ac:dyDescent="0.2">
      <c r="A315" s="8"/>
      <c r="B315" s="55"/>
      <c r="C315" s="527">
        <v>210</v>
      </c>
      <c r="D315" s="528" t="s">
        <v>603</v>
      </c>
      <c r="E315" s="529">
        <v>1.2</v>
      </c>
      <c r="F315" s="530">
        <f t="shared" si="14"/>
        <v>0</v>
      </c>
    </row>
    <row r="316" spans="1:6" ht="15" customHeight="1" outlineLevel="1" x14ac:dyDescent="0.2">
      <c r="A316" s="8"/>
      <c r="B316" s="55"/>
      <c r="C316" s="531">
        <v>220</v>
      </c>
      <c r="D316" s="528" t="s">
        <v>604</v>
      </c>
      <c r="E316" s="529">
        <v>0.5</v>
      </c>
      <c r="F316" s="530">
        <f t="shared" si="14"/>
        <v>0</v>
      </c>
    </row>
    <row r="317" spans="1:6" ht="15" customHeight="1" outlineLevel="1" x14ac:dyDescent="0.2">
      <c r="A317" s="8"/>
      <c r="B317" s="55"/>
      <c r="C317" s="40">
        <v>225</v>
      </c>
      <c r="D317" s="41" t="s">
        <v>666</v>
      </c>
      <c r="E317" s="274">
        <v>35</v>
      </c>
      <c r="F317" s="63">
        <f t="shared" si="14"/>
        <v>0</v>
      </c>
    </row>
    <row r="318" spans="1:6" ht="15" customHeight="1" outlineLevel="1" x14ac:dyDescent="0.2">
      <c r="A318" s="8"/>
      <c r="B318" s="55"/>
      <c r="C318" s="40">
        <v>226</v>
      </c>
      <c r="D318" s="41" t="s">
        <v>667</v>
      </c>
      <c r="E318" s="274">
        <v>50</v>
      </c>
      <c r="F318" s="63">
        <f t="shared" si="14"/>
        <v>0</v>
      </c>
    </row>
    <row r="319" spans="1:6" ht="15" customHeight="1" outlineLevel="1" x14ac:dyDescent="0.2">
      <c r="A319" s="8"/>
      <c r="B319" s="79"/>
      <c r="C319" s="531">
        <v>153</v>
      </c>
      <c r="D319" s="528" t="s">
        <v>622</v>
      </c>
      <c r="E319" s="529">
        <v>0.28999999999999998</v>
      </c>
      <c r="F319" s="530">
        <f t="shared" si="14"/>
        <v>0</v>
      </c>
    </row>
    <row r="320" spans="1:6" ht="15" customHeight="1" outlineLevel="1" x14ac:dyDescent="0.2">
      <c r="A320" s="8"/>
      <c r="B320" s="55"/>
      <c r="C320" s="531">
        <v>1</v>
      </c>
      <c r="D320" s="528" t="s">
        <v>612</v>
      </c>
      <c r="E320" s="529">
        <v>550</v>
      </c>
      <c r="F320" s="530">
        <f t="shared" si="14"/>
        <v>0</v>
      </c>
    </row>
    <row r="321" spans="1:6" ht="15" customHeight="1" outlineLevel="1" x14ac:dyDescent="0.2">
      <c r="A321" s="8"/>
      <c r="B321" s="55"/>
      <c r="C321" s="531">
        <v>2</v>
      </c>
      <c r="D321" s="528" t="s">
        <v>613</v>
      </c>
      <c r="E321" s="529">
        <v>550</v>
      </c>
      <c r="F321" s="530">
        <f t="shared" si="14"/>
        <v>0</v>
      </c>
    </row>
    <row r="322" spans="1:6" ht="15" customHeight="1" outlineLevel="1" x14ac:dyDescent="0.2">
      <c r="A322" s="8"/>
      <c r="B322" s="55"/>
      <c r="C322" s="531">
        <v>3</v>
      </c>
      <c r="D322" s="528" t="s">
        <v>614</v>
      </c>
      <c r="E322" s="529">
        <v>1.0900000000000001</v>
      </c>
      <c r="F322" s="530">
        <f t="shared" si="14"/>
        <v>0</v>
      </c>
    </row>
    <row r="323" spans="1:6" ht="15" customHeight="1" outlineLevel="1" x14ac:dyDescent="0.2">
      <c r="A323" s="8"/>
      <c r="B323" s="55"/>
      <c r="C323" s="531">
        <v>4</v>
      </c>
      <c r="D323" s="528" t="s">
        <v>615</v>
      </c>
      <c r="E323" s="529">
        <v>1.66</v>
      </c>
      <c r="F323" s="530">
        <f t="shared" si="14"/>
        <v>0</v>
      </c>
    </row>
    <row r="324" spans="1:6" ht="15" customHeight="1" outlineLevel="1" x14ac:dyDescent="0.2">
      <c r="A324" s="8"/>
      <c r="B324" s="55"/>
      <c r="C324" s="531">
        <v>5</v>
      </c>
      <c r="D324" s="528" t="s">
        <v>616</v>
      </c>
      <c r="E324" s="529">
        <v>2.3199999999999998</v>
      </c>
      <c r="F324" s="530">
        <f t="shared" si="14"/>
        <v>0</v>
      </c>
    </row>
    <row r="325" spans="1:6" ht="15" customHeight="1" outlineLevel="1" x14ac:dyDescent="0.2">
      <c r="A325" s="8"/>
      <c r="B325" s="55"/>
      <c r="C325" s="531">
        <v>6</v>
      </c>
      <c r="D325" s="528" t="s">
        <v>617</v>
      </c>
      <c r="E325" s="529">
        <v>16</v>
      </c>
      <c r="F325" s="530">
        <f t="shared" si="14"/>
        <v>0</v>
      </c>
    </row>
    <row r="326" spans="1:6" ht="15" customHeight="1" outlineLevel="1" x14ac:dyDescent="0.2">
      <c r="A326" s="8"/>
      <c r="B326" s="55"/>
      <c r="C326" s="531">
        <v>7</v>
      </c>
      <c r="D326" s="528" t="s">
        <v>618</v>
      </c>
      <c r="E326" s="529">
        <v>2.25</v>
      </c>
      <c r="F326" s="530">
        <f t="shared" si="14"/>
        <v>0</v>
      </c>
    </row>
    <row r="327" spans="1:6" ht="15" customHeight="1" outlineLevel="1" x14ac:dyDescent="0.2">
      <c r="A327" s="8"/>
      <c r="B327" s="55"/>
      <c r="C327" s="531">
        <v>8</v>
      </c>
      <c r="D327" s="528" t="s">
        <v>619</v>
      </c>
      <c r="E327" s="529">
        <v>0.95</v>
      </c>
      <c r="F327" s="530">
        <f t="shared" si="14"/>
        <v>0</v>
      </c>
    </row>
    <row r="328" spans="1:6" ht="15" customHeight="1" outlineLevel="1" x14ac:dyDescent="0.2">
      <c r="A328" s="8"/>
      <c r="B328" s="55"/>
      <c r="C328" s="531">
        <v>9</v>
      </c>
      <c r="D328" s="528" t="s">
        <v>620</v>
      </c>
      <c r="E328" s="529">
        <v>0.95</v>
      </c>
      <c r="F328" s="530">
        <f t="shared" si="14"/>
        <v>0</v>
      </c>
    </row>
    <row r="329" spans="1:6" ht="15" customHeight="1" outlineLevel="1" x14ac:dyDescent="0.2">
      <c r="A329" s="8"/>
      <c r="B329" s="55"/>
      <c r="C329" s="531">
        <v>11</v>
      </c>
      <c r="D329" s="528" t="s">
        <v>621</v>
      </c>
      <c r="E329" s="529">
        <v>425</v>
      </c>
      <c r="F329" s="530">
        <f t="shared" si="14"/>
        <v>0</v>
      </c>
    </row>
    <row r="330" spans="1:6" ht="15" customHeight="1" outlineLevel="1" x14ac:dyDescent="0.2">
      <c r="A330" s="8"/>
      <c r="B330" s="55"/>
      <c r="C330" s="531">
        <v>153</v>
      </c>
      <c r="D330" s="528" t="s">
        <v>622</v>
      </c>
      <c r="E330" s="529">
        <v>0.28999999999999998</v>
      </c>
      <c r="F330" s="530">
        <f t="shared" si="14"/>
        <v>0</v>
      </c>
    </row>
    <row r="331" spans="1:6" ht="15" customHeight="1" outlineLevel="1" x14ac:dyDescent="0.2">
      <c r="A331" s="8"/>
      <c r="B331" s="55"/>
      <c r="C331" s="34">
        <v>149</v>
      </c>
      <c r="D331" s="523" t="s">
        <v>598</v>
      </c>
      <c r="E331" s="274">
        <v>100</v>
      </c>
      <c r="F331" s="63">
        <f t="shared" si="14"/>
        <v>0</v>
      </c>
    </row>
    <row r="332" spans="1:6" ht="15" customHeight="1" outlineLevel="1" x14ac:dyDescent="0.2">
      <c r="A332" s="8"/>
      <c r="B332" s="55"/>
      <c r="C332" s="34">
        <v>412</v>
      </c>
      <c r="D332" s="42" t="s">
        <v>668</v>
      </c>
      <c r="E332" s="274">
        <v>22.54</v>
      </c>
      <c r="F332" s="63">
        <f t="shared" si="14"/>
        <v>0</v>
      </c>
    </row>
    <row r="333" spans="1:6" ht="15" customHeight="1" outlineLevel="1" x14ac:dyDescent="0.2">
      <c r="A333" s="8"/>
      <c r="B333" s="55"/>
      <c r="C333" s="532">
        <v>152</v>
      </c>
      <c r="D333" s="533" t="s">
        <v>582</v>
      </c>
      <c r="E333" s="529">
        <v>202</v>
      </c>
      <c r="F333" s="530">
        <f t="shared" si="14"/>
        <v>0</v>
      </c>
    </row>
    <row r="334" spans="1:6" ht="15" customHeight="1" outlineLevel="1" x14ac:dyDescent="0.2">
      <c r="A334" s="8"/>
      <c r="B334" s="55"/>
      <c r="C334" s="30">
        <v>998</v>
      </c>
      <c r="D334" s="35" t="s">
        <v>669</v>
      </c>
      <c r="E334" s="274">
        <v>7</v>
      </c>
      <c r="F334" s="63">
        <f t="shared" si="14"/>
        <v>0</v>
      </c>
    </row>
    <row r="335" spans="1:6" ht="15" customHeight="1" outlineLevel="1" x14ac:dyDescent="0.2">
      <c r="A335" s="8"/>
      <c r="B335" s="55"/>
      <c r="C335" s="36">
        <v>154</v>
      </c>
      <c r="D335" s="35" t="s">
        <v>670</v>
      </c>
      <c r="E335" s="274">
        <v>55</v>
      </c>
      <c r="F335" s="63">
        <f t="shared" si="14"/>
        <v>0</v>
      </c>
    </row>
    <row r="336" spans="1:6" ht="15" customHeight="1" outlineLevel="1" x14ac:dyDescent="0.2">
      <c r="A336" s="8"/>
      <c r="B336" s="55"/>
      <c r="C336" s="36"/>
      <c r="D336" s="35" t="s">
        <v>357</v>
      </c>
      <c r="E336" s="215"/>
      <c r="F336" s="63"/>
    </row>
    <row r="337" spans="1:6" ht="15" customHeight="1" outlineLevel="1" x14ac:dyDescent="0.2">
      <c r="A337" s="8"/>
      <c r="B337" s="55"/>
      <c r="C337" s="36"/>
      <c r="D337" s="35" t="s">
        <v>357</v>
      </c>
      <c r="E337" s="215"/>
      <c r="F337" s="63"/>
    </row>
    <row r="338" spans="1:6" ht="15" customHeight="1" outlineLevel="1" thickBot="1" x14ac:dyDescent="0.25">
      <c r="A338" s="8"/>
      <c r="B338" s="55"/>
      <c r="C338" s="36"/>
      <c r="D338" s="35" t="s">
        <v>357</v>
      </c>
      <c r="E338" s="37"/>
      <c r="F338" s="63"/>
    </row>
    <row r="339" spans="1:6" ht="15" customHeight="1" outlineLevel="1" thickBot="1" x14ac:dyDescent="0.25">
      <c r="A339" s="210"/>
      <c r="B339" s="211"/>
      <c r="C339" s="212"/>
      <c r="D339" s="134" t="s">
        <v>1040</v>
      </c>
      <c r="E339" s="135"/>
      <c r="F339" s="62">
        <f>SUM(F310:F338)</f>
        <v>103540.5</v>
      </c>
    </row>
    <row r="340" spans="1:6" ht="15" customHeight="1" thickBot="1" x14ac:dyDescent="0.25">
      <c r="A340" s="582" t="s">
        <v>1041</v>
      </c>
      <c r="B340" s="583"/>
      <c r="C340" s="584"/>
      <c r="D340" s="585"/>
      <c r="E340" s="586"/>
      <c r="F340" s="587"/>
    </row>
    <row r="341" spans="1:6" ht="15" customHeight="1" thickBot="1" x14ac:dyDescent="0.25">
      <c r="A341" s="93"/>
      <c r="B341" s="97" t="str">
        <f>IF(SUM(F386)&gt;0,"-","")</f>
        <v/>
      </c>
      <c r="C341" s="243"/>
      <c r="D341" s="136" t="s">
        <v>1042</v>
      </c>
      <c r="E341" s="118"/>
      <c r="F341" s="102"/>
    </row>
    <row r="342" spans="1:6" ht="15" customHeight="1" outlineLevel="1" x14ac:dyDescent="0.2">
      <c r="A342" s="3" t="s">
        <v>114</v>
      </c>
      <c r="B342" s="54"/>
      <c r="C342" s="85">
        <v>100</v>
      </c>
      <c r="D342" s="86" t="s">
        <v>671</v>
      </c>
      <c r="E342" s="87">
        <v>250</v>
      </c>
      <c r="F342" s="64">
        <f t="shared" ref="F342:F383" si="15">E342*B342</f>
        <v>0</v>
      </c>
    </row>
    <row r="343" spans="1:6" ht="15" customHeight="1" outlineLevel="1" x14ac:dyDescent="0.2">
      <c r="A343" s="14" t="s">
        <v>114</v>
      </c>
      <c r="B343" s="4"/>
      <c r="C343" s="5">
        <v>101</v>
      </c>
      <c r="D343" s="46" t="s">
        <v>672</v>
      </c>
      <c r="E343" s="16">
        <v>300</v>
      </c>
      <c r="F343" s="59">
        <f t="shared" si="15"/>
        <v>0</v>
      </c>
    </row>
    <row r="344" spans="1:6" ht="15" customHeight="1" outlineLevel="1" x14ac:dyDescent="0.2">
      <c r="A344" s="14" t="s">
        <v>114</v>
      </c>
      <c r="B344" s="4"/>
      <c r="C344" s="5">
        <v>102</v>
      </c>
      <c r="D344" s="46" t="s">
        <v>673</v>
      </c>
      <c r="E344" s="16">
        <v>200</v>
      </c>
      <c r="F344" s="59">
        <f t="shared" si="15"/>
        <v>0</v>
      </c>
    </row>
    <row r="345" spans="1:6" ht="15" customHeight="1" outlineLevel="1" x14ac:dyDescent="0.2">
      <c r="A345" s="14" t="s">
        <v>114</v>
      </c>
      <c r="B345" s="4"/>
      <c r="C345" s="5">
        <v>103</v>
      </c>
      <c r="D345" s="46" t="s">
        <v>674</v>
      </c>
      <c r="E345" s="16">
        <v>125</v>
      </c>
      <c r="F345" s="59">
        <f t="shared" si="15"/>
        <v>0</v>
      </c>
    </row>
    <row r="346" spans="1:6" ht="15" customHeight="1" outlineLevel="1" x14ac:dyDescent="0.2">
      <c r="A346" s="14" t="s">
        <v>114</v>
      </c>
      <c r="B346" s="4"/>
      <c r="C346" s="5">
        <v>104</v>
      </c>
      <c r="D346" s="46" t="s">
        <v>675</v>
      </c>
      <c r="E346" s="16">
        <v>35</v>
      </c>
      <c r="F346" s="59">
        <f t="shared" si="15"/>
        <v>0</v>
      </c>
    </row>
    <row r="347" spans="1:6" ht="15" customHeight="1" outlineLevel="1" x14ac:dyDescent="0.2">
      <c r="A347" s="14" t="s">
        <v>114</v>
      </c>
      <c r="B347" s="4"/>
      <c r="C347" s="5">
        <v>105</v>
      </c>
      <c r="D347" s="46" t="s">
        <v>676</v>
      </c>
      <c r="E347" s="16">
        <v>45</v>
      </c>
      <c r="F347" s="59">
        <f t="shared" si="15"/>
        <v>0</v>
      </c>
    </row>
    <row r="348" spans="1:6" ht="15" customHeight="1" outlineLevel="1" x14ac:dyDescent="0.2">
      <c r="A348" s="14" t="s">
        <v>114</v>
      </c>
      <c r="B348" s="4"/>
      <c r="C348" s="5">
        <v>106</v>
      </c>
      <c r="D348" s="46" t="s">
        <v>677</v>
      </c>
      <c r="E348" s="16">
        <v>15</v>
      </c>
      <c r="F348" s="59">
        <f t="shared" si="15"/>
        <v>0</v>
      </c>
    </row>
    <row r="349" spans="1:6" ht="15" customHeight="1" outlineLevel="1" x14ac:dyDescent="0.2">
      <c r="A349" s="14" t="s">
        <v>114</v>
      </c>
      <c r="B349" s="4"/>
      <c r="C349" s="5">
        <v>107</v>
      </c>
      <c r="D349" s="46" t="s">
        <v>678</v>
      </c>
      <c r="E349" s="16">
        <v>20</v>
      </c>
      <c r="F349" s="59">
        <f t="shared" si="15"/>
        <v>0</v>
      </c>
    </row>
    <row r="350" spans="1:6" ht="15" customHeight="1" outlineLevel="1" x14ac:dyDescent="0.2">
      <c r="A350" s="14" t="s">
        <v>114</v>
      </c>
      <c r="B350" s="4"/>
      <c r="C350" s="5">
        <v>108</v>
      </c>
      <c r="D350" s="46" t="s">
        <v>679</v>
      </c>
      <c r="E350" s="16">
        <v>30</v>
      </c>
      <c r="F350" s="59">
        <f t="shared" si="15"/>
        <v>0</v>
      </c>
    </row>
    <row r="351" spans="1:6" ht="15" customHeight="1" outlineLevel="1" x14ac:dyDescent="0.2">
      <c r="A351" s="14" t="s">
        <v>114</v>
      </c>
      <c r="B351" s="4"/>
      <c r="C351" s="5">
        <v>111</v>
      </c>
      <c r="D351" s="46" t="s">
        <v>680</v>
      </c>
      <c r="E351" s="16">
        <v>125</v>
      </c>
      <c r="F351" s="59">
        <f t="shared" si="15"/>
        <v>0</v>
      </c>
    </row>
    <row r="352" spans="1:6" ht="15" customHeight="1" outlineLevel="1" x14ac:dyDescent="0.2">
      <c r="A352" s="14" t="s">
        <v>114</v>
      </c>
      <c r="B352" s="4"/>
      <c r="C352" s="5">
        <v>112</v>
      </c>
      <c r="D352" s="46" t="s">
        <v>681</v>
      </c>
      <c r="E352" s="16">
        <v>150</v>
      </c>
      <c r="F352" s="59">
        <f t="shared" si="15"/>
        <v>0</v>
      </c>
    </row>
    <row r="353" spans="1:6" ht="15" customHeight="1" outlineLevel="1" x14ac:dyDescent="0.2">
      <c r="A353" s="14" t="s">
        <v>114</v>
      </c>
      <c r="B353" s="4"/>
      <c r="C353" s="5">
        <v>113</v>
      </c>
      <c r="D353" s="46" t="s">
        <v>682</v>
      </c>
      <c r="E353" s="16">
        <v>200</v>
      </c>
      <c r="F353" s="59">
        <f t="shared" si="15"/>
        <v>0</v>
      </c>
    </row>
    <row r="354" spans="1:6" ht="15" customHeight="1" outlineLevel="1" x14ac:dyDescent="0.2">
      <c r="A354" s="14" t="s">
        <v>114</v>
      </c>
      <c r="B354" s="4"/>
      <c r="C354" s="5">
        <v>114</v>
      </c>
      <c r="D354" s="46" t="s">
        <v>683</v>
      </c>
      <c r="E354" s="16">
        <v>100</v>
      </c>
      <c r="F354" s="59">
        <f t="shared" si="15"/>
        <v>0</v>
      </c>
    </row>
    <row r="355" spans="1:6" ht="15" customHeight="1" outlineLevel="1" x14ac:dyDescent="0.2">
      <c r="A355" s="14" t="s">
        <v>114</v>
      </c>
      <c r="B355" s="4"/>
      <c r="C355" s="5">
        <v>115</v>
      </c>
      <c r="D355" s="46" t="s">
        <v>684</v>
      </c>
      <c r="E355" s="16">
        <v>75</v>
      </c>
      <c r="F355" s="59">
        <f t="shared" si="15"/>
        <v>0</v>
      </c>
    </row>
    <row r="356" spans="1:6" ht="15" customHeight="1" outlineLevel="1" x14ac:dyDescent="0.2">
      <c r="A356" s="14" t="s">
        <v>114</v>
      </c>
      <c r="B356" s="4"/>
      <c r="C356" s="5">
        <v>116</v>
      </c>
      <c r="D356" s="46" t="s">
        <v>685</v>
      </c>
      <c r="E356" s="16">
        <v>75</v>
      </c>
      <c r="F356" s="59">
        <f t="shared" si="15"/>
        <v>0</v>
      </c>
    </row>
    <row r="357" spans="1:6" ht="15" customHeight="1" outlineLevel="1" x14ac:dyDescent="0.2">
      <c r="A357" s="14" t="s">
        <v>114</v>
      </c>
      <c r="B357" s="4"/>
      <c r="C357" s="5">
        <v>117</v>
      </c>
      <c r="D357" s="46" t="s">
        <v>686</v>
      </c>
      <c r="E357" s="16">
        <v>75</v>
      </c>
      <c r="F357" s="59">
        <f t="shared" si="15"/>
        <v>0</v>
      </c>
    </row>
    <row r="358" spans="1:6" ht="15" customHeight="1" outlineLevel="1" x14ac:dyDescent="0.2">
      <c r="A358" s="14" t="s">
        <v>114</v>
      </c>
      <c r="B358" s="4"/>
      <c r="C358" s="5">
        <v>118</v>
      </c>
      <c r="D358" s="46" t="s">
        <v>687</v>
      </c>
      <c r="E358" s="16">
        <v>900</v>
      </c>
      <c r="F358" s="59">
        <f t="shared" si="15"/>
        <v>0</v>
      </c>
    </row>
    <row r="359" spans="1:6" ht="15" customHeight="1" outlineLevel="1" x14ac:dyDescent="0.2">
      <c r="A359" s="14" t="s">
        <v>114</v>
      </c>
      <c r="B359" s="4"/>
      <c r="C359" s="5">
        <v>119</v>
      </c>
      <c r="D359" s="46" t="s">
        <v>688</v>
      </c>
      <c r="E359" s="16">
        <v>600</v>
      </c>
      <c r="F359" s="59">
        <f t="shared" si="15"/>
        <v>0</v>
      </c>
    </row>
    <row r="360" spans="1:6" ht="15" customHeight="1" outlineLevel="1" x14ac:dyDescent="0.2">
      <c r="A360" s="14" t="s">
        <v>114</v>
      </c>
      <c r="B360" s="4"/>
      <c r="C360" s="5">
        <v>120</v>
      </c>
      <c r="D360" s="46" t="s">
        <v>689</v>
      </c>
      <c r="E360" s="16">
        <v>250</v>
      </c>
      <c r="F360" s="59">
        <f t="shared" si="15"/>
        <v>0</v>
      </c>
    </row>
    <row r="361" spans="1:6" ht="15" customHeight="1" outlineLevel="1" x14ac:dyDescent="0.2">
      <c r="A361" s="14" t="s">
        <v>114</v>
      </c>
      <c r="B361" s="4"/>
      <c r="C361" s="5">
        <v>121</v>
      </c>
      <c r="D361" s="46" t="s">
        <v>690</v>
      </c>
      <c r="E361" s="16">
        <v>250</v>
      </c>
      <c r="F361" s="59">
        <f t="shared" si="15"/>
        <v>0</v>
      </c>
    </row>
    <row r="362" spans="1:6" ht="15" customHeight="1" outlineLevel="1" x14ac:dyDescent="0.2">
      <c r="A362" s="14" t="s">
        <v>114</v>
      </c>
      <c r="B362" s="4"/>
      <c r="C362" s="5">
        <v>122</v>
      </c>
      <c r="D362" s="46" t="s">
        <v>691</v>
      </c>
      <c r="E362" s="16">
        <v>32</v>
      </c>
      <c r="F362" s="59">
        <f t="shared" si="15"/>
        <v>0</v>
      </c>
    </row>
    <row r="363" spans="1:6" ht="15" customHeight="1" outlineLevel="1" x14ac:dyDescent="0.2">
      <c r="A363" s="14" t="s">
        <v>114</v>
      </c>
      <c r="B363" s="4"/>
      <c r="C363" s="5">
        <v>123</v>
      </c>
      <c r="D363" s="46" t="s">
        <v>692</v>
      </c>
      <c r="E363" s="16">
        <v>30</v>
      </c>
      <c r="F363" s="59">
        <f t="shared" si="15"/>
        <v>0</v>
      </c>
    </row>
    <row r="364" spans="1:6" ht="15" customHeight="1" outlineLevel="1" x14ac:dyDescent="0.2">
      <c r="A364" s="14" t="s">
        <v>114</v>
      </c>
      <c r="B364" s="4"/>
      <c r="C364" s="5">
        <v>124</v>
      </c>
      <c r="D364" s="46" t="s">
        <v>693</v>
      </c>
      <c r="E364" s="16">
        <v>28</v>
      </c>
      <c r="F364" s="59">
        <f t="shared" si="15"/>
        <v>0</v>
      </c>
    </row>
    <row r="365" spans="1:6" ht="15" customHeight="1" outlineLevel="1" x14ac:dyDescent="0.2">
      <c r="A365" s="14" t="s">
        <v>114</v>
      </c>
      <c r="B365" s="4"/>
      <c r="C365" s="5">
        <v>127</v>
      </c>
      <c r="D365" s="46" t="s">
        <v>694</v>
      </c>
      <c r="E365" s="16">
        <v>30</v>
      </c>
      <c r="F365" s="59">
        <f t="shared" si="15"/>
        <v>0</v>
      </c>
    </row>
    <row r="366" spans="1:6" ht="15" customHeight="1" outlineLevel="1" x14ac:dyDescent="0.2">
      <c r="A366" s="14" t="s">
        <v>114</v>
      </c>
      <c r="B366" s="4"/>
      <c r="C366" s="5">
        <v>128</v>
      </c>
      <c r="D366" s="46" t="s">
        <v>695</v>
      </c>
      <c r="E366" s="16">
        <v>35</v>
      </c>
      <c r="F366" s="59">
        <f t="shared" si="15"/>
        <v>0</v>
      </c>
    </row>
    <row r="367" spans="1:6" ht="15" customHeight="1" outlineLevel="1" x14ac:dyDescent="0.2">
      <c r="A367" s="14" t="s">
        <v>114</v>
      </c>
      <c r="B367" s="4"/>
      <c r="C367" s="5">
        <v>129</v>
      </c>
      <c r="D367" s="46" t="s">
        <v>696</v>
      </c>
      <c r="E367" s="16">
        <v>75</v>
      </c>
      <c r="F367" s="59">
        <f t="shared" si="15"/>
        <v>0</v>
      </c>
    </row>
    <row r="368" spans="1:6" ht="15" customHeight="1" outlineLevel="1" x14ac:dyDescent="0.2">
      <c r="A368" s="14" t="s">
        <v>114</v>
      </c>
      <c r="B368" s="4"/>
      <c r="C368" s="5">
        <v>130</v>
      </c>
      <c r="D368" s="46" t="s">
        <v>697</v>
      </c>
      <c r="E368" s="16">
        <v>75</v>
      </c>
      <c r="F368" s="59">
        <f t="shared" si="15"/>
        <v>0</v>
      </c>
    </row>
    <row r="369" spans="1:6" ht="15" customHeight="1" outlineLevel="1" x14ac:dyDescent="0.2">
      <c r="A369" s="14" t="s">
        <v>114</v>
      </c>
      <c r="B369" s="4"/>
      <c r="C369" s="5">
        <v>131</v>
      </c>
      <c r="D369" s="46" t="s">
        <v>698</v>
      </c>
      <c r="E369" s="16">
        <v>6</v>
      </c>
      <c r="F369" s="59">
        <f t="shared" si="15"/>
        <v>0</v>
      </c>
    </row>
    <row r="370" spans="1:6" ht="15" customHeight="1" outlineLevel="1" x14ac:dyDescent="0.2">
      <c r="A370" s="14" t="s">
        <v>114</v>
      </c>
      <c r="B370" s="4"/>
      <c r="C370" s="5">
        <v>132</v>
      </c>
      <c r="D370" s="46" t="s">
        <v>699</v>
      </c>
      <c r="E370" s="16">
        <v>6</v>
      </c>
      <c r="F370" s="59">
        <f t="shared" si="15"/>
        <v>0</v>
      </c>
    </row>
    <row r="371" spans="1:6" ht="15" customHeight="1" outlineLevel="1" x14ac:dyDescent="0.2">
      <c r="A371" s="14" t="s">
        <v>114</v>
      </c>
      <c r="B371" s="4"/>
      <c r="C371" s="5">
        <v>133</v>
      </c>
      <c r="D371" s="46" t="s">
        <v>700</v>
      </c>
      <c r="E371" s="16">
        <v>8</v>
      </c>
      <c r="F371" s="59">
        <f t="shared" si="15"/>
        <v>0</v>
      </c>
    </row>
    <row r="372" spans="1:6" ht="15" customHeight="1" outlineLevel="1" x14ac:dyDescent="0.2">
      <c r="A372" s="14" t="s">
        <v>114</v>
      </c>
      <c r="B372" s="4"/>
      <c r="C372" s="5">
        <v>134</v>
      </c>
      <c r="D372" s="46" t="s">
        <v>701</v>
      </c>
      <c r="E372" s="16">
        <v>250</v>
      </c>
      <c r="F372" s="59">
        <f t="shared" si="15"/>
        <v>0</v>
      </c>
    </row>
    <row r="373" spans="1:6" ht="15" customHeight="1" outlineLevel="1" x14ac:dyDescent="0.2">
      <c r="A373" s="14" t="s">
        <v>114</v>
      </c>
      <c r="B373" s="4"/>
      <c r="C373" s="5">
        <v>135</v>
      </c>
      <c r="D373" s="46" t="s">
        <v>702</v>
      </c>
      <c r="E373" s="16">
        <v>250</v>
      </c>
      <c r="F373" s="59">
        <f t="shared" si="15"/>
        <v>0</v>
      </c>
    </row>
    <row r="374" spans="1:6" ht="15" customHeight="1" outlineLevel="1" x14ac:dyDescent="0.2">
      <c r="A374" s="14" t="s">
        <v>114</v>
      </c>
      <c r="B374" s="4"/>
      <c r="C374" s="5">
        <v>136</v>
      </c>
      <c r="D374" s="46" t="s">
        <v>703</v>
      </c>
      <c r="E374" s="16">
        <v>125</v>
      </c>
      <c r="F374" s="59">
        <f t="shared" si="15"/>
        <v>0</v>
      </c>
    </row>
    <row r="375" spans="1:6" ht="15" customHeight="1" outlineLevel="1" x14ac:dyDescent="0.2">
      <c r="A375" s="14" t="s">
        <v>114</v>
      </c>
      <c r="B375" s="4"/>
      <c r="C375" s="5">
        <v>141</v>
      </c>
      <c r="D375" s="46" t="s">
        <v>704</v>
      </c>
      <c r="E375" s="16">
        <v>125</v>
      </c>
      <c r="F375" s="59">
        <f t="shared" si="15"/>
        <v>0</v>
      </c>
    </row>
    <row r="376" spans="1:6" ht="15" customHeight="1" outlineLevel="1" x14ac:dyDescent="0.2">
      <c r="A376" s="14" t="s">
        <v>114</v>
      </c>
      <c r="B376" s="4"/>
      <c r="C376" s="5">
        <v>142</v>
      </c>
      <c r="D376" s="46" t="s">
        <v>705</v>
      </c>
      <c r="E376" s="16">
        <v>187.5</v>
      </c>
      <c r="F376" s="59">
        <f t="shared" si="15"/>
        <v>0</v>
      </c>
    </row>
    <row r="377" spans="1:6" ht="15" customHeight="1" outlineLevel="1" x14ac:dyDescent="0.2">
      <c r="A377" s="14" t="s">
        <v>114</v>
      </c>
      <c r="B377" s="4"/>
      <c r="C377" s="5">
        <v>143</v>
      </c>
      <c r="D377" s="46" t="s">
        <v>706</v>
      </c>
      <c r="E377" s="16">
        <v>187.5</v>
      </c>
      <c r="F377" s="59">
        <f t="shared" si="15"/>
        <v>0</v>
      </c>
    </row>
    <row r="378" spans="1:6" ht="15" customHeight="1" outlineLevel="1" x14ac:dyDescent="0.2">
      <c r="A378" s="14" t="s">
        <v>114</v>
      </c>
      <c r="B378" s="4"/>
      <c r="C378" s="5">
        <v>144</v>
      </c>
      <c r="D378" s="46" t="s">
        <v>707</v>
      </c>
      <c r="E378" s="16">
        <v>75</v>
      </c>
      <c r="F378" s="59">
        <f t="shared" si="15"/>
        <v>0</v>
      </c>
    </row>
    <row r="379" spans="1:6" ht="15" customHeight="1" outlineLevel="1" x14ac:dyDescent="0.2">
      <c r="A379" s="14" t="s">
        <v>114</v>
      </c>
      <c r="B379" s="4"/>
      <c r="C379" s="5">
        <v>148</v>
      </c>
      <c r="D379" s="46" t="s">
        <v>708</v>
      </c>
      <c r="E379" s="16">
        <v>250</v>
      </c>
      <c r="F379" s="59">
        <f t="shared" si="15"/>
        <v>0</v>
      </c>
    </row>
    <row r="380" spans="1:6" ht="15" customHeight="1" outlineLevel="1" x14ac:dyDescent="0.2">
      <c r="A380" s="14" t="s">
        <v>114</v>
      </c>
      <c r="B380" s="4"/>
      <c r="C380" s="5">
        <v>149</v>
      </c>
      <c r="D380" s="46" t="s">
        <v>709</v>
      </c>
      <c r="E380" s="16">
        <v>300</v>
      </c>
      <c r="F380" s="59">
        <f t="shared" si="15"/>
        <v>0</v>
      </c>
    </row>
    <row r="381" spans="1:6" ht="15" customHeight="1" outlineLevel="1" x14ac:dyDescent="0.2">
      <c r="A381" s="14" t="s">
        <v>114</v>
      </c>
      <c r="B381" s="4"/>
      <c r="C381" s="6">
        <v>150</v>
      </c>
      <c r="D381" s="66" t="s">
        <v>710</v>
      </c>
      <c r="E381" s="108">
        <v>200</v>
      </c>
      <c r="F381" s="59">
        <f t="shared" si="15"/>
        <v>0</v>
      </c>
    </row>
    <row r="382" spans="1:6" ht="15" customHeight="1" outlineLevel="1" x14ac:dyDescent="0.2">
      <c r="A382" s="14" t="s">
        <v>114</v>
      </c>
      <c r="B382" s="4"/>
      <c r="C382" s="5"/>
      <c r="D382" s="46"/>
      <c r="E382" s="16"/>
      <c r="F382" s="59">
        <f t="shared" si="15"/>
        <v>0</v>
      </c>
    </row>
    <row r="383" spans="1:6" ht="15" customHeight="1" outlineLevel="1" thickBot="1" x14ac:dyDescent="0.25">
      <c r="A383" s="65" t="s">
        <v>114</v>
      </c>
      <c r="B383" s="107"/>
      <c r="C383" s="6"/>
      <c r="D383" s="66"/>
      <c r="E383" s="108"/>
      <c r="F383" s="60">
        <f t="shared" si="15"/>
        <v>0</v>
      </c>
    </row>
    <row r="384" spans="1:6" ht="15" customHeight="1" outlineLevel="1" thickBot="1" x14ac:dyDescent="0.25">
      <c r="A384" s="93"/>
      <c r="B384" s="97"/>
      <c r="C384" s="97"/>
      <c r="D384" s="243" t="s">
        <v>711</v>
      </c>
      <c r="E384" s="245"/>
      <c r="F384" s="83"/>
    </row>
    <row r="385" spans="1:44" ht="15" customHeight="1" outlineLevel="1" thickBot="1" x14ac:dyDescent="0.25">
      <c r="A385" s="67" t="s">
        <v>541</v>
      </c>
      <c r="B385" s="103"/>
      <c r="C385" s="103">
        <v>100</v>
      </c>
      <c r="D385" s="106" t="s">
        <v>712</v>
      </c>
      <c r="E385" s="200">
        <v>100</v>
      </c>
      <c r="F385" s="96">
        <f>B385*E385</f>
        <v>0</v>
      </c>
    </row>
    <row r="386" spans="1:44" ht="15" customHeight="1" outlineLevel="1" thickBot="1" x14ac:dyDescent="0.25">
      <c r="A386" s="242"/>
      <c r="B386" s="97"/>
      <c r="C386" s="243"/>
      <c r="D386" s="244" t="s">
        <v>1043</v>
      </c>
      <c r="E386" s="133"/>
      <c r="F386" s="61">
        <f>SUM(F342:F383)</f>
        <v>0</v>
      </c>
    </row>
    <row r="387" spans="1:44" ht="15" customHeight="1" thickBot="1" x14ac:dyDescent="0.25">
      <c r="A387" s="94" t="s">
        <v>1044</v>
      </c>
      <c r="B387" s="98"/>
      <c r="C387" s="98"/>
      <c r="D387" s="100"/>
      <c r="E387" s="245"/>
      <c r="F387" s="83"/>
    </row>
    <row r="388" spans="1:44" ht="15" customHeight="1" thickBot="1" x14ac:dyDescent="0.25">
      <c r="A388" s="252"/>
      <c r="B388" s="185" t="str">
        <f>IF(SUM(F426)&gt;0,"-","")</f>
        <v/>
      </c>
      <c r="C388" s="91"/>
      <c r="D388" s="137" t="s">
        <v>1042</v>
      </c>
      <c r="E388" s="119"/>
      <c r="F388" s="95"/>
    </row>
    <row r="389" spans="1:44" ht="15" customHeight="1" outlineLevel="1" x14ac:dyDescent="0.2">
      <c r="A389" s="253" t="s">
        <v>114</v>
      </c>
      <c r="B389" s="254"/>
      <c r="C389" s="255">
        <v>820</v>
      </c>
      <c r="D389" s="256" t="s">
        <v>679</v>
      </c>
      <c r="E389" s="257">
        <v>36</v>
      </c>
      <c r="F389" s="258">
        <f t="shared" ref="F389:F425" si="16">E389*B389</f>
        <v>0</v>
      </c>
    </row>
    <row r="390" spans="1:44" ht="15" customHeight="1" outlineLevel="1" x14ac:dyDescent="0.2">
      <c r="A390" s="259" t="s">
        <v>114</v>
      </c>
      <c r="B390" s="260"/>
      <c r="C390" s="261">
        <v>803</v>
      </c>
      <c r="D390" s="262" t="s">
        <v>713</v>
      </c>
      <c r="E390" s="263">
        <v>7.25</v>
      </c>
      <c r="F390" s="264">
        <f t="shared" si="16"/>
        <v>0</v>
      </c>
    </row>
    <row r="391" spans="1:44" ht="15" customHeight="1" outlineLevel="1" x14ac:dyDescent="0.2">
      <c r="A391" s="259" t="s">
        <v>114</v>
      </c>
      <c r="B391" s="260"/>
      <c r="C391" s="261">
        <v>804</v>
      </c>
      <c r="D391" s="262" t="s">
        <v>714</v>
      </c>
      <c r="E391" s="263">
        <v>7.25</v>
      </c>
      <c r="F391" s="264">
        <f t="shared" si="16"/>
        <v>0</v>
      </c>
    </row>
    <row r="392" spans="1:44" ht="15" customHeight="1" outlineLevel="1" x14ac:dyDescent="0.2">
      <c r="A392" s="259" t="s">
        <v>114</v>
      </c>
      <c r="B392" s="260"/>
      <c r="C392" s="261">
        <v>805</v>
      </c>
      <c r="D392" s="534" t="s">
        <v>680</v>
      </c>
      <c r="E392" s="263">
        <v>135</v>
      </c>
      <c r="F392" s="63">
        <f>E392*B392</f>
        <v>0</v>
      </c>
      <c r="H392" s="500" t="s">
        <v>715</v>
      </c>
      <c r="I392" s="554">
        <f>SUM(J392:AF392)</f>
        <v>0</v>
      </c>
    </row>
    <row r="393" spans="1:44" ht="15" customHeight="1" outlineLevel="1" x14ac:dyDescent="0.2">
      <c r="A393" s="259" t="s">
        <v>114</v>
      </c>
      <c r="B393" s="260"/>
      <c r="C393" s="261">
        <v>806</v>
      </c>
      <c r="D393" s="534" t="s">
        <v>681</v>
      </c>
      <c r="E393" s="263">
        <v>155</v>
      </c>
      <c r="F393" s="264">
        <f t="shared" si="16"/>
        <v>0</v>
      </c>
      <c r="H393" s="500" t="s">
        <v>716</v>
      </c>
      <c r="I393" s="554">
        <f>SUM(J393:AF393)</f>
        <v>0</v>
      </c>
    </row>
    <row r="394" spans="1:44" ht="15" customHeight="1" outlineLevel="1" x14ac:dyDescent="0.2">
      <c r="A394" s="259" t="s">
        <v>114</v>
      </c>
      <c r="B394" s="260"/>
      <c r="C394" s="261">
        <v>807</v>
      </c>
      <c r="D394" s="534" t="s">
        <v>682</v>
      </c>
      <c r="E394" s="263">
        <v>190</v>
      </c>
      <c r="F394" s="264">
        <f t="shared" si="16"/>
        <v>0</v>
      </c>
      <c r="H394" s="500" t="s">
        <v>717</v>
      </c>
      <c r="I394" s="554">
        <f>SUM(J394:AF394)</f>
        <v>0</v>
      </c>
    </row>
    <row r="395" spans="1:44" ht="15" customHeight="1" outlineLevel="1" x14ac:dyDescent="0.2">
      <c r="A395" s="259" t="s">
        <v>114</v>
      </c>
      <c r="B395" s="260"/>
      <c r="C395" s="261">
        <v>808</v>
      </c>
      <c r="D395" s="534" t="s">
        <v>718</v>
      </c>
      <c r="E395" s="263">
        <v>80</v>
      </c>
      <c r="F395" s="264">
        <f t="shared" si="16"/>
        <v>0</v>
      </c>
      <c r="H395" s="500" t="s">
        <v>719</v>
      </c>
      <c r="I395" s="554">
        <f>SUM(J395:AF395)</f>
        <v>0</v>
      </c>
    </row>
    <row r="396" spans="1:44" ht="15" customHeight="1" outlineLevel="1" x14ac:dyDescent="0.2">
      <c r="A396" s="259" t="s">
        <v>114</v>
      </c>
      <c r="B396" s="260"/>
      <c r="C396" s="261">
        <v>809</v>
      </c>
      <c r="D396" s="262" t="s">
        <v>684</v>
      </c>
      <c r="E396" s="263">
        <v>78</v>
      </c>
      <c r="F396" s="264">
        <f t="shared" si="16"/>
        <v>0</v>
      </c>
    </row>
    <row r="397" spans="1:44" ht="15" customHeight="1" outlineLevel="1" x14ac:dyDescent="0.2">
      <c r="A397" s="259" t="s">
        <v>114</v>
      </c>
      <c r="B397" s="260"/>
      <c r="C397" s="261">
        <v>812</v>
      </c>
      <c r="D397" s="262" t="s">
        <v>687</v>
      </c>
      <c r="E397" s="263">
        <v>185</v>
      </c>
      <c r="F397" s="264">
        <f t="shared" si="16"/>
        <v>0</v>
      </c>
      <c r="H397" s="500" t="s">
        <v>1060</v>
      </c>
      <c r="I397" s="554">
        <f>SUM(J397:AF397)</f>
        <v>0</v>
      </c>
      <c r="J397" s="916"/>
      <c r="K397" s="916"/>
      <c r="L397" s="916"/>
      <c r="M397" s="916"/>
      <c r="N397" s="916"/>
      <c r="O397" s="916"/>
      <c r="P397" s="916"/>
      <c r="Q397" s="916"/>
      <c r="R397" s="916"/>
      <c r="S397" s="916"/>
      <c r="T397" s="916"/>
      <c r="U397" s="916"/>
      <c r="V397" s="916"/>
      <c r="W397" s="916"/>
      <c r="X397" s="916"/>
      <c r="Y397" s="916"/>
      <c r="Z397" s="916"/>
      <c r="AA397" s="916"/>
      <c r="AB397" s="916"/>
      <c r="AC397" s="916"/>
      <c r="AD397" s="916"/>
      <c r="AE397" s="916"/>
      <c r="AF397" s="916"/>
      <c r="AG397" s="916"/>
      <c r="AH397" s="916"/>
      <c r="AI397" s="916"/>
      <c r="AJ397" s="916"/>
      <c r="AK397" s="916"/>
      <c r="AL397" s="916"/>
      <c r="AM397" s="916"/>
      <c r="AN397" s="916"/>
      <c r="AO397" s="916"/>
      <c r="AP397" s="916"/>
      <c r="AQ397" s="916"/>
      <c r="AR397" s="916"/>
    </row>
    <row r="398" spans="1:44" ht="15" customHeight="1" outlineLevel="1" x14ac:dyDescent="0.2">
      <c r="A398" s="259" t="s">
        <v>114</v>
      </c>
      <c r="B398" s="260"/>
      <c r="C398" s="261">
        <v>813</v>
      </c>
      <c r="D398" s="534" t="s">
        <v>1047</v>
      </c>
      <c r="E398" s="263">
        <v>31</v>
      </c>
      <c r="F398" s="264">
        <f t="shared" si="16"/>
        <v>0</v>
      </c>
      <c r="H398" s="500" t="s">
        <v>1061</v>
      </c>
      <c r="I398" s="554"/>
      <c r="J398" s="916"/>
      <c r="K398" s="916"/>
      <c r="L398" s="916"/>
      <c r="M398" s="916"/>
      <c r="N398" s="916"/>
      <c r="O398" s="916"/>
      <c r="P398" s="916"/>
      <c r="Q398" s="916"/>
      <c r="R398" s="916"/>
      <c r="S398" s="916"/>
      <c r="T398" s="916"/>
      <c r="U398" s="916"/>
      <c r="V398" s="916"/>
      <c r="W398" s="916"/>
      <c r="X398" s="916"/>
      <c r="Y398" s="916"/>
      <c r="Z398" s="916"/>
      <c r="AA398" s="916"/>
      <c r="AB398" s="916"/>
      <c r="AC398" s="916"/>
      <c r="AD398" s="916"/>
      <c r="AE398" s="916"/>
      <c r="AF398" s="916"/>
      <c r="AG398" s="916"/>
      <c r="AH398" s="916"/>
      <c r="AI398" s="916"/>
      <c r="AJ398" s="916"/>
      <c r="AK398" s="916"/>
      <c r="AL398" s="916"/>
      <c r="AM398" s="916"/>
      <c r="AN398" s="916"/>
      <c r="AO398" s="916"/>
      <c r="AP398" s="916"/>
      <c r="AQ398" s="916"/>
      <c r="AR398" s="916"/>
    </row>
    <row r="399" spans="1:44" ht="15" customHeight="1" outlineLevel="1" x14ac:dyDescent="0.2">
      <c r="A399" s="259" t="s">
        <v>114</v>
      </c>
      <c r="B399" s="260"/>
      <c r="C399" s="261">
        <v>814</v>
      </c>
      <c r="D399" s="534" t="s">
        <v>1048</v>
      </c>
      <c r="E399" s="263">
        <v>29</v>
      </c>
      <c r="F399" s="264">
        <f t="shared" si="16"/>
        <v>0</v>
      </c>
      <c r="H399" s="500" t="s">
        <v>1062</v>
      </c>
      <c r="I399" s="554"/>
      <c r="J399" s="916"/>
      <c r="K399" s="916"/>
      <c r="L399" s="916"/>
      <c r="M399" s="916"/>
      <c r="N399" s="916"/>
      <c r="O399" s="916"/>
      <c r="P399" s="916"/>
      <c r="Q399" s="916"/>
      <c r="R399" s="916"/>
      <c r="S399" s="916"/>
      <c r="T399" s="916"/>
      <c r="U399" s="916"/>
      <c r="V399" s="916"/>
      <c r="W399" s="916"/>
      <c r="X399" s="916"/>
      <c r="Y399" s="916"/>
      <c r="Z399" s="916"/>
      <c r="AA399" s="916"/>
      <c r="AB399" s="916"/>
      <c r="AC399" s="916"/>
      <c r="AD399" s="916"/>
      <c r="AE399" s="916"/>
      <c r="AF399" s="916"/>
      <c r="AG399" s="916"/>
      <c r="AH399" s="916"/>
      <c r="AI399" s="916"/>
      <c r="AJ399" s="916"/>
      <c r="AK399" s="916"/>
      <c r="AL399" s="916"/>
      <c r="AM399" s="916"/>
      <c r="AN399" s="916"/>
      <c r="AO399" s="916"/>
      <c r="AP399" s="916"/>
      <c r="AQ399" s="916"/>
      <c r="AR399" s="916"/>
    </row>
    <row r="400" spans="1:44" ht="15" customHeight="1" outlineLevel="1" x14ac:dyDescent="0.2">
      <c r="A400" s="259" t="s">
        <v>114</v>
      </c>
      <c r="B400" s="260"/>
      <c r="C400" s="261">
        <v>815</v>
      </c>
      <c r="D400" s="534" t="s">
        <v>1049</v>
      </c>
      <c r="E400" s="263">
        <v>28</v>
      </c>
      <c r="F400" s="264">
        <f t="shared" si="16"/>
        <v>0</v>
      </c>
      <c r="H400" s="500" t="s">
        <v>1063</v>
      </c>
      <c r="I400" s="554"/>
      <c r="J400" s="917">
        <v>1</v>
      </c>
      <c r="K400" s="917">
        <f>J400+1</f>
        <v>2</v>
      </c>
      <c r="L400" s="917">
        <f t="shared" ref="L400:AR400" si="17">K400+1</f>
        <v>3</v>
      </c>
      <c r="M400" s="917">
        <f t="shared" si="17"/>
        <v>4</v>
      </c>
      <c r="N400" s="917">
        <f t="shared" si="17"/>
        <v>5</v>
      </c>
      <c r="O400" s="917">
        <f t="shared" si="17"/>
        <v>6</v>
      </c>
      <c r="P400" s="917">
        <f t="shared" si="17"/>
        <v>7</v>
      </c>
      <c r="Q400" s="917">
        <f t="shared" si="17"/>
        <v>8</v>
      </c>
      <c r="R400" s="917">
        <f t="shared" si="17"/>
        <v>9</v>
      </c>
      <c r="S400" s="917">
        <f t="shared" si="17"/>
        <v>10</v>
      </c>
      <c r="T400" s="917">
        <f t="shared" si="17"/>
        <v>11</v>
      </c>
      <c r="U400" s="917">
        <f t="shared" si="17"/>
        <v>12</v>
      </c>
      <c r="V400" s="917">
        <f t="shared" si="17"/>
        <v>13</v>
      </c>
      <c r="W400" s="917">
        <f t="shared" si="17"/>
        <v>14</v>
      </c>
      <c r="X400" s="917">
        <f t="shared" si="17"/>
        <v>15</v>
      </c>
      <c r="Y400" s="917">
        <f t="shared" si="17"/>
        <v>16</v>
      </c>
      <c r="Z400" s="917">
        <f t="shared" si="17"/>
        <v>17</v>
      </c>
      <c r="AA400" s="917">
        <f t="shared" si="17"/>
        <v>18</v>
      </c>
      <c r="AB400" s="917">
        <f t="shared" si="17"/>
        <v>19</v>
      </c>
      <c r="AC400" s="917">
        <f t="shared" si="17"/>
        <v>20</v>
      </c>
      <c r="AD400" s="917">
        <f t="shared" si="17"/>
        <v>21</v>
      </c>
      <c r="AE400" s="917">
        <f t="shared" si="17"/>
        <v>22</v>
      </c>
      <c r="AF400" s="917">
        <f t="shared" si="17"/>
        <v>23</v>
      </c>
      <c r="AG400" s="917">
        <f t="shared" si="17"/>
        <v>24</v>
      </c>
      <c r="AH400" s="917">
        <f t="shared" si="17"/>
        <v>25</v>
      </c>
      <c r="AI400" s="917">
        <f t="shared" si="17"/>
        <v>26</v>
      </c>
      <c r="AJ400" s="917">
        <f t="shared" si="17"/>
        <v>27</v>
      </c>
      <c r="AK400" s="917">
        <f t="shared" si="17"/>
        <v>28</v>
      </c>
      <c r="AL400" s="917">
        <f t="shared" si="17"/>
        <v>29</v>
      </c>
      <c r="AM400" s="917">
        <f t="shared" si="17"/>
        <v>30</v>
      </c>
      <c r="AN400" s="917">
        <f t="shared" si="17"/>
        <v>31</v>
      </c>
      <c r="AO400" s="917">
        <f t="shared" si="17"/>
        <v>32</v>
      </c>
      <c r="AP400" s="917">
        <f t="shared" si="17"/>
        <v>33</v>
      </c>
      <c r="AQ400" s="917">
        <f t="shared" si="17"/>
        <v>34</v>
      </c>
      <c r="AR400" s="917">
        <f t="shared" si="17"/>
        <v>35</v>
      </c>
    </row>
    <row r="401" spans="1:9" ht="15" customHeight="1" outlineLevel="1" x14ac:dyDescent="0.2">
      <c r="A401" s="259" t="s">
        <v>114</v>
      </c>
      <c r="B401" s="260"/>
      <c r="C401" s="261">
        <v>816</v>
      </c>
      <c r="D401" s="534" t="s">
        <v>1050</v>
      </c>
      <c r="E401" s="263">
        <v>25</v>
      </c>
      <c r="F401" s="264">
        <f t="shared" si="16"/>
        <v>0</v>
      </c>
      <c r="H401" s="500"/>
      <c r="I401" s="554"/>
    </row>
    <row r="402" spans="1:9" ht="15" customHeight="1" outlineLevel="1" x14ac:dyDescent="0.2">
      <c r="A402" s="259" t="s">
        <v>114</v>
      </c>
      <c r="B402" s="260"/>
      <c r="C402" s="261">
        <v>817</v>
      </c>
      <c r="D402" s="262" t="s">
        <v>720</v>
      </c>
      <c r="E402" s="263">
        <v>36</v>
      </c>
      <c r="F402" s="264">
        <f t="shared" si="16"/>
        <v>0</v>
      </c>
    </row>
    <row r="403" spans="1:9" ht="15" customHeight="1" outlineLevel="1" x14ac:dyDescent="0.2">
      <c r="A403" s="259" t="s">
        <v>114</v>
      </c>
      <c r="B403" s="260"/>
      <c r="C403" s="261">
        <v>818</v>
      </c>
      <c r="D403" s="262" t="s">
        <v>721</v>
      </c>
      <c r="E403" s="263">
        <v>24</v>
      </c>
      <c r="F403" s="264">
        <f t="shared" si="16"/>
        <v>0</v>
      </c>
    </row>
    <row r="404" spans="1:9" ht="15" customHeight="1" outlineLevel="1" x14ac:dyDescent="0.2">
      <c r="A404" s="259" t="s">
        <v>114</v>
      </c>
      <c r="B404" s="260"/>
      <c r="C404" s="261">
        <v>819</v>
      </c>
      <c r="D404" s="262" t="s">
        <v>722</v>
      </c>
      <c r="E404" s="263">
        <v>33</v>
      </c>
      <c r="F404" s="264">
        <f t="shared" si="16"/>
        <v>0</v>
      </c>
    </row>
    <row r="405" spans="1:9" ht="15" customHeight="1" outlineLevel="1" x14ac:dyDescent="0.2">
      <c r="A405" s="259" t="s">
        <v>114</v>
      </c>
      <c r="B405" s="260"/>
      <c r="C405" s="261">
        <v>820</v>
      </c>
      <c r="D405" s="262" t="s">
        <v>723</v>
      </c>
      <c r="E405" s="263">
        <v>30</v>
      </c>
      <c r="F405" s="264">
        <f t="shared" si="16"/>
        <v>0</v>
      </c>
    </row>
    <row r="406" spans="1:9" ht="15" customHeight="1" outlineLevel="1" x14ac:dyDescent="0.2">
      <c r="A406" s="259" t="s">
        <v>114</v>
      </c>
      <c r="B406" s="260"/>
      <c r="C406" s="261">
        <v>822</v>
      </c>
      <c r="D406" s="262" t="s">
        <v>698</v>
      </c>
      <c r="E406" s="263">
        <v>16</v>
      </c>
      <c r="F406" s="264">
        <f t="shared" si="16"/>
        <v>0</v>
      </c>
    </row>
    <row r="407" spans="1:9" ht="15" customHeight="1" outlineLevel="1" x14ac:dyDescent="0.2">
      <c r="A407" s="259" t="s">
        <v>114</v>
      </c>
      <c r="B407" s="260"/>
      <c r="C407" s="261">
        <v>823</v>
      </c>
      <c r="D407" s="262" t="s">
        <v>699</v>
      </c>
      <c r="E407" s="263">
        <v>12</v>
      </c>
      <c r="F407" s="264">
        <f t="shared" si="16"/>
        <v>0</v>
      </c>
    </row>
    <row r="408" spans="1:9" ht="15" customHeight="1" outlineLevel="1" x14ac:dyDescent="0.2">
      <c r="A408" s="259" t="s">
        <v>114</v>
      </c>
      <c r="B408" s="260"/>
      <c r="C408" s="261">
        <v>824</v>
      </c>
      <c r="D408" s="262" t="s">
        <v>700</v>
      </c>
      <c r="E408" s="263">
        <v>9</v>
      </c>
      <c r="F408" s="264">
        <f t="shared" si="16"/>
        <v>0</v>
      </c>
    </row>
    <row r="409" spans="1:9" ht="15" customHeight="1" outlineLevel="1" x14ac:dyDescent="0.2">
      <c r="A409" s="259" t="s">
        <v>114</v>
      </c>
      <c r="B409" s="260"/>
      <c r="C409" s="261">
        <v>827</v>
      </c>
      <c r="D409" s="262" t="s">
        <v>703</v>
      </c>
      <c r="E409" s="263">
        <v>165</v>
      </c>
      <c r="F409" s="264">
        <f t="shared" si="16"/>
        <v>0</v>
      </c>
    </row>
    <row r="410" spans="1:9" ht="15" customHeight="1" outlineLevel="1" x14ac:dyDescent="0.2">
      <c r="A410" s="259" t="s">
        <v>114</v>
      </c>
      <c r="B410" s="260"/>
      <c r="C410" s="261">
        <v>828</v>
      </c>
      <c r="D410" s="262" t="s">
        <v>664</v>
      </c>
      <c r="E410" s="263">
        <v>100</v>
      </c>
      <c r="F410" s="264">
        <f t="shared" si="16"/>
        <v>0</v>
      </c>
    </row>
    <row r="411" spans="1:9" ht="15" customHeight="1" outlineLevel="1" x14ac:dyDescent="0.2">
      <c r="A411" s="259" t="s">
        <v>114</v>
      </c>
      <c r="B411" s="260"/>
      <c r="C411" s="261">
        <v>830</v>
      </c>
      <c r="D411" s="262" t="s">
        <v>704</v>
      </c>
      <c r="E411" s="263">
        <v>100</v>
      </c>
      <c r="F411" s="264">
        <f t="shared" si="16"/>
        <v>0</v>
      </c>
    </row>
    <row r="412" spans="1:9" ht="15" customHeight="1" outlineLevel="1" x14ac:dyDescent="0.2">
      <c r="A412" s="259" t="s">
        <v>114</v>
      </c>
      <c r="B412" s="260"/>
      <c r="C412" s="261">
        <v>833</v>
      </c>
      <c r="D412" s="262" t="s">
        <v>707</v>
      </c>
      <c r="E412" s="263">
        <v>55</v>
      </c>
      <c r="F412" s="264">
        <f t="shared" si="16"/>
        <v>0</v>
      </c>
    </row>
    <row r="413" spans="1:9" ht="15" customHeight="1" outlineLevel="1" x14ac:dyDescent="0.2">
      <c r="A413" s="259" t="s">
        <v>114</v>
      </c>
      <c r="B413" s="260"/>
      <c r="C413" s="261">
        <v>836</v>
      </c>
      <c r="D413" s="262" t="s">
        <v>708</v>
      </c>
      <c r="E413" s="263">
        <v>250</v>
      </c>
      <c r="F413" s="264">
        <f t="shared" si="16"/>
        <v>0</v>
      </c>
    </row>
    <row r="414" spans="1:9" ht="15" customHeight="1" outlineLevel="1" x14ac:dyDescent="0.2">
      <c r="A414" s="259" t="s">
        <v>114</v>
      </c>
      <c r="B414" s="260"/>
      <c r="C414" s="261">
        <v>837</v>
      </c>
      <c r="D414" s="262" t="s">
        <v>709</v>
      </c>
      <c r="E414" s="263">
        <v>285</v>
      </c>
      <c r="F414" s="264">
        <f t="shared" si="16"/>
        <v>0</v>
      </c>
    </row>
    <row r="415" spans="1:9" ht="15" customHeight="1" outlineLevel="1" x14ac:dyDescent="0.2">
      <c r="A415" s="259" t="s">
        <v>114</v>
      </c>
      <c r="B415" s="260"/>
      <c r="C415" s="261">
        <v>838</v>
      </c>
      <c r="D415" s="534" t="s">
        <v>724</v>
      </c>
      <c r="E415" s="263">
        <v>125</v>
      </c>
      <c r="F415" s="264">
        <f t="shared" si="16"/>
        <v>0</v>
      </c>
    </row>
    <row r="416" spans="1:9" ht="15" customHeight="1" outlineLevel="1" x14ac:dyDescent="0.2">
      <c r="A416" s="259" t="s">
        <v>114</v>
      </c>
      <c r="B416" s="260"/>
      <c r="C416" s="1">
        <v>839</v>
      </c>
      <c r="D416" s="534" t="s">
        <v>725</v>
      </c>
      <c r="E416" s="263">
        <v>120</v>
      </c>
      <c r="F416" s="264">
        <f>E406*B416</f>
        <v>0</v>
      </c>
    </row>
    <row r="417" spans="1:6" ht="15" customHeight="1" outlineLevel="1" x14ac:dyDescent="0.2">
      <c r="A417" s="259" t="s">
        <v>114</v>
      </c>
      <c r="B417" s="260"/>
      <c r="C417" s="1">
        <v>840</v>
      </c>
      <c r="D417" s="534" t="s">
        <v>726</v>
      </c>
      <c r="E417" s="263">
        <v>115</v>
      </c>
      <c r="F417" s="264">
        <f>E407*B417</f>
        <v>0</v>
      </c>
    </row>
    <row r="418" spans="1:6" ht="15" customHeight="1" outlineLevel="1" x14ac:dyDescent="0.2">
      <c r="A418" s="259" t="s">
        <v>114</v>
      </c>
      <c r="B418" s="261"/>
      <c r="C418" s="1">
        <v>850</v>
      </c>
      <c r="D418" s="534" t="s">
        <v>727</v>
      </c>
      <c r="E418" s="263">
        <v>125</v>
      </c>
      <c r="F418" s="264">
        <f>E418*B418</f>
        <v>0</v>
      </c>
    </row>
    <row r="419" spans="1:6" ht="15" customHeight="1" outlineLevel="1" x14ac:dyDescent="0.2">
      <c r="A419" s="259" t="s">
        <v>114</v>
      </c>
      <c r="B419" s="260"/>
      <c r="C419" s="261"/>
      <c r="D419" s="262"/>
      <c r="E419" s="263"/>
      <c r="F419" s="264"/>
    </row>
    <row r="420" spans="1:6" ht="15" customHeight="1" outlineLevel="1" x14ac:dyDescent="0.2">
      <c r="A420" s="259" t="s">
        <v>114</v>
      </c>
      <c r="B420" s="260"/>
      <c r="C420" s="261">
        <v>999</v>
      </c>
      <c r="D420" s="262" t="s">
        <v>728</v>
      </c>
      <c r="E420" s="263"/>
      <c r="F420" s="264">
        <f t="shared" si="16"/>
        <v>0</v>
      </c>
    </row>
    <row r="421" spans="1:6" ht="15" customHeight="1" outlineLevel="1" x14ac:dyDescent="0.2">
      <c r="A421" s="259" t="s">
        <v>114</v>
      </c>
      <c r="B421" s="260"/>
      <c r="C421" s="1"/>
      <c r="D421" s="534" t="s">
        <v>729</v>
      </c>
      <c r="E421" s="263">
        <v>100</v>
      </c>
      <c r="F421" s="264">
        <f>E410*B421</f>
        <v>0</v>
      </c>
    </row>
    <row r="422" spans="1:6" ht="15" customHeight="1" outlineLevel="1" x14ac:dyDescent="0.2">
      <c r="A422" s="259" t="s">
        <v>114</v>
      </c>
      <c r="B422" s="260"/>
      <c r="C422" s="1"/>
      <c r="D422" s="287" t="s">
        <v>730</v>
      </c>
      <c r="E422" s="263">
        <v>85</v>
      </c>
      <c r="F422" s="264">
        <f>E411*B422</f>
        <v>0</v>
      </c>
    </row>
    <row r="423" spans="1:6" ht="15" customHeight="1" outlineLevel="1" x14ac:dyDescent="0.2">
      <c r="A423" s="259" t="s">
        <v>114</v>
      </c>
      <c r="B423" s="260"/>
      <c r="C423" s="261"/>
      <c r="D423" s="287" t="s">
        <v>731</v>
      </c>
      <c r="E423" s="263">
        <v>135</v>
      </c>
      <c r="F423" s="264">
        <f t="shared" si="16"/>
        <v>0</v>
      </c>
    </row>
    <row r="424" spans="1:6" ht="15" customHeight="1" outlineLevel="1" x14ac:dyDescent="0.2">
      <c r="A424" s="259" t="s">
        <v>114</v>
      </c>
      <c r="B424" s="260"/>
      <c r="C424" s="261"/>
      <c r="D424" s="262" t="s">
        <v>732</v>
      </c>
      <c r="E424" s="263">
        <v>45</v>
      </c>
      <c r="F424" s="264">
        <f t="shared" si="16"/>
        <v>0</v>
      </c>
    </row>
    <row r="425" spans="1:6" ht="15" customHeight="1" outlineLevel="1" thickBot="1" x14ac:dyDescent="0.25">
      <c r="A425" s="259" t="s">
        <v>114</v>
      </c>
      <c r="B425" s="260"/>
      <c r="C425" s="265"/>
      <c r="D425" s="266"/>
      <c r="E425" s="263"/>
      <c r="F425" s="264">
        <f t="shared" si="16"/>
        <v>0</v>
      </c>
    </row>
    <row r="426" spans="1:6" ht="15" customHeight="1" outlineLevel="1" thickBot="1" x14ac:dyDescent="0.25">
      <c r="A426" s="90"/>
      <c r="B426" s="185"/>
      <c r="C426" s="91"/>
      <c r="D426" s="269" t="s">
        <v>1043</v>
      </c>
      <c r="E426" s="270"/>
      <c r="F426" s="271">
        <f>SUM(F389:F425)</f>
        <v>0</v>
      </c>
    </row>
    <row r="427" spans="1:6" ht="15" customHeight="1" thickBot="1" x14ac:dyDescent="0.25">
      <c r="A427" s="573" t="s">
        <v>1045</v>
      </c>
      <c r="B427" s="588"/>
      <c r="C427" s="588"/>
      <c r="D427" s="589"/>
      <c r="E427" s="580"/>
      <c r="F427" s="581"/>
    </row>
    <row r="428" spans="1:6" ht="15" customHeight="1" thickBot="1" x14ac:dyDescent="0.25">
      <c r="A428" s="126"/>
      <c r="B428" s="98" t="str">
        <f>IF(SUM(F439)&gt;0,"-","")</f>
        <v/>
      </c>
      <c r="C428" s="100"/>
      <c r="D428" s="100" t="s">
        <v>733</v>
      </c>
      <c r="E428" s="118"/>
      <c r="F428" s="102"/>
    </row>
    <row r="429" spans="1:6" ht="15" customHeight="1" outlineLevel="1" x14ac:dyDescent="0.2">
      <c r="A429" s="3" t="s">
        <v>278</v>
      </c>
      <c r="B429" s="54"/>
      <c r="C429" s="143">
        <v>800</v>
      </c>
      <c r="D429" s="240" t="s">
        <v>734</v>
      </c>
      <c r="E429" s="87">
        <v>6.8</v>
      </c>
      <c r="F429" s="64">
        <f t="shared" ref="F429:F438" si="18">E429*B429</f>
        <v>0</v>
      </c>
    </row>
    <row r="430" spans="1:6" ht="15" customHeight="1" outlineLevel="1" x14ac:dyDescent="0.2">
      <c r="A430" s="3" t="s">
        <v>278</v>
      </c>
      <c r="B430" s="54"/>
      <c r="C430" s="143" t="s">
        <v>735</v>
      </c>
      <c r="D430" s="240" t="s">
        <v>736</v>
      </c>
      <c r="E430" s="87">
        <v>7.8</v>
      </c>
      <c r="F430" s="64">
        <f t="shared" si="18"/>
        <v>0</v>
      </c>
    </row>
    <row r="431" spans="1:6" ht="15" customHeight="1" outlineLevel="1" x14ac:dyDescent="0.2">
      <c r="A431" s="3" t="s">
        <v>278</v>
      </c>
      <c r="B431" s="54"/>
      <c r="C431" s="143" t="s">
        <v>737</v>
      </c>
      <c r="D431" s="240" t="s">
        <v>738</v>
      </c>
      <c r="E431" s="87">
        <v>8.8000000000000007</v>
      </c>
      <c r="F431" s="64">
        <f t="shared" si="18"/>
        <v>0</v>
      </c>
    </row>
    <row r="432" spans="1:6" ht="15" customHeight="1" outlineLevel="1" x14ac:dyDescent="0.2">
      <c r="A432" s="3" t="s">
        <v>278</v>
      </c>
      <c r="B432" s="54"/>
      <c r="C432" s="143" t="s">
        <v>739</v>
      </c>
      <c r="D432" s="240" t="s">
        <v>740</v>
      </c>
      <c r="E432" s="87">
        <v>9.8000000000000007</v>
      </c>
      <c r="F432" s="64">
        <f t="shared" si="18"/>
        <v>0</v>
      </c>
    </row>
    <row r="433" spans="1:6" ht="15" customHeight="1" outlineLevel="1" x14ac:dyDescent="0.2">
      <c r="A433" s="3" t="s">
        <v>278</v>
      </c>
      <c r="B433" s="54"/>
      <c r="C433" s="143" t="s">
        <v>741</v>
      </c>
      <c r="D433" s="240" t="s">
        <v>742</v>
      </c>
      <c r="E433" s="87">
        <v>10.8</v>
      </c>
      <c r="F433" s="64">
        <f t="shared" si="18"/>
        <v>0</v>
      </c>
    </row>
    <row r="434" spans="1:6" ht="15" customHeight="1" outlineLevel="1" x14ac:dyDescent="0.2">
      <c r="A434" s="3" t="s">
        <v>278</v>
      </c>
      <c r="B434" s="54"/>
      <c r="C434" s="143">
        <v>801</v>
      </c>
      <c r="D434" s="240" t="s">
        <v>743</v>
      </c>
      <c r="E434" s="87">
        <v>7.95</v>
      </c>
      <c r="F434" s="64">
        <f t="shared" si="18"/>
        <v>0</v>
      </c>
    </row>
    <row r="435" spans="1:6" ht="15" customHeight="1" outlineLevel="1" x14ac:dyDescent="0.2">
      <c r="A435" s="71" t="s">
        <v>278</v>
      </c>
      <c r="B435" s="72"/>
      <c r="C435" s="201">
        <v>802</v>
      </c>
      <c r="D435" s="241" t="s">
        <v>744</v>
      </c>
      <c r="E435" s="73">
        <v>0.42</v>
      </c>
      <c r="F435" s="75">
        <f t="shared" si="18"/>
        <v>0</v>
      </c>
    </row>
    <row r="436" spans="1:6" ht="15" customHeight="1" outlineLevel="1" x14ac:dyDescent="0.2">
      <c r="A436" s="14" t="s">
        <v>114</v>
      </c>
      <c r="B436" s="4"/>
      <c r="C436" s="15">
        <v>803</v>
      </c>
      <c r="D436" s="241" t="s">
        <v>745</v>
      </c>
      <c r="E436" s="16">
        <v>16.5</v>
      </c>
      <c r="F436" s="59">
        <f t="shared" si="18"/>
        <v>0</v>
      </c>
    </row>
    <row r="437" spans="1:6" ht="15" customHeight="1" outlineLevel="1" x14ac:dyDescent="0.2">
      <c r="A437" s="14" t="s">
        <v>278</v>
      </c>
      <c r="B437" s="4"/>
      <c r="C437" s="15" t="s">
        <v>609</v>
      </c>
      <c r="D437" s="241" t="s">
        <v>746</v>
      </c>
      <c r="E437" s="108">
        <v>0.35</v>
      </c>
      <c r="F437" s="59">
        <f t="shared" si="18"/>
        <v>0</v>
      </c>
    </row>
    <row r="438" spans="1:6" ht="15" customHeight="1" outlineLevel="1" thickBot="1" x14ac:dyDescent="0.25">
      <c r="A438" s="14" t="s">
        <v>278</v>
      </c>
      <c r="B438" s="4"/>
      <c r="C438" s="15">
        <v>815</v>
      </c>
      <c r="D438" s="241" t="s">
        <v>747</v>
      </c>
      <c r="E438" s="16">
        <v>202</v>
      </c>
      <c r="F438" s="59">
        <f t="shared" si="18"/>
        <v>0</v>
      </c>
    </row>
    <row r="439" spans="1:6" ht="15" customHeight="1" outlineLevel="1" thickBot="1" x14ac:dyDescent="0.25">
      <c r="A439" s="117"/>
      <c r="B439" s="186"/>
      <c r="C439" s="99"/>
      <c r="D439" s="127" t="s">
        <v>748</v>
      </c>
      <c r="E439" s="125"/>
      <c r="F439" s="58">
        <f>SUM(F429:F438)</f>
        <v>0</v>
      </c>
    </row>
    <row r="440" spans="1:6" ht="15" customHeight="1" thickBot="1" x14ac:dyDescent="0.25">
      <c r="A440" s="94" t="s">
        <v>749</v>
      </c>
      <c r="B440" s="97"/>
      <c r="C440" s="243"/>
      <c r="D440" s="243"/>
      <c r="E440" s="245"/>
      <c r="F440" s="83"/>
    </row>
    <row r="441" spans="1:6" ht="15" customHeight="1" thickBot="1" x14ac:dyDescent="0.25">
      <c r="A441" s="123"/>
      <c r="B441" s="142" t="str">
        <f>IF(SUM(F466)&gt;0,"-","")</f>
        <v/>
      </c>
      <c r="C441" s="124"/>
      <c r="D441" s="124" t="s">
        <v>829</v>
      </c>
      <c r="E441" s="128"/>
      <c r="F441" s="129"/>
    </row>
    <row r="442" spans="1:6" ht="15" customHeight="1" outlineLevel="1" x14ac:dyDescent="0.2">
      <c r="A442" s="10" t="s">
        <v>108</v>
      </c>
      <c r="B442" s="52"/>
      <c r="C442" s="17">
        <v>756</v>
      </c>
      <c r="D442" s="18" t="s">
        <v>750</v>
      </c>
      <c r="E442" s="82">
        <v>40</v>
      </c>
      <c r="F442" s="74">
        <f t="shared" ref="F442:F461" si="19">E442*B442</f>
        <v>0</v>
      </c>
    </row>
    <row r="443" spans="1:6" ht="15" customHeight="1" outlineLevel="1" x14ac:dyDescent="0.2">
      <c r="A443" s="8" t="s">
        <v>108</v>
      </c>
      <c r="B443" s="53"/>
      <c r="C443" s="1">
        <v>757</v>
      </c>
      <c r="D443" s="20" t="s">
        <v>751</v>
      </c>
      <c r="E443" s="82">
        <v>60</v>
      </c>
      <c r="F443" s="63">
        <f t="shared" si="19"/>
        <v>0</v>
      </c>
    </row>
    <row r="444" spans="1:6" ht="15" customHeight="1" outlineLevel="1" x14ac:dyDescent="0.2">
      <c r="A444" s="8" t="s">
        <v>108</v>
      </c>
      <c r="B444" s="53"/>
      <c r="C444" s="1">
        <v>758</v>
      </c>
      <c r="D444" s="20" t="s">
        <v>752</v>
      </c>
      <c r="E444" s="82">
        <v>35</v>
      </c>
      <c r="F444" s="63">
        <f t="shared" si="19"/>
        <v>0</v>
      </c>
    </row>
    <row r="445" spans="1:6" ht="15" customHeight="1" outlineLevel="1" x14ac:dyDescent="0.2">
      <c r="A445" s="8" t="s">
        <v>108</v>
      </c>
      <c r="B445" s="53"/>
      <c r="C445" s="1">
        <v>759</v>
      </c>
      <c r="D445" s="20" t="s">
        <v>753</v>
      </c>
      <c r="E445" s="82">
        <v>52.5</v>
      </c>
      <c r="F445" s="63">
        <f t="shared" si="19"/>
        <v>0</v>
      </c>
    </row>
    <row r="446" spans="1:6" ht="15" customHeight="1" outlineLevel="1" x14ac:dyDescent="0.2">
      <c r="A446" s="8" t="s">
        <v>108</v>
      </c>
      <c r="B446" s="53"/>
      <c r="C446" s="1">
        <v>760</v>
      </c>
      <c r="D446" s="20" t="s">
        <v>754</v>
      </c>
      <c r="E446" s="82">
        <v>30</v>
      </c>
      <c r="F446" s="63">
        <f t="shared" si="19"/>
        <v>0</v>
      </c>
    </row>
    <row r="447" spans="1:6" ht="15" customHeight="1" outlineLevel="1" x14ac:dyDescent="0.2">
      <c r="A447" s="8" t="s">
        <v>108</v>
      </c>
      <c r="B447" s="53"/>
      <c r="C447" s="1">
        <v>761</v>
      </c>
      <c r="D447" s="20" t="s">
        <v>755</v>
      </c>
      <c r="E447" s="82">
        <v>45</v>
      </c>
      <c r="F447" s="63">
        <f t="shared" si="19"/>
        <v>0</v>
      </c>
    </row>
    <row r="448" spans="1:6" ht="15" customHeight="1" outlineLevel="1" x14ac:dyDescent="0.2">
      <c r="A448" s="8" t="s">
        <v>108</v>
      </c>
      <c r="B448" s="53"/>
      <c r="C448" s="1">
        <v>762</v>
      </c>
      <c r="D448" s="20" t="s">
        <v>756</v>
      </c>
      <c r="E448" s="82">
        <v>60</v>
      </c>
      <c r="F448" s="63">
        <f t="shared" si="19"/>
        <v>0</v>
      </c>
    </row>
    <row r="449" spans="1:6" ht="15" customHeight="1" outlineLevel="1" x14ac:dyDescent="0.2">
      <c r="A449" s="8" t="s">
        <v>108</v>
      </c>
      <c r="B449" s="53"/>
      <c r="C449" s="1">
        <v>763</v>
      </c>
      <c r="D449" s="20" t="s">
        <v>757</v>
      </c>
      <c r="E449" s="82">
        <v>60</v>
      </c>
      <c r="F449" s="63">
        <f t="shared" si="19"/>
        <v>0</v>
      </c>
    </row>
    <row r="450" spans="1:6" ht="15" customHeight="1" outlineLevel="1" x14ac:dyDescent="0.2">
      <c r="A450" s="8" t="s">
        <v>108</v>
      </c>
      <c r="B450" s="53"/>
      <c r="C450" s="1">
        <v>764</v>
      </c>
      <c r="D450" s="20" t="s">
        <v>758</v>
      </c>
      <c r="E450" s="82">
        <v>35</v>
      </c>
      <c r="F450" s="63">
        <f t="shared" si="19"/>
        <v>0</v>
      </c>
    </row>
    <row r="451" spans="1:6" ht="15" customHeight="1" outlineLevel="1" x14ac:dyDescent="0.2">
      <c r="A451" s="8" t="s">
        <v>108</v>
      </c>
      <c r="B451" s="53"/>
      <c r="C451" s="1">
        <v>765</v>
      </c>
      <c r="D451" s="20" t="s">
        <v>759</v>
      </c>
      <c r="E451" s="82">
        <v>12</v>
      </c>
      <c r="F451" s="63">
        <f t="shared" si="19"/>
        <v>0</v>
      </c>
    </row>
    <row r="452" spans="1:6" ht="15" customHeight="1" outlineLevel="1" x14ac:dyDescent="0.2">
      <c r="A452" s="8" t="s">
        <v>108</v>
      </c>
      <c r="B452" s="53"/>
      <c r="C452" s="1">
        <v>767</v>
      </c>
      <c r="D452" s="20" t="s">
        <v>760</v>
      </c>
      <c r="E452" s="82">
        <v>55</v>
      </c>
      <c r="F452" s="63">
        <f t="shared" si="19"/>
        <v>0</v>
      </c>
    </row>
    <row r="453" spans="1:6" ht="15" customHeight="1" outlineLevel="1" x14ac:dyDescent="0.2">
      <c r="A453" s="8" t="s">
        <v>108</v>
      </c>
      <c r="B453" s="53"/>
      <c r="C453" s="1">
        <v>768</v>
      </c>
      <c r="D453" s="20" t="s">
        <v>761</v>
      </c>
      <c r="E453" s="82">
        <v>40</v>
      </c>
      <c r="F453" s="63">
        <f t="shared" si="19"/>
        <v>0</v>
      </c>
    </row>
    <row r="454" spans="1:6" ht="15" customHeight="1" outlineLevel="1" x14ac:dyDescent="0.2">
      <c r="A454" s="8" t="s">
        <v>108</v>
      </c>
      <c r="B454" s="53"/>
      <c r="C454" s="1">
        <v>769</v>
      </c>
      <c r="D454" s="20" t="s">
        <v>762</v>
      </c>
      <c r="E454" s="82">
        <v>30</v>
      </c>
      <c r="F454" s="63">
        <f t="shared" si="19"/>
        <v>0</v>
      </c>
    </row>
    <row r="455" spans="1:6" ht="15" customHeight="1" outlineLevel="1" x14ac:dyDescent="0.2">
      <c r="A455" s="8" t="s">
        <v>108</v>
      </c>
      <c r="B455" s="53"/>
      <c r="C455" s="1">
        <v>770</v>
      </c>
      <c r="D455" s="20" t="s">
        <v>763</v>
      </c>
      <c r="E455" s="82">
        <v>35</v>
      </c>
      <c r="F455" s="63">
        <f t="shared" si="19"/>
        <v>0</v>
      </c>
    </row>
    <row r="456" spans="1:6" ht="15" customHeight="1" outlineLevel="1" x14ac:dyDescent="0.2">
      <c r="A456" s="8" t="s">
        <v>108</v>
      </c>
      <c r="B456" s="53"/>
      <c r="C456" s="1">
        <v>771</v>
      </c>
      <c r="D456" s="20" t="s">
        <v>764</v>
      </c>
      <c r="E456" s="82">
        <v>85</v>
      </c>
      <c r="F456" s="63">
        <f t="shared" si="19"/>
        <v>0</v>
      </c>
    </row>
    <row r="457" spans="1:6" ht="15" customHeight="1" outlineLevel="1" x14ac:dyDescent="0.2">
      <c r="A457" s="8" t="s">
        <v>108</v>
      </c>
      <c r="B457" s="53"/>
      <c r="C457" s="1">
        <v>772</v>
      </c>
      <c r="D457" s="20" t="s">
        <v>765</v>
      </c>
      <c r="E457" s="82">
        <v>76</v>
      </c>
      <c r="F457" s="63">
        <f t="shared" si="19"/>
        <v>0</v>
      </c>
    </row>
    <row r="458" spans="1:6" ht="15" customHeight="1" outlineLevel="1" x14ac:dyDescent="0.2">
      <c r="A458" s="8" t="s">
        <v>108</v>
      </c>
      <c r="B458" s="53"/>
      <c r="C458" s="1">
        <v>773</v>
      </c>
      <c r="D458" s="20" t="s">
        <v>766</v>
      </c>
      <c r="E458" s="82">
        <v>100</v>
      </c>
      <c r="F458" s="63">
        <f t="shared" si="19"/>
        <v>0</v>
      </c>
    </row>
    <row r="459" spans="1:6" ht="15" customHeight="1" outlineLevel="1" x14ac:dyDescent="0.2">
      <c r="A459" s="8" t="s">
        <v>108</v>
      </c>
      <c r="B459" s="53"/>
      <c r="C459" s="1">
        <v>774</v>
      </c>
      <c r="D459" s="20" t="s">
        <v>767</v>
      </c>
      <c r="E459" s="82">
        <v>35</v>
      </c>
      <c r="F459" s="63">
        <f t="shared" si="19"/>
        <v>0</v>
      </c>
    </row>
    <row r="460" spans="1:6" ht="15" customHeight="1" outlineLevel="1" x14ac:dyDescent="0.2">
      <c r="A460" s="8" t="s">
        <v>108</v>
      </c>
      <c r="B460" s="53"/>
      <c r="C460" s="1">
        <v>775</v>
      </c>
      <c r="D460" s="20" t="s">
        <v>768</v>
      </c>
      <c r="E460" s="82">
        <v>8</v>
      </c>
      <c r="F460" s="63">
        <f t="shared" si="19"/>
        <v>0</v>
      </c>
    </row>
    <row r="461" spans="1:6" ht="15" customHeight="1" outlineLevel="1" x14ac:dyDescent="0.2">
      <c r="A461" s="88" t="s">
        <v>108</v>
      </c>
      <c r="B461" s="55"/>
      <c r="C461" s="79">
        <v>776</v>
      </c>
      <c r="D461" s="80" t="s">
        <v>769</v>
      </c>
      <c r="E461" s="82">
        <v>35</v>
      </c>
      <c r="F461" s="84">
        <f t="shared" si="19"/>
        <v>0</v>
      </c>
    </row>
    <row r="462" spans="1:6" ht="15" customHeight="1" outlineLevel="1" x14ac:dyDescent="0.2">
      <c r="A462" s="88"/>
      <c r="B462" s="55"/>
      <c r="C462" s="79"/>
      <c r="D462" s="80"/>
      <c r="E462" s="81"/>
      <c r="F462" s="63"/>
    </row>
    <row r="463" spans="1:6" ht="15" customHeight="1" outlineLevel="1" x14ac:dyDescent="0.2">
      <c r="A463" s="88"/>
      <c r="B463" s="55"/>
      <c r="C463" s="79"/>
      <c r="D463" s="80"/>
      <c r="E463" s="81"/>
      <c r="F463" s="63"/>
    </row>
    <row r="464" spans="1:6" ht="15" customHeight="1" outlineLevel="1" x14ac:dyDescent="0.2">
      <c r="A464" s="88"/>
      <c r="B464" s="55"/>
      <c r="C464" s="79"/>
      <c r="D464" s="80"/>
      <c r="E464" s="81"/>
      <c r="F464" s="63"/>
    </row>
    <row r="465" spans="1:6" ht="15" customHeight="1" outlineLevel="1" thickBot="1" x14ac:dyDescent="0.25">
      <c r="A465" s="88"/>
      <c r="B465" s="55"/>
      <c r="C465" s="79"/>
      <c r="D465" s="80"/>
      <c r="E465" s="81"/>
      <c r="F465" s="63"/>
    </row>
    <row r="466" spans="1:6" ht="15" customHeight="1" outlineLevel="1" thickBot="1" x14ac:dyDescent="0.25">
      <c r="A466" s="110"/>
      <c r="B466" s="111"/>
      <c r="C466" s="112"/>
      <c r="D466" s="113" t="s">
        <v>770</v>
      </c>
      <c r="E466" s="114"/>
      <c r="F466" s="115">
        <f>SUM(F442:F465)</f>
        <v>0</v>
      </c>
    </row>
    <row r="467" spans="1:6" ht="15" customHeight="1" thickBot="1" x14ac:dyDescent="0.25">
      <c r="A467" s="92" t="s">
        <v>1046</v>
      </c>
      <c r="B467" s="247"/>
      <c r="C467" s="185"/>
      <c r="D467" s="248"/>
      <c r="E467" s="249"/>
      <c r="F467" s="116"/>
    </row>
    <row r="468" spans="1:6" ht="15" customHeight="1" thickBot="1" x14ac:dyDescent="0.25">
      <c r="A468" s="123"/>
      <c r="B468" s="142" t="str">
        <f>IF(SUM(F487)&gt;0,"-","")</f>
        <v/>
      </c>
      <c r="C468" s="124"/>
      <c r="D468" s="124" t="s">
        <v>829</v>
      </c>
      <c r="E468" s="128"/>
      <c r="F468" s="129"/>
    </row>
    <row r="469" spans="1:6" ht="15" customHeight="1" outlineLevel="1" x14ac:dyDescent="0.2">
      <c r="A469" s="10" t="s">
        <v>108</v>
      </c>
      <c r="B469" s="52"/>
      <c r="C469" s="17">
        <v>700</v>
      </c>
      <c r="D469" s="18" t="s">
        <v>750</v>
      </c>
      <c r="E469" s="274">
        <v>45.36</v>
      </c>
      <c r="F469" s="74">
        <f t="shared" ref="F469:F483" si="20">E469*B469</f>
        <v>0</v>
      </c>
    </row>
    <row r="470" spans="1:6" ht="15" customHeight="1" outlineLevel="1" x14ac:dyDescent="0.2">
      <c r="A470" s="8" t="s">
        <v>108</v>
      </c>
      <c r="B470" s="53"/>
      <c r="C470" s="1">
        <v>701</v>
      </c>
      <c r="D470" s="20" t="s">
        <v>751</v>
      </c>
      <c r="E470" s="274">
        <v>68.040000000000006</v>
      </c>
      <c r="F470" s="63">
        <f t="shared" si="20"/>
        <v>0</v>
      </c>
    </row>
    <row r="471" spans="1:6" ht="15" customHeight="1" outlineLevel="1" x14ac:dyDescent="0.2">
      <c r="A471" s="8" t="s">
        <v>108</v>
      </c>
      <c r="B471" s="53"/>
      <c r="C471" s="1">
        <v>702</v>
      </c>
      <c r="D471" s="20" t="s">
        <v>752</v>
      </c>
      <c r="E471" s="274">
        <v>42.53</v>
      </c>
      <c r="F471" s="63">
        <f t="shared" si="20"/>
        <v>0</v>
      </c>
    </row>
    <row r="472" spans="1:6" ht="15" customHeight="1" outlineLevel="1" x14ac:dyDescent="0.2">
      <c r="A472" s="8" t="s">
        <v>108</v>
      </c>
      <c r="B472" s="53"/>
      <c r="C472" s="1">
        <v>703</v>
      </c>
      <c r="D472" s="20" t="s">
        <v>753</v>
      </c>
      <c r="E472" s="274">
        <v>63.79</v>
      </c>
      <c r="F472" s="63">
        <f t="shared" si="20"/>
        <v>0</v>
      </c>
    </row>
    <row r="473" spans="1:6" ht="15" customHeight="1" outlineLevel="1" x14ac:dyDescent="0.2">
      <c r="A473" s="8" t="s">
        <v>108</v>
      </c>
      <c r="B473" s="53"/>
      <c r="C473" s="1">
        <v>704</v>
      </c>
      <c r="D473" s="20" t="s">
        <v>754</v>
      </c>
      <c r="E473" s="274">
        <v>35.44</v>
      </c>
      <c r="F473" s="63">
        <f t="shared" si="20"/>
        <v>0</v>
      </c>
    </row>
    <row r="474" spans="1:6" ht="15" customHeight="1" outlineLevel="1" x14ac:dyDescent="0.2">
      <c r="A474" s="8" t="s">
        <v>108</v>
      </c>
      <c r="B474" s="53"/>
      <c r="C474" s="1">
        <v>705</v>
      </c>
      <c r="D474" s="20" t="s">
        <v>755</v>
      </c>
      <c r="E474" s="274">
        <v>53.16</v>
      </c>
      <c r="F474" s="63">
        <f t="shared" si="20"/>
        <v>0</v>
      </c>
    </row>
    <row r="475" spans="1:6" ht="15" customHeight="1" outlineLevel="1" x14ac:dyDescent="0.2">
      <c r="A475" s="8" t="s">
        <v>108</v>
      </c>
      <c r="B475" s="53"/>
      <c r="C475" s="1">
        <v>706</v>
      </c>
      <c r="D475" s="20" t="s">
        <v>756</v>
      </c>
      <c r="E475" s="274">
        <v>49.61</v>
      </c>
      <c r="F475" s="63">
        <f t="shared" si="20"/>
        <v>0</v>
      </c>
    </row>
    <row r="476" spans="1:6" ht="15" customHeight="1" outlineLevel="1" x14ac:dyDescent="0.2">
      <c r="A476" s="8" t="s">
        <v>108</v>
      </c>
      <c r="B476" s="53"/>
      <c r="C476" s="1">
        <v>707</v>
      </c>
      <c r="D476" s="20" t="s">
        <v>757</v>
      </c>
      <c r="E476" s="274">
        <v>49.61</v>
      </c>
      <c r="F476" s="63">
        <f t="shared" si="20"/>
        <v>0</v>
      </c>
    </row>
    <row r="477" spans="1:6" ht="15" customHeight="1" outlineLevel="1" x14ac:dyDescent="0.2">
      <c r="A477" s="8" t="s">
        <v>108</v>
      </c>
      <c r="B477" s="53"/>
      <c r="C477" s="1">
        <v>708</v>
      </c>
      <c r="D477" s="20" t="s">
        <v>758</v>
      </c>
      <c r="E477" s="274">
        <v>16.91</v>
      </c>
      <c r="F477" s="63">
        <f t="shared" si="20"/>
        <v>0</v>
      </c>
    </row>
    <row r="478" spans="1:6" ht="15" customHeight="1" outlineLevel="1" x14ac:dyDescent="0.2">
      <c r="A478" s="8" t="s">
        <v>108</v>
      </c>
      <c r="B478" s="53"/>
      <c r="C478" s="1">
        <v>709</v>
      </c>
      <c r="D478" s="20" t="s">
        <v>759</v>
      </c>
      <c r="E478" s="274">
        <v>9.66</v>
      </c>
      <c r="F478" s="63">
        <f>E478*B478</f>
        <v>0</v>
      </c>
    </row>
    <row r="479" spans="1:6" ht="15" customHeight="1" outlineLevel="1" x14ac:dyDescent="0.2">
      <c r="A479" s="8" t="s">
        <v>108</v>
      </c>
      <c r="B479" s="53"/>
      <c r="C479" s="1">
        <v>711</v>
      </c>
      <c r="D479" s="20" t="s">
        <v>760</v>
      </c>
      <c r="E479" s="274">
        <v>39.24</v>
      </c>
      <c r="F479" s="63">
        <f t="shared" si="20"/>
        <v>0</v>
      </c>
    </row>
    <row r="480" spans="1:6" ht="15" customHeight="1" outlineLevel="1" x14ac:dyDescent="0.2">
      <c r="A480" s="8" t="s">
        <v>108</v>
      </c>
      <c r="B480" s="53"/>
      <c r="C480" s="1">
        <v>712</v>
      </c>
      <c r="D480" s="20" t="s">
        <v>761</v>
      </c>
      <c r="E480" s="274">
        <v>33.81</v>
      </c>
      <c r="F480" s="63">
        <f t="shared" si="20"/>
        <v>0</v>
      </c>
    </row>
    <row r="481" spans="1:8" ht="15" customHeight="1" outlineLevel="1" x14ac:dyDescent="0.2">
      <c r="A481" s="8" t="s">
        <v>108</v>
      </c>
      <c r="B481" s="53"/>
      <c r="C481" s="1">
        <v>713</v>
      </c>
      <c r="D481" s="20" t="s">
        <v>762</v>
      </c>
      <c r="E481" s="274">
        <v>21.73</v>
      </c>
      <c r="F481" s="63">
        <f t="shared" si="20"/>
        <v>0</v>
      </c>
    </row>
    <row r="482" spans="1:8" ht="15" customHeight="1" outlineLevel="1" x14ac:dyDescent="0.2">
      <c r="A482" s="8" t="s">
        <v>108</v>
      </c>
      <c r="B482" s="53"/>
      <c r="C482" s="1">
        <v>714</v>
      </c>
      <c r="D482" s="20" t="s">
        <v>763</v>
      </c>
      <c r="E482" s="274">
        <v>24.15</v>
      </c>
      <c r="F482" s="63">
        <f>E482*B482</f>
        <v>0</v>
      </c>
    </row>
    <row r="483" spans="1:8" ht="15" customHeight="1" outlineLevel="1" x14ac:dyDescent="0.2">
      <c r="A483" s="8" t="s">
        <v>108</v>
      </c>
      <c r="B483" s="53"/>
      <c r="C483" s="1">
        <v>715</v>
      </c>
      <c r="D483" s="20" t="s">
        <v>764</v>
      </c>
      <c r="E483" s="274">
        <v>82.11</v>
      </c>
      <c r="F483" s="63">
        <f t="shared" si="20"/>
        <v>0</v>
      </c>
    </row>
    <row r="484" spans="1:8" ht="15" customHeight="1" outlineLevel="1" x14ac:dyDescent="0.2">
      <c r="A484" s="8" t="s">
        <v>108</v>
      </c>
      <c r="B484" s="53"/>
      <c r="C484" s="1">
        <v>999</v>
      </c>
      <c r="D484" s="20" t="s">
        <v>771</v>
      </c>
      <c r="E484" s="274">
        <v>0</v>
      </c>
      <c r="F484" s="63"/>
    </row>
    <row r="485" spans="1:8" ht="15" customHeight="1" outlineLevel="1" x14ac:dyDescent="0.2">
      <c r="A485" s="8" t="s">
        <v>108</v>
      </c>
      <c r="B485" s="53"/>
      <c r="C485" s="1"/>
      <c r="D485" s="20" t="s">
        <v>772</v>
      </c>
      <c r="E485" s="274">
        <v>100</v>
      </c>
      <c r="F485" s="63">
        <f>B485*E485</f>
        <v>0</v>
      </c>
    </row>
    <row r="486" spans="1:8" ht="15" customHeight="1" outlineLevel="1" thickBot="1" x14ac:dyDescent="0.25">
      <c r="A486" s="8"/>
      <c r="B486" s="53"/>
      <c r="C486" s="1"/>
      <c r="D486" s="20"/>
      <c r="E486" s="82"/>
      <c r="F486" s="63"/>
    </row>
    <row r="487" spans="1:8" ht="15" customHeight="1" outlineLevel="1" thickBot="1" x14ac:dyDescent="0.25">
      <c r="A487" s="282"/>
      <c r="B487" s="283"/>
      <c r="C487" s="211"/>
      <c r="D487" s="284" t="s">
        <v>770</v>
      </c>
      <c r="E487" s="285"/>
      <c r="F487" s="286">
        <f>SUM(F469:F486)</f>
        <v>0</v>
      </c>
    </row>
    <row r="488" spans="1:8" ht="15" customHeight="1" thickBot="1" x14ac:dyDescent="0.25">
      <c r="A488" s="214" t="s">
        <v>1046</v>
      </c>
      <c r="B488" s="49"/>
      <c r="F488" s="251"/>
    </row>
    <row r="489" spans="1:8" ht="15" customHeight="1" thickBot="1" x14ac:dyDescent="0.25">
      <c r="A489" s="159"/>
      <c r="B489" s="97" t="s">
        <v>773</v>
      </c>
      <c r="C489" s="243"/>
      <c r="D489" s="243"/>
      <c r="E489" s="243"/>
      <c r="F489" s="102">
        <f>SUM(F29,F35,F56,F139,F159,F185,F216,F243,F262,F307,F339,F386,F426,F439,F466,F487)</f>
        <v>118990</v>
      </c>
    </row>
    <row r="490" spans="1:8" ht="15" customHeight="1" x14ac:dyDescent="0.2">
      <c r="A490" s="48"/>
      <c r="B490" s="47"/>
      <c r="D490" s="56"/>
      <c r="E490" s="13"/>
      <c r="G490" s="12"/>
      <c r="H490" s="543"/>
    </row>
    <row r="491" spans="1:8" ht="15" customHeight="1" x14ac:dyDescent="0.2">
      <c r="C491" s="56"/>
      <c r="D491" s="56"/>
    </row>
  </sheetData>
  <sheetProtection formatCells="0" formatColumns="0" formatRows="0"/>
  <autoFilter ref="B5:B490" xr:uid="{00000000-0009-0000-0000-000003000000}"/>
  <mergeCells count="3">
    <mergeCell ref="A1:B1"/>
    <mergeCell ref="A2:B2"/>
    <mergeCell ref="A3:B3"/>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H71"/>
  <sheetViews>
    <sheetView workbookViewId="0">
      <selection activeCell="C37" sqref="C37"/>
    </sheetView>
  </sheetViews>
  <sheetFormatPr defaultColWidth="9" defaultRowHeight="15" x14ac:dyDescent="0.25"/>
  <cols>
    <col min="1" max="1" width="12.140625" style="109" customWidth="1"/>
    <col min="2" max="2" width="53.140625" style="57" customWidth="1"/>
    <col min="3" max="3" width="9.85546875" style="693" customWidth="1"/>
  </cols>
  <sheetData>
    <row r="1" spans="1:8" x14ac:dyDescent="0.25">
      <c r="A1" s="663" t="s">
        <v>52</v>
      </c>
      <c r="B1" s="665" t="str">
        <f>'COVER SHEET'!B2:D2</f>
        <v>LUMOS</v>
      </c>
      <c r="C1" s="666"/>
    </row>
    <row r="2" spans="1:8" x14ac:dyDescent="0.25">
      <c r="A2" s="663" t="s">
        <v>774</v>
      </c>
      <c r="B2" s="665" t="str">
        <f>'COVER SHEET'!B3:D3</f>
        <v>VIRGINIA</v>
      </c>
      <c r="C2" s="667"/>
    </row>
    <row r="3" spans="1:8" x14ac:dyDescent="0.25">
      <c r="A3" s="663" t="s">
        <v>7</v>
      </c>
      <c r="B3" s="665" t="str">
        <f>'COVER SHEET'!F4</f>
        <v>CHST 02-01</v>
      </c>
      <c r="C3" s="667"/>
    </row>
    <row r="4" spans="1:8" x14ac:dyDescent="0.25">
      <c r="A4" s="663" t="s">
        <v>775</v>
      </c>
      <c r="B4" s="665">
        <f>'COVER SHEET'!B9</f>
        <v>0</v>
      </c>
      <c r="C4" s="666"/>
    </row>
    <row r="5" spans="1:8" x14ac:dyDescent="0.25">
      <c r="A5" s="663" t="s">
        <v>776</v>
      </c>
      <c r="B5" s="665" t="str">
        <f>RIGHT(B3,5)</f>
        <v>02-01</v>
      </c>
      <c r="C5" s="666"/>
    </row>
    <row r="6" spans="1:8" ht="15.75" thickBot="1" x14ac:dyDescent="0.3">
      <c r="A6" s="663" t="s">
        <v>777</v>
      </c>
      <c r="B6" s="665" t="s">
        <v>53</v>
      </c>
      <c r="C6" s="667" t="s">
        <v>778</v>
      </c>
    </row>
    <row r="7" spans="1:8" ht="15.75" thickBot="1" x14ac:dyDescent="0.3">
      <c r="A7" s="121"/>
      <c r="B7" s="122" t="s">
        <v>398</v>
      </c>
      <c r="C7" s="668"/>
    </row>
    <row r="8" spans="1:8" x14ac:dyDescent="0.25">
      <c r="A8" s="669"/>
      <c r="B8" s="670" t="s">
        <v>779</v>
      </c>
      <c r="C8" s="671"/>
    </row>
    <row r="9" spans="1:8" x14ac:dyDescent="0.25">
      <c r="A9" s="672"/>
      <c r="B9" s="49" t="s">
        <v>780</v>
      </c>
      <c r="C9" s="673">
        <f>SUM(LABOR!F8:F27)</f>
        <v>5449.5</v>
      </c>
    </row>
    <row r="10" spans="1:8" x14ac:dyDescent="0.25">
      <c r="A10" s="672"/>
      <c r="B10" s="49" t="s">
        <v>781</v>
      </c>
      <c r="C10" s="673">
        <f>LABOR!F7</f>
        <v>0</v>
      </c>
    </row>
    <row r="11" spans="1:8" x14ac:dyDescent="0.25">
      <c r="A11" s="672"/>
      <c r="B11" s="49" t="s">
        <v>782</v>
      </c>
      <c r="C11" s="673">
        <f>LABOR!F385</f>
        <v>0</v>
      </c>
    </row>
    <row r="12" spans="1:8" ht="15.75" thickBot="1" x14ac:dyDescent="0.3">
      <c r="A12" s="674"/>
      <c r="B12" s="675" t="s">
        <v>783</v>
      </c>
      <c r="C12" s="676">
        <f>LABOR!F28</f>
        <v>0</v>
      </c>
    </row>
    <row r="13" spans="1:8" x14ac:dyDescent="0.25">
      <c r="A13" s="677"/>
      <c r="B13" s="678" t="s">
        <v>784</v>
      </c>
      <c r="C13" s="679"/>
    </row>
    <row r="14" spans="1:8" x14ac:dyDescent="0.25">
      <c r="A14" s="672"/>
      <c r="B14" s="49" t="s">
        <v>785</v>
      </c>
      <c r="C14" s="673">
        <f>SUM(LABOR!F32,LABOR!F34)</f>
        <v>0</v>
      </c>
    </row>
    <row r="15" spans="1:8" ht="15.75" thickBot="1" x14ac:dyDescent="0.3">
      <c r="A15" s="674"/>
      <c r="B15" s="675" t="s">
        <v>786</v>
      </c>
      <c r="C15" s="676">
        <f>LABOR!F33</f>
        <v>0</v>
      </c>
    </row>
    <row r="16" spans="1:8" x14ac:dyDescent="0.25">
      <c r="A16" s="680"/>
      <c r="B16" s="678" t="s">
        <v>787</v>
      </c>
      <c r="C16" s="679"/>
      <c r="H16" s="681"/>
    </row>
    <row r="17" spans="1:5" x14ac:dyDescent="0.25">
      <c r="A17" s="672"/>
      <c r="B17" s="49" t="s">
        <v>788</v>
      </c>
      <c r="C17" s="673">
        <f>LABOR!F44</f>
        <v>0</v>
      </c>
    </row>
    <row r="18" spans="1:5" x14ac:dyDescent="0.25">
      <c r="A18" s="672"/>
      <c r="B18" s="49" t="s">
        <v>789</v>
      </c>
      <c r="C18" s="673">
        <f>LABOR!F43</f>
        <v>0</v>
      </c>
    </row>
    <row r="19" spans="1:5" x14ac:dyDescent="0.25">
      <c r="A19" s="669"/>
      <c r="B19" s="49" t="s">
        <v>790</v>
      </c>
      <c r="C19" s="673">
        <f>LABOR!F39</f>
        <v>0</v>
      </c>
    </row>
    <row r="20" spans="1:5" x14ac:dyDescent="0.25">
      <c r="A20" s="682"/>
      <c r="B20" s="49" t="s">
        <v>791</v>
      </c>
      <c r="C20" s="673">
        <f>LABOR!F38</f>
        <v>0</v>
      </c>
    </row>
    <row r="21" spans="1:5" x14ac:dyDescent="0.25">
      <c r="A21" s="682"/>
      <c r="B21" s="49" t="s">
        <v>430</v>
      </c>
      <c r="C21" s="673">
        <f>LABOR!F40</f>
        <v>0</v>
      </c>
    </row>
    <row r="22" spans="1:5" x14ac:dyDescent="0.25">
      <c r="A22" s="682"/>
      <c r="B22" s="49" t="s">
        <v>431</v>
      </c>
      <c r="C22" s="673">
        <f>LABOR!F41</f>
        <v>0</v>
      </c>
    </row>
    <row r="23" spans="1:5" x14ac:dyDescent="0.25">
      <c r="A23" s="682"/>
      <c r="B23" s="49" t="s">
        <v>437</v>
      </c>
      <c r="C23" s="673">
        <f>LABOR!F47</f>
        <v>0</v>
      </c>
    </row>
    <row r="24" spans="1:5" x14ac:dyDescent="0.25">
      <c r="A24" s="682"/>
      <c r="B24" s="49" t="s">
        <v>410</v>
      </c>
      <c r="C24" s="673">
        <f>LABOR!F48</f>
        <v>0</v>
      </c>
    </row>
    <row r="25" spans="1:5" x14ac:dyDescent="0.25">
      <c r="A25" s="682"/>
      <c r="B25" s="49" t="s">
        <v>792</v>
      </c>
      <c r="C25" s="673">
        <f>LABOR!F45</f>
        <v>0</v>
      </c>
    </row>
    <row r="26" spans="1:5" x14ac:dyDescent="0.25">
      <c r="A26" s="682"/>
      <c r="B26" s="49" t="s">
        <v>793</v>
      </c>
      <c r="C26" s="673">
        <f>LABOR!F46</f>
        <v>0</v>
      </c>
      <c r="E26" s="681"/>
    </row>
    <row r="27" spans="1:5" x14ac:dyDescent="0.25">
      <c r="A27" s="672"/>
      <c r="B27" s="49" t="s">
        <v>794</v>
      </c>
      <c r="C27" s="673">
        <f>LABOR!F42</f>
        <v>0</v>
      </c>
    </row>
    <row r="28" spans="1:5" ht="15.75" thickBot="1" x14ac:dyDescent="0.3">
      <c r="A28" s="674"/>
      <c r="B28" s="675" t="s">
        <v>795</v>
      </c>
      <c r="C28" s="676">
        <f>SUM(LABOR!F49:F54)</f>
        <v>10000</v>
      </c>
    </row>
    <row r="29" spans="1:5" x14ac:dyDescent="0.25">
      <c r="A29" s="680"/>
      <c r="B29" s="678" t="s">
        <v>796</v>
      </c>
      <c r="C29" s="683"/>
    </row>
    <row r="30" spans="1:5" ht="15.75" thickBot="1" x14ac:dyDescent="0.3">
      <c r="A30" s="684"/>
      <c r="B30" s="685" t="s">
        <v>797</v>
      </c>
      <c r="C30" s="676">
        <f>PERMITS!P88</f>
        <v>0</v>
      </c>
    </row>
    <row r="31" spans="1:5" x14ac:dyDescent="0.25">
      <c r="A31" s="680"/>
      <c r="B31" s="678" t="s">
        <v>798</v>
      </c>
      <c r="C31" s="683"/>
      <c r="E31" s="681"/>
    </row>
    <row r="32" spans="1:5" x14ac:dyDescent="0.25">
      <c r="A32" s="672" t="s">
        <v>75</v>
      </c>
      <c r="B32" s="49" t="s">
        <v>799</v>
      </c>
      <c r="C32" s="673">
        <f>SUM(LABOR!F139,LABOR!F159)</f>
        <v>0</v>
      </c>
    </row>
    <row r="33" spans="1:7" x14ac:dyDescent="0.25">
      <c r="A33" s="672" t="s">
        <v>75</v>
      </c>
      <c r="B33" s="49" t="s">
        <v>800</v>
      </c>
      <c r="C33" s="673">
        <f>MATERIAL!H26</f>
        <v>0</v>
      </c>
    </row>
    <row r="34" spans="1:7" x14ac:dyDescent="0.25">
      <c r="A34" s="672" t="s">
        <v>75</v>
      </c>
      <c r="B34" s="686" t="s">
        <v>801</v>
      </c>
      <c r="C34" s="673">
        <f>MATERIAL!H27</f>
        <v>0</v>
      </c>
      <c r="G34" s="681"/>
    </row>
    <row r="35" spans="1:7" ht="15.75" thickBot="1" x14ac:dyDescent="0.3">
      <c r="A35" s="674" t="s">
        <v>75</v>
      </c>
      <c r="B35" s="685" t="s">
        <v>802</v>
      </c>
      <c r="C35" s="676">
        <f>MATERIAL!H28</f>
        <v>0</v>
      </c>
    </row>
    <row r="36" spans="1:7" x14ac:dyDescent="0.25">
      <c r="A36" s="680"/>
      <c r="B36" s="687" t="s">
        <v>803</v>
      </c>
      <c r="C36" s="683"/>
    </row>
    <row r="37" spans="1:7" x14ac:dyDescent="0.25">
      <c r="A37" s="672" t="s">
        <v>114</v>
      </c>
      <c r="B37" s="49" t="s">
        <v>804</v>
      </c>
      <c r="C37" s="673">
        <f>SUM(LABOR!F185,LABOR!F216)</f>
        <v>0</v>
      </c>
    </row>
    <row r="38" spans="1:7" x14ac:dyDescent="0.25">
      <c r="A38" s="672" t="s">
        <v>114</v>
      </c>
      <c r="B38" s="49" t="s">
        <v>805</v>
      </c>
      <c r="C38" s="673">
        <f>MATERIAL!H102</f>
        <v>0</v>
      </c>
      <c r="G38" s="681"/>
    </row>
    <row r="39" spans="1:7" x14ac:dyDescent="0.25">
      <c r="A39" s="672" t="s">
        <v>114</v>
      </c>
      <c r="B39" s="686" t="s">
        <v>806</v>
      </c>
      <c r="C39" s="673">
        <f>MATERIAL!H103</f>
        <v>0</v>
      </c>
    </row>
    <row r="40" spans="1:7" x14ac:dyDescent="0.25">
      <c r="A40" s="688" t="s">
        <v>114</v>
      </c>
      <c r="B40" s="689" t="s">
        <v>807</v>
      </c>
      <c r="C40" s="690">
        <f>MATERIAL!H104</f>
        <v>0</v>
      </c>
    </row>
    <row r="41" spans="1:7" x14ac:dyDescent="0.25">
      <c r="A41" s="672" t="s">
        <v>254</v>
      </c>
      <c r="B41" s="49" t="s">
        <v>808</v>
      </c>
      <c r="C41" s="673">
        <f>SUM(LABOR!F243,LABOR!F262)</f>
        <v>0</v>
      </c>
    </row>
    <row r="42" spans="1:7" x14ac:dyDescent="0.25">
      <c r="A42" s="672" t="s">
        <v>254</v>
      </c>
      <c r="B42" s="49" t="s">
        <v>809</v>
      </c>
      <c r="C42" s="673">
        <f>MATERIAL!H170</f>
        <v>0</v>
      </c>
    </row>
    <row r="43" spans="1:7" x14ac:dyDescent="0.25">
      <c r="A43" s="672" t="s">
        <v>254</v>
      </c>
      <c r="B43" s="686" t="s">
        <v>810</v>
      </c>
      <c r="C43" s="673">
        <f>MATERIAL!H171</f>
        <v>0</v>
      </c>
    </row>
    <row r="44" spans="1:7" x14ac:dyDescent="0.25">
      <c r="A44" s="688" t="s">
        <v>254</v>
      </c>
      <c r="B44" s="689" t="s">
        <v>811</v>
      </c>
      <c r="C44" s="690">
        <f>MATERIAL!H172</f>
        <v>0</v>
      </c>
      <c r="E44" s="681"/>
    </row>
    <row r="45" spans="1:7" x14ac:dyDescent="0.25">
      <c r="A45" s="672" t="s">
        <v>278</v>
      </c>
      <c r="B45" s="49" t="s">
        <v>812</v>
      </c>
      <c r="C45" s="673">
        <f>SUM(LABOR!F307,LABOR!F339)</f>
        <v>103540.5</v>
      </c>
      <c r="E45" s="681"/>
    </row>
    <row r="46" spans="1:7" x14ac:dyDescent="0.25">
      <c r="A46" s="672" t="s">
        <v>278</v>
      </c>
      <c r="B46" s="49" t="s">
        <v>813</v>
      </c>
      <c r="C46" s="673">
        <f>MATERIAL!H238</f>
        <v>14924.119999999999</v>
      </c>
    </row>
    <row r="47" spans="1:7" x14ac:dyDescent="0.25">
      <c r="A47" s="672" t="s">
        <v>278</v>
      </c>
      <c r="B47" s="686" t="s">
        <v>814</v>
      </c>
      <c r="C47" s="673">
        <f>MATERIAL!H239</f>
        <v>2238.6180000000004</v>
      </c>
    </row>
    <row r="48" spans="1:7" ht="15.75" thickBot="1" x14ac:dyDescent="0.3">
      <c r="A48" s="674" t="s">
        <v>278</v>
      </c>
      <c r="B48" s="685" t="s">
        <v>815</v>
      </c>
      <c r="C48" s="676">
        <f>MATERIAL!H240</f>
        <v>17162.737999999998</v>
      </c>
    </row>
    <row r="49" spans="1:3" x14ac:dyDescent="0.25">
      <c r="A49" s="680"/>
      <c r="B49" s="678" t="s">
        <v>816</v>
      </c>
      <c r="C49" s="683"/>
    </row>
    <row r="50" spans="1:3" x14ac:dyDescent="0.25">
      <c r="A50" s="672" t="s">
        <v>286</v>
      </c>
      <c r="B50" s="49" t="s">
        <v>817</v>
      </c>
      <c r="C50" s="673">
        <f>MATERIAL!H268</f>
        <v>15715.880000000001</v>
      </c>
    </row>
    <row r="51" spans="1:3" x14ac:dyDescent="0.25">
      <c r="A51" s="672" t="s">
        <v>286</v>
      </c>
      <c r="B51" s="686" t="s">
        <v>818</v>
      </c>
      <c r="C51" s="673">
        <f>MATERIAL!H269</f>
        <v>2357.3820000000005</v>
      </c>
    </row>
    <row r="52" spans="1:3" ht="15.75" thickBot="1" x14ac:dyDescent="0.3">
      <c r="A52" s="674" t="s">
        <v>286</v>
      </c>
      <c r="B52" s="685" t="s">
        <v>819</v>
      </c>
      <c r="C52" s="676">
        <f>MATERIAL!H270</f>
        <v>18073.262000000002</v>
      </c>
    </row>
    <row r="53" spans="1:3" x14ac:dyDescent="0.25">
      <c r="A53" s="680"/>
      <c r="B53" s="678" t="s">
        <v>820</v>
      </c>
      <c r="C53" s="683"/>
    </row>
    <row r="54" spans="1:3" x14ac:dyDescent="0.25">
      <c r="A54" s="672" t="s">
        <v>114</v>
      </c>
      <c r="B54" s="49" t="s">
        <v>821</v>
      </c>
      <c r="C54" s="673">
        <f>LABOR!F386</f>
        <v>0</v>
      </c>
    </row>
    <row r="55" spans="1:3" x14ac:dyDescent="0.25">
      <c r="A55" s="672" t="s">
        <v>114</v>
      </c>
      <c r="B55" s="49" t="s">
        <v>805</v>
      </c>
      <c r="C55" s="673">
        <f>MATERIAL!H292</f>
        <v>0</v>
      </c>
    </row>
    <row r="56" spans="1:3" x14ac:dyDescent="0.25">
      <c r="A56" s="672" t="s">
        <v>114</v>
      </c>
      <c r="B56" s="686" t="s">
        <v>822</v>
      </c>
      <c r="C56" s="673">
        <f>MATERIAL!H293</f>
        <v>0</v>
      </c>
    </row>
    <row r="57" spans="1:3" ht="15.75" thickBot="1" x14ac:dyDescent="0.3">
      <c r="A57" s="674" t="s">
        <v>114</v>
      </c>
      <c r="B57" s="685" t="s">
        <v>823</v>
      </c>
      <c r="C57" s="676">
        <f>MATERIAL!H294</f>
        <v>0</v>
      </c>
    </row>
    <row r="58" spans="1:3" x14ac:dyDescent="0.25">
      <c r="A58" s="672"/>
      <c r="B58" s="678" t="s">
        <v>824</v>
      </c>
      <c r="C58" s="673"/>
    </row>
    <row r="59" spans="1:3" x14ac:dyDescent="0.25">
      <c r="A59" s="672" t="s">
        <v>254</v>
      </c>
      <c r="B59" s="49" t="s">
        <v>825</v>
      </c>
      <c r="C59" s="673">
        <f>LABOR!F426</f>
        <v>0</v>
      </c>
    </row>
    <row r="60" spans="1:3" x14ac:dyDescent="0.25">
      <c r="A60" s="672" t="s">
        <v>254</v>
      </c>
      <c r="B60" s="49" t="s">
        <v>826</v>
      </c>
      <c r="C60" s="673">
        <f>MATERIAL!H319</f>
        <v>5654.88</v>
      </c>
    </row>
    <row r="61" spans="1:3" x14ac:dyDescent="0.25">
      <c r="A61" s="672" t="s">
        <v>254</v>
      </c>
      <c r="B61" s="686" t="s">
        <v>827</v>
      </c>
      <c r="C61" s="673">
        <f>MATERIAL!H320</f>
        <v>848.2320000000002</v>
      </c>
    </row>
    <row r="62" spans="1:3" ht="15.75" thickBot="1" x14ac:dyDescent="0.3">
      <c r="A62" s="674" t="s">
        <v>254</v>
      </c>
      <c r="B62" s="685" t="s">
        <v>828</v>
      </c>
      <c r="C62" s="673">
        <f>MATERIAL!H321</f>
        <v>6503.1120000000001</v>
      </c>
    </row>
    <row r="63" spans="1:3" x14ac:dyDescent="0.25">
      <c r="A63" s="677"/>
      <c r="B63" s="678" t="s">
        <v>829</v>
      </c>
      <c r="C63" s="679"/>
    </row>
    <row r="64" spans="1:3" ht="15.75" thickBot="1" x14ac:dyDescent="0.3">
      <c r="A64" s="674" t="s">
        <v>108</v>
      </c>
      <c r="B64" s="685" t="s">
        <v>770</v>
      </c>
      <c r="C64" s="676">
        <f>LABOR!F466</f>
        <v>0</v>
      </c>
    </row>
    <row r="65" spans="1:5" x14ac:dyDescent="0.25">
      <c r="A65" s="680"/>
      <c r="B65" s="678" t="s">
        <v>830</v>
      </c>
      <c r="C65" s="683"/>
    </row>
    <row r="66" spans="1:5" x14ac:dyDescent="0.25">
      <c r="A66" s="669"/>
      <c r="B66" s="686" t="s">
        <v>831</v>
      </c>
      <c r="C66" s="671">
        <f>LABOR!F438</f>
        <v>0</v>
      </c>
    </row>
    <row r="67" spans="1:5" x14ac:dyDescent="0.25">
      <c r="A67" s="669"/>
      <c r="B67" s="686" t="s">
        <v>832</v>
      </c>
      <c r="C67" s="671">
        <f>PERMITS!G70</f>
        <v>0</v>
      </c>
    </row>
    <row r="68" spans="1:5" x14ac:dyDescent="0.25">
      <c r="A68" s="669"/>
      <c r="B68" s="686" t="s">
        <v>833</v>
      </c>
      <c r="C68" s="671">
        <f>SUM(MATERIAL!H157:H158,MATERIAL!H84:H85,MATERIAL!H225:H226)</f>
        <v>0</v>
      </c>
    </row>
    <row r="69" spans="1:5" ht="15.75" thickBot="1" x14ac:dyDescent="0.3">
      <c r="A69" s="684"/>
      <c r="B69" s="685" t="s">
        <v>834</v>
      </c>
      <c r="C69" s="691">
        <f>SUM(MATERIAL!H338:H340)</f>
        <v>0</v>
      </c>
      <c r="E69" s="681"/>
    </row>
    <row r="70" spans="1:5" ht="15.75" thickBot="1" x14ac:dyDescent="0.3">
      <c r="A70" s="101" t="s">
        <v>365</v>
      </c>
      <c r="B70" s="692" t="s">
        <v>835</v>
      </c>
      <c r="C70" s="668">
        <f>MATERIAL!H346</f>
        <v>0</v>
      </c>
      <c r="E70" s="681"/>
    </row>
    <row r="71" spans="1:5" ht="15.75" thickBot="1" x14ac:dyDescent="0.3">
      <c r="A71" s="121"/>
      <c r="B71" s="692" t="s">
        <v>836</v>
      </c>
      <c r="C71" s="668">
        <f>SUM(C9:C28,C30:C32,C35,C37,C40,C41,C44,C45,C48,C52,C54,C57,C59,C62,C64,C66,C70)</f>
        <v>160729.11199999999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DV213"/>
  <sheetViews>
    <sheetView topLeftCell="A5" zoomScaleNormal="100" workbookViewId="0">
      <selection activeCell="AZ18" sqref="AZ18"/>
    </sheetView>
  </sheetViews>
  <sheetFormatPr defaultColWidth="9.42578125" defaultRowHeight="15" x14ac:dyDescent="0.25"/>
  <cols>
    <col min="1" max="1" width="2.7109375" style="757" customWidth="1"/>
    <col min="2" max="2" width="10.42578125" style="757" customWidth="1"/>
    <col min="3" max="3" width="12.5703125" style="772" customWidth="1"/>
    <col min="4" max="4" width="9.28515625" style="772" customWidth="1"/>
    <col min="5" max="5" width="5.85546875" style="772" customWidth="1"/>
    <col min="6" max="6" width="9.42578125" style="757"/>
    <col min="7" max="7" width="10.42578125" style="757" customWidth="1"/>
    <col min="8" max="8" width="12.5703125" style="764" customWidth="1"/>
    <col min="9" max="9" width="9.28515625" style="764" customWidth="1"/>
    <col min="10" max="10" width="5.85546875" style="764" customWidth="1"/>
    <col min="11" max="11" width="9.42578125" style="757"/>
    <col min="12" max="12" width="10.42578125" style="757" customWidth="1"/>
    <col min="13" max="13" width="13.5703125" style="764" customWidth="1"/>
    <col min="14" max="14" width="9.28515625" style="764" customWidth="1"/>
    <col min="15" max="15" width="5.85546875" style="764" customWidth="1"/>
    <col min="16" max="16" width="8.140625" style="764" customWidth="1"/>
    <col min="17" max="17" width="10.7109375" style="764" customWidth="1"/>
    <col min="18" max="18" width="9" style="764" customWidth="1"/>
    <col min="19" max="20" width="8.5703125" style="764" customWidth="1"/>
    <col min="21" max="21" width="9.42578125" style="763"/>
    <col min="22" max="22" width="10.42578125" style="757" customWidth="1"/>
    <col min="23" max="23" width="12.5703125" style="764" customWidth="1"/>
    <col min="24" max="24" width="9.28515625" style="764" customWidth="1"/>
    <col min="25" max="25" width="5.85546875" style="764" customWidth="1"/>
    <col min="26" max="26" width="9.42578125" style="757"/>
    <col min="27" max="27" width="10.42578125" style="757" customWidth="1"/>
    <col min="28" max="28" width="12.5703125" style="764" customWidth="1"/>
    <col min="29" max="29" width="9.28515625" style="764" customWidth="1"/>
    <col min="30" max="30" width="5.85546875" style="764" customWidth="1"/>
    <col min="31" max="31" width="9.42578125" style="757"/>
    <col min="32" max="32" width="10.42578125" style="757" customWidth="1"/>
    <col min="33" max="33" width="12.5703125" style="764" customWidth="1"/>
    <col min="34" max="34" width="9.28515625" style="764" customWidth="1"/>
    <col min="35" max="35" width="5.85546875" style="764" customWidth="1"/>
    <col min="36" max="36" width="9.42578125" style="757"/>
    <col min="37" max="37" width="10.42578125" style="757" customWidth="1"/>
    <col min="38" max="38" width="12.5703125" style="764" customWidth="1"/>
    <col min="39" max="39" width="9.28515625" style="764" customWidth="1"/>
    <col min="40" max="40" width="5.85546875" style="764" customWidth="1"/>
    <col min="41" max="41" width="9.42578125" style="757"/>
    <col min="42" max="42" width="10.42578125" style="757" customWidth="1"/>
    <col min="43" max="43" width="12.5703125" style="764" customWidth="1"/>
    <col min="44" max="44" width="9.28515625" style="764" customWidth="1"/>
    <col min="45" max="45" width="5.85546875" style="764" customWidth="1"/>
    <col min="46" max="46" width="9.42578125" style="757"/>
    <col min="47" max="47" width="10.42578125" style="757" customWidth="1"/>
    <col min="48" max="48" width="12.5703125" style="764" customWidth="1"/>
    <col min="49" max="49" width="9.28515625" style="764" customWidth="1"/>
    <col min="50" max="50" width="5.85546875" style="764" customWidth="1"/>
    <col min="51" max="51" width="9.42578125" style="757"/>
    <col min="52" max="52" width="10.42578125" style="757" customWidth="1"/>
    <col min="53" max="53" width="12.5703125" style="764" customWidth="1"/>
    <col min="54" max="54" width="9.28515625" style="764" customWidth="1"/>
    <col min="55" max="55" width="5.85546875" style="764" customWidth="1"/>
    <col min="56" max="56" width="9.42578125" style="757"/>
    <col min="57" max="57" width="10.42578125" style="757" customWidth="1"/>
    <col min="58" max="58" width="12.5703125" style="764" customWidth="1"/>
    <col min="59" max="59" width="9.28515625" style="764" customWidth="1"/>
    <col min="60" max="60" width="5.85546875" style="764" customWidth="1"/>
    <col min="61" max="64" width="10.85546875" style="764" customWidth="1"/>
    <col min="65" max="65" width="9" style="764" customWidth="1"/>
    <col min="66" max="66" width="10.85546875" style="764" customWidth="1"/>
    <col min="67" max="67" width="10.42578125" style="757" customWidth="1"/>
    <col min="68" max="68" width="12.5703125" style="764" customWidth="1"/>
    <col min="69" max="69" width="9.28515625" style="764" customWidth="1"/>
    <col min="70" max="70" width="5.85546875" style="764" customWidth="1"/>
    <col min="71" max="71" width="9.42578125" style="757"/>
    <col min="72" max="72" width="10.42578125" style="757" customWidth="1"/>
    <col min="73" max="73" width="12.5703125" style="764" customWidth="1"/>
    <col min="74" max="74" width="9.28515625" style="764" customWidth="1"/>
    <col min="75" max="75" width="5.85546875" style="764" customWidth="1"/>
    <col min="76" max="76" width="9.42578125" style="757"/>
    <col min="77" max="77" width="10.42578125" style="757" customWidth="1"/>
    <col min="78" max="78" width="12.5703125" style="764" customWidth="1"/>
    <col min="79" max="79" width="9.28515625" style="764" customWidth="1"/>
    <col min="80" max="80" width="5.85546875" style="764" customWidth="1"/>
    <col min="81" max="81" width="9.42578125" style="757"/>
    <col min="82" max="82" width="10.42578125" style="757" customWidth="1"/>
    <col min="83" max="83" width="12.5703125" style="764" customWidth="1"/>
    <col min="84" max="84" width="9.28515625" style="764" customWidth="1"/>
    <col min="85" max="85" width="5.85546875" style="764" customWidth="1"/>
    <col min="86" max="86" width="9.42578125" style="757"/>
    <col min="87" max="87" width="10.42578125" style="757" customWidth="1"/>
    <col min="88" max="88" width="12.5703125" style="764" customWidth="1"/>
    <col min="89" max="89" width="9.28515625" style="764" customWidth="1"/>
    <col min="90" max="90" width="5.85546875" style="764" customWidth="1"/>
    <col min="91" max="91" width="9.42578125" style="757"/>
    <col min="92" max="92" width="10.42578125" style="764" customWidth="1"/>
    <col min="93" max="95" width="9.42578125" style="764"/>
    <col min="96" max="96" width="9.42578125" style="757"/>
    <col min="97" max="97" width="10.42578125" style="764" customWidth="1"/>
    <col min="98" max="100" width="9.42578125" style="764"/>
    <col min="101" max="101" width="9.42578125" style="757"/>
    <col min="102" max="102" width="10.42578125" style="764" customWidth="1"/>
    <col min="103" max="104" width="9.42578125" style="764"/>
    <col min="105" max="105" width="9.42578125" style="764" customWidth="1"/>
    <col min="106" max="106" width="9.42578125" style="757"/>
    <col min="107" max="107" width="10.42578125" style="764" customWidth="1"/>
    <col min="108" max="110" width="9.42578125" style="764"/>
    <col min="111" max="111" width="9.42578125" style="757"/>
    <col min="112" max="112" width="10.42578125" style="764" customWidth="1"/>
    <col min="113" max="115" width="9.42578125" style="764"/>
    <col min="116" max="116" width="9.42578125" style="757"/>
    <col min="117" max="117" width="10.42578125" style="764" customWidth="1"/>
    <col min="118" max="120" width="9.42578125" style="764"/>
    <col min="121" max="121" width="9.42578125" style="757"/>
    <col min="122" max="122" width="10.42578125" style="764" customWidth="1"/>
    <col min="123" max="125" width="9.42578125" style="764"/>
    <col min="126" max="126" width="9.42578125" style="757"/>
    <col min="127" max="16384" width="9.42578125" style="764"/>
  </cols>
  <sheetData>
    <row r="1" spans="1:126" s="550" customFormat="1" ht="12.6" customHeight="1" x14ac:dyDescent="0.25">
      <c r="A1" s="553"/>
      <c r="B1" s="780" t="s">
        <v>837</v>
      </c>
      <c r="C1" s="781" t="s">
        <v>838</v>
      </c>
      <c r="D1" s="782"/>
      <c r="E1" s="783"/>
      <c r="F1" s="784"/>
      <c r="G1" s="785" t="s">
        <v>837</v>
      </c>
      <c r="H1" s="781" t="s">
        <v>839</v>
      </c>
      <c r="I1" s="782"/>
      <c r="J1" s="783"/>
      <c r="K1" s="786"/>
      <c r="L1" s="787" t="s">
        <v>837</v>
      </c>
      <c r="M1" s="781" t="s">
        <v>840</v>
      </c>
      <c r="N1" s="788"/>
      <c r="U1" s="752"/>
    </row>
    <row r="2" spans="1:126" s="550" customFormat="1" ht="12.6" customHeight="1" x14ac:dyDescent="0.25">
      <c r="B2" s="999" t="s">
        <v>841</v>
      </c>
      <c r="C2" s="789">
        <v>24</v>
      </c>
      <c r="D2" s="790">
        <f>SUMIFS($C$13:$DV$13,$C$9:$DV$9,C1,$C$12:$DV$12,C2)</f>
        <v>0</v>
      </c>
      <c r="E2" s="783"/>
      <c r="F2" s="784"/>
      <c r="G2" s="999" t="s">
        <v>841</v>
      </c>
      <c r="H2" s="789">
        <v>24</v>
      </c>
      <c r="I2" s="791">
        <f>SUMIFS($C$13:$BD$13,$C$9:$BD$9,H1,$C$12:$BD$12,H2)</f>
        <v>0</v>
      </c>
      <c r="J2" s="784"/>
      <c r="K2" s="784"/>
      <c r="L2" s="999" t="s">
        <v>841</v>
      </c>
      <c r="M2" s="792">
        <v>24</v>
      </c>
      <c r="N2" s="790">
        <f>SUMIFS($C$13:$BD$13,$C$9:$BD$9,M1,$C$12:$BD$12,M2)</f>
        <v>0</v>
      </c>
      <c r="Q2" s="922" t="s">
        <v>1095</v>
      </c>
      <c r="U2" s="752"/>
    </row>
    <row r="3" spans="1:126" s="550" customFormat="1" ht="12.6" customHeight="1" x14ac:dyDescent="0.25">
      <c r="B3" s="1000"/>
      <c r="C3" s="793">
        <v>48</v>
      </c>
      <c r="D3" s="794">
        <f>SUMIFS($C$13:$DV$13,$C$9:$DV$9,C1,$C$12:$DV$12,C3)</f>
        <v>7927</v>
      </c>
      <c r="E3" s="784"/>
      <c r="F3" s="784"/>
      <c r="G3" s="1000"/>
      <c r="H3" s="793">
        <v>48</v>
      </c>
      <c r="I3" s="795">
        <f>SUMIFS($C$13:$BD$13,$C$9:$BD$9,H1,$C$12:$BD$12,H3)</f>
        <v>0</v>
      </c>
      <c r="J3" s="784"/>
      <c r="K3" s="784"/>
      <c r="L3" s="1000"/>
      <c r="M3" s="793">
        <v>48</v>
      </c>
      <c r="N3" s="796">
        <f>SUMIFS($C$13:$BD$13,$C$9:$BD$9,M1,$C$12:$BD$12,M3)</f>
        <v>0</v>
      </c>
      <c r="Q3" s="922" t="s">
        <v>1096</v>
      </c>
      <c r="U3" s="752"/>
    </row>
    <row r="4" spans="1:126" s="550" customFormat="1" ht="12.6" customHeight="1" x14ac:dyDescent="0.25">
      <c r="B4" s="1000"/>
      <c r="C4" s="793">
        <v>96</v>
      </c>
      <c r="D4" s="794">
        <f>SUMIFS($C$13:$DV$13,$C$9:$DV$9,C1,$C$12:$DV$12,C4)</f>
        <v>3394</v>
      </c>
      <c r="E4" s="784"/>
      <c r="F4" s="784"/>
      <c r="G4" s="1000"/>
      <c r="H4" s="793">
        <v>96</v>
      </c>
      <c r="I4" s="794">
        <f>SUMIFS($C$13:$BD$13,$C$9:$BD$9,H1,$C$12:$BD$12,H4)</f>
        <v>0</v>
      </c>
      <c r="J4" s="784"/>
      <c r="K4" s="784"/>
      <c r="L4" s="1000"/>
      <c r="M4" s="793">
        <v>96</v>
      </c>
      <c r="N4" s="794">
        <f>SUMIFS($C$13:$BD$13,$C$9:$BD$9,M1,$C$12:$BD$12,M4)</f>
        <v>0</v>
      </c>
      <c r="Q4" s="922" t="s">
        <v>1097</v>
      </c>
      <c r="U4" s="752"/>
    </row>
    <row r="5" spans="1:126" s="550" customFormat="1" ht="12.6" customHeight="1" x14ac:dyDescent="0.25">
      <c r="B5" s="1000"/>
      <c r="C5" s="793">
        <v>144</v>
      </c>
      <c r="D5" s="794">
        <f>SUMIFS($C$13:$DV$13,$C$9:$DV$9,C1,$C$12:$DV$12,C5)</f>
        <v>5998</v>
      </c>
      <c r="E5" s="784"/>
      <c r="F5" s="784"/>
      <c r="G5" s="1000"/>
      <c r="H5" s="793">
        <v>144</v>
      </c>
      <c r="I5" s="794">
        <f>SUMIFS($C$13:$BD$13,$C$9:$BD$9,H1,$C$12:$BD$12,H5)</f>
        <v>0</v>
      </c>
      <c r="J5" s="784"/>
      <c r="K5" s="784"/>
      <c r="L5" s="1000"/>
      <c r="M5" s="793">
        <v>144</v>
      </c>
      <c r="N5" s="794">
        <f>SUMIFS($C$13:$BD$13,$C$9:$BD$9,M1,$C$12:$BD$12,M5)</f>
        <v>0</v>
      </c>
      <c r="U5" s="752"/>
    </row>
    <row r="6" spans="1:126" s="550" customFormat="1" ht="12.6" customHeight="1" x14ac:dyDescent="0.25">
      <c r="B6" s="1000"/>
      <c r="C6" s="793">
        <v>288</v>
      </c>
      <c r="D6" s="794">
        <f>SUMIFS($C$13:$DV$13,$C$9:$DV$9,C1,$C$12:$DV$12,C6)</f>
        <v>0</v>
      </c>
      <c r="E6" s="784"/>
      <c r="F6" s="784"/>
      <c r="G6" s="1000"/>
      <c r="H6" s="793">
        <v>288</v>
      </c>
      <c r="I6" s="794">
        <f>SUMIFS($C$13:$BD$13,$C$9:$BD$9,H1,$C$12:$BD$12,H6)</f>
        <v>0</v>
      </c>
      <c r="J6" s="784"/>
      <c r="K6" s="784"/>
      <c r="L6" s="1000"/>
      <c r="M6" s="793">
        <v>288</v>
      </c>
      <c r="N6" s="794">
        <f>SUMIFS($C$13:$BD$13,$C$9:$BD$9,M1,$C$12:$BD$12,M6)</f>
        <v>0</v>
      </c>
      <c r="U6" s="752"/>
    </row>
    <row r="7" spans="1:126" s="550" customFormat="1" ht="12.6" customHeight="1" x14ac:dyDescent="0.25">
      <c r="B7" s="1001"/>
      <c r="C7" s="905">
        <v>432</v>
      </c>
      <c r="D7" s="906">
        <f>SUMIFS($C$13:$DF$13,$C$9:$DF$9,C1,$C$12:$DF$12,C7)</f>
        <v>0</v>
      </c>
      <c r="E7" s="784"/>
      <c r="F7" s="784"/>
      <c r="G7" s="1001"/>
      <c r="H7" s="905">
        <v>432</v>
      </c>
      <c r="I7" s="906">
        <f>SUMIFS($C$13:$DF$13,$C$9:$DF$9,H1,$C$12:$DF$12,H7)</f>
        <v>0</v>
      </c>
      <c r="J7" s="784"/>
      <c r="K7" s="784"/>
      <c r="L7" s="1001"/>
      <c r="M7" s="905">
        <v>432</v>
      </c>
      <c r="N7" s="906">
        <f>SUMIFS($C$13:$DF$13,$C$9:$DF$9,M1,$C$12:$DF$12,M7)</f>
        <v>0</v>
      </c>
      <c r="U7" s="752"/>
    </row>
    <row r="8" spans="1:126" s="550" customFormat="1" x14ac:dyDescent="0.25">
      <c r="C8" s="551"/>
      <c r="D8" s="549"/>
      <c r="E8" s="551"/>
      <c r="U8" s="752"/>
      <c r="AQ8"/>
      <c r="AV8"/>
      <c r="BA8"/>
      <c r="BF8"/>
      <c r="BK8"/>
      <c r="BP8"/>
      <c r="BU8" s="797"/>
      <c r="BV8" s="798"/>
      <c r="BW8" s="798"/>
      <c r="BZ8"/>
      <c r="CE8"/>
      <c r="CJ8"/>
      <c r="CO8"/>
      <c r="CT8"/>
      <c r="CY8"/>
      <c r="DD8"/>
      <c r="DI8"/>
      <c r="DN8"/>
      <c r="DS8"/>
    </row>
    <row r="9" spans="1:126" customFormat="1" ht="15" customHeight="1" x14ac:dyDescent="0.25">
      <c r="A9" s="550"/>
      <c r="B9" s="799" t="s">
        <v>842</v>
      </c>
      <c r="C9" s="753" t="s">
        <v>838</v>
      </c>
      <c r="D9" s="754"/>
      <c r="E9" s="755"/>
      <c r="F9" s="550"/>
      <c r="G9" s="800" t="s">
        <v>843</v>
      </c>
      <c r="H9" s="756" t="s">
        <v>838</v>
      </c>
      <c r="I9" s="754"/>
      <c r="J9" s="755"/>
      <c r="K9" s="550"/>
      <c r="L9" s="800" t="s">
        <v>844</v>
      </c>
      <c r="M9" s="756" t="s">
        <v>838</v>
      </c>
      <c r="N9" s="754"/>
      <c r="O9" s="755"/>
      <c r="P9" s="550"/>
      <c r="Q9" s="800" t="s">
        <v>845</v>
      </c>
      <c r="R9" s="756" t="s">
        <v>838</v>
      </c>
      <c r="S9" s="754"/>
      <c r="T9" s="755"/>
      <c r="U9" s="752"/>
      <c r="V9" s="800" t="s">
        <v>846</v>
      </c>
      <c r="W9" s="756" t="s">
        <v>838</v>
      </c>
      <c r="X9" s="754"/>
      <c r="Y9" s="755"/>
      <c r="Z9" s="550"/>
      <c r="AA9" s="800" t="s">
        <v>847</v>
      </c>
      <c r="AB9" s="756" t="s">
        <v>838</v>
      </c>
      <c r="AC9" s="754"/>
      <c r="AD9" s="755"/>
      <c r="AE9" s="550"/>
      <c r="AF9" s="800" t="s">
        <v>848</v>
      </c>
      <c r="AG9" s="756" t="s">
        <v>838</v>
      </c>
      <c r="AH9" s="754"/>
      <c r="AI9" s="755"/>
      <c r="AJ9" s="550"/>
      <c r="AK9" s="800" t="s">
        <v>849</v>
      </c>
      <c r="AL9" s="756" t="s">
        <v>838</v>
      </c>
      <c r="AM9" s="754"/>
      <c r="AN9" s="755"/>
      <c r="AO9" s="550"/>
      <c r="AP9" s="800" t="s">
        <v>850</v>
      </c>
      <c r="AQ9" s="756" t="s">
        <v>838</v>
      </c>
      <c r="AR9" s="754"/>
      <c r="AS9" s="755"/>
      <c r="AT9" s="550"/>
      <c r="AU9" s="800" t="s">
        <v>851</v>
      </c>
      <c r="AV9" s="756" t="s">
        <v>838</v>
      </c>
      <c r="AW9" s="754"/>
      <c r="AX9" s="755"/>
      <c r="AY9" s="550"/>
      <c r="AZ9" s="800" t="s">
        <v>852</v>
      </c>
      <c r="BA9" s="756" t="s">
        <v>838</v>
      </c>
      <c r="BB9" s="754"/>
      <c r="BC9" s="755"/>
      <c r="BD9" s="550"/>
      <c r="BE9" s="800" t="s">
        <v>853</v>
      </c>
      <c r="BF9" s="756" t="s">
        <v>838</v>
      </c>
      <c r="BG9" s="754"/>
      <c r="BH9" s="755"/>
      <c r="BI9" s="550"/>
      <c r="BJ9" s="800" t="s">
        <v>854</v>
      </c>
      <c r="BK9" s="756" t="s">
        <v>838</v>
      </c>
      <c r="BL9" s="754"/>
      <c r="BM9" s="755"/>
      <c r="BN9" s="550"/>
      <c r="BO9" s="800" t="s">
        <v>855</v>
      </c>
      <c r="BP9" s="756" t="s">
        <v>838</v>
      </c>
      <c r="BQ9" s="754"/>
      <c r="BR9" s="755"/>
      <c r="BS9" s="550"/>
      <c r="BT9" s="800" t="s">
        <v>856</v>
      </c>
      <c r="BU9" s="756" t="s">
        <v>838</v>
      </c>
      <c r="BV9" s="754"/>
      <c r="BW9" s="755"/>
      <c r="BX9" s="550"/>
      <c r="BY9" s="800" t="s">
        <v>857</v>
      </c>
      <c r="BZ9" s="756" t="s">
        <v>838</v>
      </c>
      <c r="CA9" s="754"/>
      <c r="CB9" s="755"/>
      <c r="CC9" s="550"/>
      <c r="CD9" s="800" t="s">
        <v>858</v>
      </c>
      <c r="CE9" s="756" t="s">
        <v>838</v>
      </c>
      <c r="CF9" s="754"/>
      <c r="CG9" s="755"/>
      <c r="CH9" s="550"/>
      <c r="CI9" s="800" t="s">
        <v>859</v>
      </c>
      <c r="CJ9" s="756" t="s">
        <v>838</v>
      </c>
      <c r="CK9" s="754"/>
      <c r="CL9" s="755"/>
      <c r="CM9" s="550"/>
      <c r="CN9" s="800" t="s">
        <v>860</v>
      </c>
      <c r="CO9" s="756" t="s">
        <v>838</v>
      </c>
      <c r="CP9" s="754"/>
      <c r="CQ9" s="755"/>
      <c r="CR9" s="550"/>
      <c r="CS9" s="800" t="s">
        <v>861</v>
      </c>
      <c r="CT9" s="756" t="s">
        <v>838</v>
      </c>
      <c r="CU9" s="754"/>
      <c r="CV9" s="755"/>
      <c r="CW9" s="550"/>
      <c r="CX9" s="800" t="s">
        <v>862</v>
      </c>
      <c r="CY9" s="756" t="s">
        <v>838</v>
      </c>
      <c r="CZ9" s="754"/>
      <c r="DA9" s="755"/>
      <c r="DB9" s="550"/>
      <c r="DC9" s="800" t="s">
        <v>863</v>
      </c>
      <c r="DD9" s="756" t="s">
        <v>838</v>
      </c>
      <c r="DE9" s="754"/>
      <c r="DF9" s="755"/>
      <c r="DG9" s="550"/>
      <c r="DH9" s="800" t="s">
        <v>864</v>
      </c>
      <c r="DI9" s="756" t="s">
        <v>838</v>
      </c>
      <c r="DJ9" s="754"/>
      <c r="DK9" s="755"/>
      <c r="DL9" s="550"/>
      <c r="DM9" s="800" t="s">
        <v>865</v>
      </c>
      <c r="DN9" s="756"/>
      <c r="DO9" s="754"/>
      <c r="DP9" s="755"/>
      <c r="DQ9" s="550"/>
      <c r="DR9" s="800" t="s">
        <v>866</v>
      </c>
      <c r="DS9" s="756"/>
      <c r="DT9" s="754"/>
      <c r="DU9" s="755"/>
      <c r="DV9" s="550"/>
    </row>
    <row r="10" spans="1:126" customFormat="1" ht="15" customHeight="1" x14ac:dyDescent="0.25">
      <c r="A10" s="550"/>
      <c r="B10" s="801" t="s">
        <v>867</v>
      </c>
      <c r="C10" s="978" t="s">
        <v>1099</v>
      </c>
      <c r="D10" s="979"/>
      <c r="E10" s="980"/>
      <c r="F10" s="550"/>
      <c r="G10" s="801" t="s">
        <v>867</v>
      </c>
      <c r="H10" s="978" t="s">
        <v>1099</v>
      </c>
      <c r="I10" s="979"/>
      <c r="J10" s="980"/>
      <c r="K10" s="550"/>
      <c r="L10" s="801" t="s">
        <v>867</v>
      </c>
      <c r="M10" s="978" t="s">
        <v>1099</v>
      </c>
      <c r="N10" s="979"/>
      <c r="O10" s="980"/>
      <c r="P10" s="550"/>
      <c r="Q10" s="801" t="s">
        <v>867</v>
      </c>
      <c r="R10" s="978" t="s">
        <v>1099</v>
      </c>
      <c r="S10" s="979"/>
      <c r="T10" s="980"/>
      <c r="U10" s="802"/>
      <c r="V10" s="801" t="s">
        <v>867</v>
      </c>
      <c r="W10" s="978" t="s">
        <v>1099</v>
      </c>
      <c r="X10" s="979"/>
      <c r="Y10" s="980"/>
      <c r="Z10" s="550"/>
      <c r="AA10" s="801" t="s">
        <v>867</v>
      </c>
      <c r="AB10" s="984" t="s">
        <v>1101</v>
      </c>
      <c r="AC10" s="985"/>
      <c r="AD10" s="986"/>
      <c r="AE10" s="550"/>
      <c r="AF10" s="801" t="s">
        <v>867</v>
      </c>
      <c r="AG10" s="981" t="s">
        <v>1100</v>
      </c>
      <c r="AH10" s="982"/>
      <c r="AI10" s="983"/>
      <c r="AJ10" s="550"/>
      <c r="AK10" s="801" t="s">
        <v>867</v>
      </c>
      <c r="AL10" s="978" t="s">
        <v>1104</v>
      </c>
      <c r="AM10" s="979"/>
      <c r="AN10" s="980"/>
      <c r="AO10" s="550"/>
      <c r="AP10" s="801" t="s">
        <v>867</v>
      </c>
      <c r="AQ10" s="978" t="s">
        <v>1105</v>
      </c>
      <c r="AR10" s="979"/>
      <c r="AS10" s="980"/>
      <c r="AT10" s="550"/>
      <c r="AU10" s="801" t="s">
        <v>867</v>
      </c>
      <c r="AV10" s="978" t="s">
        <v>1104</v>
      </c>
      <c r="AW10" s="979"/>
      <c r="AX10" s="980"/>
      <c r="AY10" s="550"/>
      <c r="AZ10" s="801" t="s">
        <v>867</v>
      </c>
      <c r="BA10" s="978" t="s">
        <v>1109</v>
      </c>
      <c r="BB10" s="979"/>
      <c r="BC10" s="980"/>
      <c r="BD10" s="550"/>
      <c r="BE10" s="801" t="s">
        <v>867</v>
      </c>
      <c r="BF10" s="990"/>
      <c r="BG10" s="991"/>
      <c r="BH10" s="992"/>
      <c r="BI10" s="550"/>
      <c r="BJ10" s="801" t="s">
        <v>867</v>
      </c>
      <c r="BK10" s="984"/>
      <c r="BL10" s="985"/>
      <c r="BM10" s="986"/>
      <c r="BN10" s="550"/>
      <c r="BO10" s="801" t="s">
        <v>867</v>
      </c>
      <c r="BP10" s="990"/>
      <c r="BQ10" s="991"/>
      <c r="BR10" s="992"/>
      <c r="BS10" s="550"/>
      <c r="BT10" s="801" t="s">
        <v>867</v>
      </c>
      <c r="BU10" s="990"/>
      <c r="BV10" s="991"/>
      <c r="BW10" s="992"/>
      <c r="BX10" s="550"/>
      <c r="BY10" s="801" t="s">
        <v>867</v>
      </c>
      <c r="BZ10" s="990"/>
      <c r="CA10" s="991"/>
      <c r="CB10" s="992"/>
      <c r="CC10" s="550"/>
      <c r="CD10" s="801" t="s">
        <v>867</v>
      </c>
      <c r="CE10" s="990"/>
      <c r="CF10" s="991"/>
      <c r="CG10" s="992"/>
      <c r="CH10" s="550"/>
      <c r="CI10" s="801" t="s">
        <v>867</v>
      </c>
      <c r="CJ10" s="993"/>
      <c r="CK10" s="994"/>
      <c r="CL10" s="995"/>
      <c r="CM10" s="550"/>
      <c r="CN10" s="801" t="s">
        <v>867</v>
      </c>
      <c r="CO10" s="993"/>
      <c r="CP10" s="994"/>
      <c r="CQ10" s="995"/>
      <c r="CR10" s="550"/>
      <c r="CS10" s="801" t="s">
        <v>867</v>
      </c>
      <c r="CT10" s="993"/>
      <c r="CU10" s="994"/>
      <c r="CV10" s="995"/>
      <c r="CW10" s="550"/>
      <c r="CX10" s="801" t="s">
        <v>867</v>
      </c>
      <c r="CY10" s="993"/>
      <c r="CZ10" s="994"/>
      <c r="DA10" s="995"/>
      <c r="DB10" s="550"/>
      <c r="DC10" s="801" t="s">
        <v>867</v>
      </c>
      <c r="DD10" s="996"/>
      <c r="DE10" s="997"/>
      <c r="DF10" s="998"/>
      <c r="DG10" s="550"/>
      <c r="DH10" s="801" t="s">
        <v>867</v>
      </c>
      <c r="DI10" s="993"/>
      <c r="DJ10" s="994"/>
      <c r="DK10" s="995"/>
      <c r="DL10" s="550"/>
      <c r="DM10" s="801" t="s">
        <v>867</v>
      </c>
      <c r="DN10" s="996"/>
      <c r="DO10" s="997"/>
      <c r="DP10" s="998"/>
      <c r="DQ10" s="550"/>
      <c r="DR10" s="801" t="s">
        <v>867</v>
      </c>
      <c r="DS10" s="996"/>
      <c r="DT10" s="997"/>
      <c r="DU10" s="998"/>
      <c r="DV10" s="550"/>
    </row>
    <row r="11" spans="1:126" customFormat="1" ht="15" customHeight="1" x14ac:dyDescent="0.25">
      <c r="A11" s="550"/>
      <c r="B11" s="801" t="s">
        <v>868</v>
      </c>
      <c r="C11" s="981" t="s">
        <v>1100</v>
      </c>
      <c r="D11" s="982"/>
      <c r="E11" s="983"/>
      <c r="F11" s="550"/>
      <c r="G11" s="801" t="s">
        <v>868</v>
      </c>
      <c r="H11" s="981" t="s">
        <v>1103</v>
      </c>
      <c r="I11" s="982"/>
      <c r="J11" s="983"/>
      <c r="K11" s="550"/>
      <c r="L11" s="801" t="s">
        <v>868</v>
      </c>
      <c r="M11" s="981" t="s">
        <v>1100</v>
      </c>
      <c r="N11" s="982"/>
      <c r="O11" s="983"/>
      <c r="P11" s="550"/>
      <c r="Q11" s="801" t="s">
        <v>868</v>
      </c>
      <c r="R11" s="978" t="s">
        <v>1104</v>
      </c>
      <c r="S11" s="979"/>
      <c r="T11" s="980"/>
      <c r="U11" s="802"/>
      <c r="V11" s="801" t="s">
        <v>868</v>
      </c>
      <c r="W11" s="981" t="s">
        <v>1103</v>
      </c>
      <c r="X11" s="982"/>
      <c r="Y11" s="983"/>
      <c r="Z11" s="550"/>
      <c r="AA11" s="801" t="s">
        <v>868</v>
      </c>
      <c r="AB11" s="987" t="s">
        <v>1102</v>
      </c>
      <c r="AC11" s="988"/>
      <c r="AD11" s="989"/>
      <c r="AE11" s="550"/>
      <c r="AF11" s="801" t="s">
        <v>868</v>
      </c>
      <c r="AG11" s="981" t="s">
        <v>1100</v>
      </c>
      <c r="AH11" s="982"/>
      <c r="AI11" s="983"/>
      <c r="AJ11" s="550"/>
      <c r="AK11" s="801" t="s">
        <v>868</v>
      </c>
      <c r="AL11" s="978" t="s">
        <v>1105</v>
      </c>
      <c r="AM11" s="979"/>
      <c r="AN11" s="980"/>
      <c r="AO11" s="550"/>
      <c r="AP11" s="801" t="s">
        <v>868</v>
      </c>
      <c r="AQ11" s="978" t="s">
        <v>1106</v>
      </c>
      <c r="AR11" s="979"/>
      <c r="AS11" s="980"/>
      <c r="AT11" s="550"/>
      <c r="AU11" s="801" t="s">
        <v>868</v>
      </c>
      <c r="AV11" s="978" t="s">
        <v>1107</v>
      </c>
      <c r="AW11" s="979"/>
      <c r="AX11" s="980"/>
      <c r="AY11" s="550"/>
      <c r="AZ11" s="801" t="s">
        <v>868</v>
      </c>
      <c r="BA11" s="978" t="s">
        <v>1108</v>
      </c>
      <c r="BB11" s="979"/>
      <c r="BC11" s="980"/>
      <c r="BD11" s="550"/>
      <c r="BE11" s="801" t="s">
        <v>868</v>
      </c>
      <c r="BF11" s="996"/>
      <c r="BG11" s="997"/>
      <c r="BH11" s="998"/>
      <c r="BI11" s="550"/>
      <c r="BJ11" s="801" t="s">
        <v>868</v>
      </c>
      <c r="BK11" s="987"/>
      <c r="BL11" s="988"/>
      <c r="BM11" s="989"/>
      <c r="BN11" s="550"/>
      <c r="BO11" s="801" t="s">
        <v>868</v>
      </c>
      <c r="BP11" s="996"/>
      <c r="BQ11" s="997"/>
      <c r="BR11" s="998"/>
      <c r="BS11" s="550"/>
      <c r="BT11" s="801" t="s">
        <v>868</v>
      </c>
      <c r="BU11" s="996"/>
      <c r="BV11" s="997"/>
      <c r="BW11" s="998"/>
      <c r="BX11" s="550"/>
      <c r="BY11" s="801" t="s">
        <v>868</v>
      </c>
      <c r="BZ11" s="996"/>
      <c r="CA11" s="997"/>
      <c r="CB11" s="998"/>
      <c r="CC11" s="550"/>
      <c r="CD11" s="801" t="s">
        <v>868</v>
      </c>
      <c r="CE11" s="990"/>
      <c r="CF11" s="991"/>
      <c r="CG11" s="992"/>
      <c r="CH11" s="550"/>
      <c r="CI11" s="801" t="s">
        <v>868</v>
      </c>
      <c r="CJ11" s="996"/>
      <c r="CK11" s="997"/>
      <c r="CL11" s="998"/>
      <c r="CM11" s="550"/>
      <c r="CN11" s="801" t="s">
        <v>868</v>
      </c>
      <c r="CO11" s="996"/>
      <c r="CP11" s="997"/>
      <c r="CQ11" s="998"/>
      <c r="CR11" s="550"/>
      <c r="CS11" s="801" t="s">
        <v>868</v>
      </c>
      <c r="CT11" s="993"/>
      <c r="CU11" s="994"/>
      <c r="CV11" s="995"/>
      <c r="CW11" s="550"/>
      <c r="CX11" s="801" t="s">
        <v>868</v>
      </c>
      <c r="CY11" s="993"/>
      <c r="CZ11" s="994"/>
      <c r="DA11" s="995"/>
      <c r="DB11" s="550"/>
      <c r="DC11" s="801" t="s">
        <v>868</v>
      </c>
      <c r="DD11" s="996"/>
      <c r="DE11" s="997"/>
      <c r="DF11" s="998"/>
      <c r="DG11" s="550"/>
      <c r="DH11" s="801" t="s">
        <v>868</v>
      </c>
      <c r="DI11" s="993"/>
      <c r="DJ11" s="994"/>
      <c r="DK11" s="995"/>
      <c r="DL11" s="550"/>
      <c r="DM11" s="801" t="s">
        <v>868</v>
      </c>
      <c r="DN11" s="996"/>
      <c r="DO11" s="997"/>
      <c r="DP11" s="998"/>
      <c r="DQ11" s="550"/>
      <c r="DR11" s="801" t="s">
        <v>868</v>
      </c>
      <c r="DS11" s="996"/>
      <c r="DT11" s="997"/>
      <c r="DU11" s="998"/>
      <c r="DV11" s="550"/>
    </row>
    <row r="12" spans="1:126" x14ac:dyDescent="0.25">
      <c r="A12" s="803"/>
      <c r="B12" s="758" t="s">
        <v>869</v>
      </c>
      <c r="C12" s="759">
        <v>96</v>
      </c>
      <c r="D12" s="760"/>
      <c r="E12" s="761"/>
      <c r="F12" s="762"/>
      <c r="G12" s="758" t="s">
        <v>869</v>
      </c>
      <c r="H12" s="759">
        <v>144</v>
      </c>
      <c r="I12" s="760"/>
      <c r="J12" s="804"/>
      <c r="K12" s="803"/>
      <c r="L12" s="758" t="s">
        <v>869</v>
      </c>
      <c r="M12" s="759">
        <v>144</v>
      </c>
      <c r="N12" s="760"/>
      <c r="O12" s="804"/>
      <c r="P12" s="803"/>
      <c r="Q12" s="758" t="s">
        <v>869</v>
      </c>
      <c r="R12" s="759">
        <v>144</v>
      </c>
      <c r="S12" s="760"/>
      <c r="T12" s="805"/>
      <c r="U12" s="806"/>
      <c r="V12" s="758" t="s">
        <v>869</v>
      </c>
      <c r="W12" s="759">
        <v>144</v>
      </c>
      <c r="X12" s="760"/>
      <c r="Y12" s="805"/>
      <c r="Z12" s="803"/>
      <c r="AA12" s="758" t="s">
        <v>869</v>
      </c>
      <c r="AB12" s="759">
        <v>48</v>
      </c>
      <c r="AC12" s="760"/>
      <c r="AD12" s="805"/>
      <c r="AE12" s="803"/>
      <c r="AF12" s="758" t="s">
        <v>869</v>
      </c>
      <c r="AG12" s="759">
        <v>48</v>
      </c>
      <c r="AH12" s="760"/>
      <c r="AI12" s="805"/>
      <c r="AJ12" s="803"/>
      <c r="AK12" s="758" t="s">
        <v>869</v>
      </c>
      <c r="AL12" s="759">
        <v>96</v>
      </c>
      <c r="AM12" s="760"/>
      <c r="AN12" s="805"/>
      <c r="AO12" s="803"/>
      <c r="AP12" s="758" t="s">
        <v>869</v>
      </c>
      <c r="AQ12" s="759">
        <v>48</v>
      </c>
      <c r="AR12" s="760"/>
      <c r="AS12" s="805"/>
      <c r="AT12" s="803"/>
      <c r="AU12" s="758" t="s">
        <v>869</v>
      </c>
      <c r="AV12" s="759">
        <v>48</v>
      </c>
      <c r="AW12" s="760"/>
      <c r="AX12" s="805"/>
      <c r="AY12" s="803"/>
      <c r="AZ12" s="758" t="s">
        <v>869</v>
      </c>
      <c r="BA12" s="759">
        <v>48</v>
      </c>
      <c r="BB12" s="760"/>
      <c r="BC12" s="805"/>
      <c r="BD12" s="803"/>
      <c r="BE12" s="758" t="s">
        <v>869</v>
      </c>
      <c r="BF12" s="759"/>
      <c r="BG12" s="760"/>
      <c r="BH12" s="805"/>
      <c r="BI12" s="803"/>
      <c r="BJ12" s="758" t="s">
        <v>869</v>
      </c>
      <c r="BK12" s="759"/>
      <c r="BL12" s="760"/>
      <c r="BM12" s="805"/>
      <c r="BN12" s="803"/>
      <c r="BO12" s="758" t="s">
        <v>869</v>
      </c>
      <c r="BP12" s="759"/>
      <c r="BQ12" s="760"/>
      <c r="BR12" s="805"/>
      <c r="BS12" s="803"/>
      <c r="BT12" s="758" t="s">
        <v>869</v>
      </c>
      <c r="BU12" s="759"/>
      <c r="BV12" s="760"/>
      <c r="BW12" s="805"/>
      <c r="BX12" s="803"/>
      <c r="BY12" s="758" t="s">
        <v>869</v>
      </c>
      <c r="BZ12" s="759"/>
      <c r="CA12" s="760"/>
      <c r="CB12" s="805"/>
      <c r="CC12" s="803"/>
      <c r="CD12" s="758" t="s">
        <v>869</v>
      </c>
      <c r="CE12" s="759"/>
      <c r="CF12" s="760"/>
      <c r="CG12" s="805"/>
      <c r="CH12" s="803"/>
      <c r="CI12" s="758" t="s">
        <v>869</v>
      </c>
      <c r="CJ12" s="759"/>
      <c r="CK12" s="760"/>
      <c r="CL12" s="805"/>
      <c r="CM12" s="803"/>
      <c r="CN12" s="758" t="s">
        <v>869</v>
      </c>
      <c r="CO12" s="759"/>
      <c r="CP12" s="760"/>
      <c r="CQ12" s="805"/>
      <c r="CR12" s="803"/>
      <c r="CS12" s="758" t="s">
        <v>869</v>
      </c>
      <c r="CT12" s="759"/>
      <c r="CU12" s="760"/>
      <c r="CV12" s="805"/>
      <c r="CW12" s="803"/>
      <c r="CX12" s="758" t="s">
        <v>869</v>
      </c>
      <c r="CY12" s="759"/>
      <c r="CZ12" s="760"/>
      <c r="DA12" s="805"/>
      <c r="DB12" s="803"/>
      <c r="DC12" s="758" t="s">
        <v>869</v>
      </c>
      <c r="DD12" s="759"/>
      <c r="DE12" s="760"/>
      <c r="DF12" s="805"/>
      <c r="DG12" s="803"/>
      <c r="DH12" s="758" t="s">
        <v>869</v>
      </c>
      <c r="DI12" s="759"/>
      <c r="DJ12" s="760"/>
      <c r="DK12" s="805"/>
      <c r="DL12" s="803"/>
      <c r="DM12" s="758" t="s">
        <v>869</v>
      </c>
      <c r="DN12" s="759"/>
      <c r="DO12" s="760"/>
      <c r="DP12" s="805"/>
      <c r="DQ12" s="803"/>
      <c r="DR12" s="758" t="s">
        <v>869</v>
      </c>
      <c r="DS12" s="759"/>
      <c r="DT12" s="760"/>
      <c r="DU12" s="805"/>
      <c r="DV12" s="803"/>
    </row>
    <row r="13" spans="1:126" customFormat="1" x14ac:dyDescent="0.25">
      <c r="A13" s="550"/>
      <c r="B13" s="807" t="s">
        <v>73</v>
      </c>
      <c r="C13" s="808">
        <f>SUM(C15:E201)</f>
        <v>2588</v>
      </c>
      <c r="D13" s="809"/>
      <c r="E13" s="810"/>
      <c r="F13" s="798"/>
      <c r="G13" s="807" t="s">
        <v>73</v>
      </c>
      <c r="H13" s="808">
        <f>SUM(H15:J201)</f>
        <v>1433</v>
      </c>
      <c r="I13" s="811"/>
      <c r="J13" s="765"/>
      <c r="K13" s="550"/>
      <c r="L13" s="807" t="s">
        <v>73</v>
      </c>
      <c r="M13" s="808">
        <f>SUM(M15:O201)</f>
        <v>2831</v>
      </c>
      <c r="N13" s="811"/>
      <c r="O13" s="765"/>
      <c r="P13" s="550"/>
      <c r="Q13" s="807" t="s">
        <v>73</v>
      </c>
      <c r="R13" s="808">
        <f>SUM(R15:T201)</f>
        <v>301</v>
      </c>
      <c r="S13" s="811"/>
      <c r="T13" s="765"/>
      <c r="U13" s="752"/>
      <c r="V13" s="807" t="s">
        <v>73</v>
      </c>
      <c r="W13" s="808">
        <f>SUM(W15:Y201)</f>
        <v>1433</v>
      </c>
      <c r="X13" s="811"/>
      <c r="Y13" s="765"/>
      <c r="Z13" s="550"/>
      <c r="AA13" s="807" t="s">
        <v>73</v>
      </c>
      <c r="AB13" s="808">
        <f>SUM(AB15:AD201)</f>
        <v>610</v>
      </c>
      <c r="AC13" s="811"/>
      <c r="AD13" s="765"/>
      <c r="AE13" s="550"/>
      <c r="AF13" s="807" t="s">
        <v>73</v>
      </c>
      <c r="AG13" s="808">
        <f>SUM(AG15:AI201)</f>
        <v>293</v>
      </c>
      <c r="AH13" s="811"/>
      <c r="AI13" s="765"/>
      <c r="AJ13" s="550"/>
      <c r="AK13" s="807" t="s">
        <v>73</v>
      </c>
      <c r="AL13" s="808">
        <f>SUM(AL15:AN201)</f>
        <v>806</v>
      </c>
      <c r="AM13" s="811"/>
      <c r="AN13" s="765"/>
      <c r="AO13" s="550"/>
      <c r="AP13" s="807" t="s">
        <v>73</v>
      </c>
      <c r="AQ13" s="808">
        <f>SUM(AQ15:AS201)</f>
        <v>1207</v>
      </c>
      <c r="AR13" s="811"/>
      <c r="AS13" s="765"/>
      <c r="AT13" s="550"/>
      <c r="AU13" s="807" t="s">
        <v>73</v>
      </c>
      <c r="AV13" s="808">
        <f>SUM(AV15:AX201)</f>
        <v>2590</v>
      </c>
      <c r="AW13" s="811"/>
      <c r="AX13" s="765"/>
      <c r="AY13" s="550"/>
      <c r="AZ13" s="807" t="s">
        <v>73</v>
      </c>
      <c r="BA13" s="808">
        <f>SUM(BA15:BC201)</f>
        <v>3227</v>
      </c>
      <c r="BB13" s="811"/>
      <c r="BC13" s="765"/>
      <c r="BD13" s="550"/>
      <c r="BE13" s="807" t="s">
        <v>73</v>
      </c>
      <c r="BF13" s="808">
        <f>SUM(BF15:BH201)</f>
        <v>0</v>
      </c>
      <c r="BG13" s="811"/>
      <c r="BH13" s="765"/>
      <c r="BI13" s="550"/>
      <c r="BJ13" s="807" t="s">
        <v>73</v>
      </c>
      <c r="BK13" s="808">
        <f>SUM(BK15:BM201)</f>
        <v>0</v>
      </c>
      <c r="BL13" s="811"/>
      <c r="BM13" s="765"/>
      <c r="BN13" s="550"/>
      <c r="BO13" s="807" t="s">
        <v>73</v>
      </c>
      <c r="BP13" s="808">
        <f>SUM(BP15:BR201)</f>
        <v>0</v>
      </c>
      <c r="BQ13" s="811"/>
      <c r="BR13" s="765"/>
      <c r="BS13" s="550"/>
      <c r="BT13" s="807" t="s">
        <v>73</v>
      </c>
      <c r="BU13" s="808">
        <f>SUM(BU15:BW201)</f>
        <v>0</v>
      </c>
      <c r="BV13" s="811"/>
      <c r="BW13" s="765"/>
      <c r="BX13" s="550"/>
      <c r="BY13" s="807" t="s">
        <v>73</v>
      </c>
      <c r="BZ13" s="808">
        <f>SUM(BZ15:CB201)</f>
        <v>0</v>
      </c>
      <c r="CA13" s="811"/>
      <c r="CB13" s="765"/>
      <c r="CC13" s="550"/>
      <c r="CD13" s="807" t="s">
        <v>73</v>
      </c>
      <c r="CE13" s="808">
        <f>SUM(CE15:CG201)</f>
        <v>0</v>
      </c>
      <c r="CF13" s="811"/>
      <c r="CG13" s="765"/>
      <c r="CH13" s="550"/>
      <c r="CI13" s="807" t="s">
        <v>73</v>
      </c>
      <c r="CJ13" s="808">
        <f>SUM(CJ15:CL201)</f>
        <v>0</v>
      </c>
      <c r="CK13" s="811"/>
      <c r="CL13" s="765"/>
      <c r="CM13" s="550"/>
      <c r="CN13" s="807" t="s">
        <v>73</v>
      </c>
      <c r="CO13" s="808">
        <f>SUM(CO15:CQ201)</f>
        <v>0</v>
      </c>
      <c r="CP13" s="811"/>
      <c r="CQ13" s="765"/>
      <c r="CR13" s="550"/>
      <c r="CS13" s="807" t="s">
        <v>73</v>
      </c>
      <c r="CT13" s="808">
        <f>SUM(CT15:CV201)</f>
        <v>0</v>
      </c>
      <c r="CU13" s="811"/>
      <c r="CV13" s="765"/>
      <c r="CW13" s="550"/>
      <c r="CX13" s="807" t="s">
        <v>73</v>
      </c>
      <c r="CY13" s="808">
        <f>SUM(CY15:DA201)</f>
        <v>0</v>
      </c>
      <c r="CZ13" s="811"/>
      <c r="DA13" s="765"/>
      <c r="DB13" s="550"/>
      <c r="DC13" s="807" t="s">
        <v>73</v>
      </c>
      <c r="DD13" s="808">
        <f>SUM(DD15:DF201)</f>
        <v>0</v>
      </c>
      <c r="DE13" s="811"/>
      <c r="DF13" s="765"/>
      <c r="DG13" s="550"/>
      <c r="DH13" s="807" t="s">
        <v>73</v>
      </c>
      <c r="DI13" s="808">
        <f>SUM(DI15:DK201)</f>
        <v>0</v>
      </c>
      <c r="DJ13" s="811"/>
      <c r="DK13" s="765"/>
      <c r="DL13" s="550"/>
      <c r="DM13" s="807" t="s">
        <v>73</v>
      </c>
      <c r="DN13" s="808">
        <f>SUM(DN15:DP201)</f>
        <v>0</v>
      </c>
      <c r="DO13" s="811"/>
      <c r="DP13" s="765"/>
      <c r="DQ13" s="550"/>
      <c r="DR13" s="807" t="s">
        <v>73</v>
      </c>
      <c r="DS13" s="808">
        <f>SUM(DS15:DU201)</f>
        <v>0</v>
      </c>
      <c r="DT13" s="811"/>
      <c r="DU13" s="765"/>
      <c r="DV13" s="550"/>
    </row>
    <row r="14" spans="1:126" s="192" customFormat="1" x14ac:dyDescent="0.25">
      <c r="A14" s="551"/>
      <c r="B14" s="552"/>
      <c r="C14" s="812" t="s">
        <v>870</v>
      </c>
      <c r="D14" s="812" t="s">
        <v>871</v>
      </c>
      <c r="E14" s="812" t="s">
        <v>872</v>
      </c>
      <c r="F14" s="813"/>
      <c r="G14" s="766"/>
      <c r="H14" s="814" t="s">
        <v>870</v>
      </c>
      <c r="I14" s="815" t="s">
        <v>871</v>
      </c>
      <c r="J14" s="816" t="s">
        <v>872</v>
      </c>
      <c r="K14" s="551"/>
      <c r="L14" s="766"/>
      <c r="M14" s="814" t="s">
        <v>870</v>
      </c>
      <c r="N14" s="815" t="s">
        <v>871</v>
      </c>
      <c r="O14" s="816" t="s">
        <v>872</v>
      </c>
      <c r="P14" s="551"/>
      <c r="Q14" s="767"/>
      <c r="R14" s="817" t="s">
        <v>870</v>
      </c>
      <c r="S14" s="815" t="s">
        <v>871</v>
      </c>
      <c r="T14" s="816" t="s">
        <v>872</v>
      </c>
      <c r="U14" s="818"/>
      <c r="V14" s="767"/>
      <c r="W14" s="814" t="s">
        <v>870</v>
      </c>
      <c r="X14" s="815" t="s">
        <v>871</v>
      </c>
      <c r="Y14" s="816" t="s">
        <v>872</v>
      </c>
      <c r="Z14" s="551"/>
      <c r="AA14" s="767"/>
      <c r="AB14" s="814" t="s">
        <v>870</v>
      </c>
      <c r="AC14" s="815" t="s">
        <v>871</v>
      </c>
      <c r="AD14" s="816" t="s">
        <v>872</v>
      </c>
      <c r="AE14" s="551"/>
      <c r="AF14" s="767"/>
      <c r="AG14" s="814" t="s">
        <v>870</v>
      </c>
      <c r="AH14" s="815" t="s">
        <v>871</v>
      </c>
      <c r="AI14" s="816" t="s">
        <v>872</v>
      </c>
      <c r="AJ14" s="551"/>
      <c r="AK14" s="767"/>
      <c r="AL14" s="814" t="s">
        <v>870</v>
      </c>
      <c r="AM14" s="815" t="s">
        <v>871</v>
      </c>
      <c r="AN14" s="816" t="s">
        <v>872</v>
      </c>
      <c r="AO14" s="551"/>
      <c r="AP14" s="767"/>
      <c r="AQ14" s="814" t="s">
        <v>870</v>
      </c>
      <c r="AR14" s="815" t="s">
        <v>871</v>
      </c>
      <c r="AS14" s="816" t="s">
        <v>872</v>
      </c>
      <c r="AT14" s="551"/>
      <c r="AU14" s="767"/>
      <c r="AV14" s="814" t="s">
        <v>870</v>
      </c>
      <c r="AW14" s="815" t="s">
        <v>871</v>
      </c>
      <c r="AX14" s="816" t="s">
        <v>872</v>
      </c>
      <c r="AY14" s="551"/>
      <c r="AZ14" s="767"/>
      <c r="BA14" s="814" t="s">
        <v>870</v>
      </c>
      <c r="BB14" s="819" t="s">
        <v>871</v>
      </c>
      <c r="BC14" s="816" t="s">
        <v>872</v>
      </c>
      <c r="BD14" s="551"/>
      <c r="BE14" s="767"/>
      <c r="BF14" s="814" t="s">
        <v>870</v>
      </c>
      <c r="BG14" s="815" t="s">
        <v>871</v>
      </c>
      <c r="BH14" s="816" t="s">
        <v>872</v>
      </c>
      <c r="BI14" s="551"/>
      <c r="BJ14" s="767"/>
      <c r="BK14" s="814" t="s">
        <v>870</v>
      </c>
      <c r="BL14" s="815" t="s">
        <v>871</v>
      </c>
      <c r="BM14" s="816" t="s">
        <v>872</v>
      </c>
      <c r="BN14" s="551"/>
      <c r="BO14" s="767"/>
      <c r="BP14" s="814" t="s">
        <v>870</v>
      </c>
      <c r="BQ14" s="815" t="s">
        <v>871</v>
      </c>
      <c r="BR14" s="816" t="s">
        <v>872</v>
      </c>
      <c r="BS14" s="551"/>
      <c r="BT14" s="767"/>
      <c r="BU14" s="814" t="s">
        <v>870</v>
      </c>
      <c r="BV14" s="815" t="s">
        <v>871</v>
      </c>
      <c r="BW14" s="816" t="s">
        <v>872</v>
      </c>
      <c r="BX14" s="551"/>
      <c r="BY14" s="767"/>
      <c r="BZ14" s="814" t="s">
        <v>870</v>
      </c>
      <c r="CA14" s="815" t="s">
        <v>871</v>
      </c>
      <c r="CB14" s="816" t="s">
        <v>872</v>
      </c>
      <c r="CC14" s="551"/>
      <c r="CD14" s="767"/>
      <c r="CE14" s="814" t="s">
        <v>870</v>
      </c>
      <c r="CF14" s="815" t="s">
        <v>871</v>
      </c>
      <c r="CG14" s="816" t="s">
        <v>872</v>
      </c>
      <c r="CH14" s="551"/>
      <c r="CI14" s="767"/>
      <c r="CJ14" s="814" t="s">
        <v>870</v>
      </c>
      <c r="CK14" s="815" t="s">
        <v>871</v>
      </c>
      <c r="CL14" s="816" t="s">
        <v>872</v>
      </c>
      <c r="CM14" s="551"/>
      <c r="CN14" s="767"/>
      <c r="CO14" s="814" t="s">
        <v>870</v>
      </c>
      <c r="CP14" s="815" t="s">
        <v>871</v>
      </c>
      <c r="CQ14" s="816" t="s">
        <v>872</v>
      </c>
      <c r="CR14" s="551"/>
      <c r="CS14" s="767"/>
      <c r="CT14" s="814" t="s">
        <v>870</v>
      </c>
      <c r="CU14" s="815" t="s">
        <v>871</v>
      </c>
      <c r="CV14" s="816" t="s">
        <v>872</v>
      </c>
      <c r="CW14" s="551"/>
      <c r="CX14" s="767"/>
      <c r="CY14" s="814" t="s">
        <v>870</v>
      </c>
      <c r="CZ14" s="815" t="s">
        <v>871</v>
      </c>
      <c r="DA14" s="816" t="s">
        <v>872</v>
      </c>
      <c r="DB14" s="551"/>
      <c r="DC14" s="767"/>
      <c r="DD14" s="814" t="s">
        <v>870</v>
      </c>
      <c r="DE14" s="815" t="s">
        <v>871</v>
      </c>
      <c r="DF14" s="816" t="s">
        <v>872</v>
      </c>
      <c r="DG14" s="551"/>
      <c r="DH14" s="767"/>
      <c r="DI14" s="814" t="s">
        <v>870</v>
      </c>
      <c r="DJ14" s="815" t="s">
        <v>871</v>
      </c>
      <c r="DK14" s="816" t="s">
        <v>872</v>
      </c>
      <c r="DL14" s="551"/>
      <c r="DM14" s="767"/>
      <c r="DN14" s="814" t="s">
        <v>870</v>
      </c>
      <c r="DO14" s="815" t="s">
        <v>871</v>
      </c>
      <c r="DP14" s="816" t="s">
        <v>872</v>
      </c>
      <c r="DQ14" s="551"/>
      <c r="DR14" s="767"/>
      <c r="DS14" s="814" t="s">
        <v>870</v>
      </c>
      <c r="DT14" s="815" t="s">
        <v>871</v>
      </c>
      <c r="DU14" s="816" t="s">
        <v>872</v>
      </c>
      <c r="DV14" s="551"/>
    </row>
    <row r="15" spans="1:126" x14ac:dyDescent="0.25">
      <c r="A15" s="803"/>
      <c r="B15" s="803"/>
      <c r="C15" s="820">
        <v>0</v>
      </c>
      <c r="D15" s="821">
        <v>50</v>
      </c>
      <c r="E15" s="822"/>
      <c r="F15" s="823"/>
      <c r="G15" s="824"/>
      <c r="H15" s="820">
        <v>0</v>
      </c>
      <c r="I15" s="821">
        <v>50</v>
      </c>
      <c r="J15" s="822"/>
      <c r="K15" s="823"/>
      <c r="L15" s="824"/>
      <c r="M15" s="820">
        <v>0</v>
      </c>
      <c r="N15" s="821">
        <v>50</v>
      </c>
      <c r="O15" s="822"/>
      <c r="P15" s="823"/>
      <c r="Q15" s="824"/>
      <c r="R15" s="820">
        <v>0</v>
      </c>
      <c r="S15" s="825">
        <v>50</v>
      </c>
      <c r="T15" s="826"/>
      <c r="U15" s="827"/>
      <c r="V15" s="824"/>
      <c r="W15" s="820">
        <v>0</v>
      </c>
      <c r="X15" s="821">
        <v>50</v>
      </c>
      <c r="Y15" s="822"/>
      <c r="Z15" s="823"/>
      <c r="AA15" s="824"/>
      <c r="AB15" s="828">
        <v>0</v>
      </c>
      <c r="AC15" s="821">
        <v>50</v>
      </c>
      <c r="AD15" s="822"/>
      <c r="AE15" s="803"/>
      <c r="AF15" s="824"/>
      <c r="AG15" s="820">
        <v>0</v>
      </c>
      <c r="AH15" s="821">
        <v>50</v>
      </c>
      <c r="AI15" s="822"/>
      <c r="AJ15" s="803"/>
      <c r="AK15" s="824"/>
      <c r="AL15" s="820">
        <v>0</v>
      </c>
      <c r="AM15" s="821">
        <v>50</v>
      </c>
      <c r="AN15" s="822"/>
      <c r="AO15" s="803"/>
      <c r="AP15" s="824"/>
      <c r="AQ15" s="820">
        <v>0</v>
      </c>
      <c r="AR15" s="821">
        <v>50</v>
      </c>
      <c r="AS15" s="822"/>
      <c r="AT15" s="803"/>
      <c r="AU15" s="824"/>
      <c r="AV15" s="820">
        <v>0</v>
      </c>
      <c r="AW15" s="821">
        <v>50</v>
      </c>
      <c r="AX15" s="822"/>
      <c r="AY15" s="803"/>
      <c r="AZ15" s="824"/>
      <c r="BA15" s="820">
        <v>0</v>
      </c>
      <c r="BB15" s="821"/>
      <c r="BC15" s="822"/>
      <c r="BD15" s="803"/>
      <c r="BE15" s="824"/>
      <c r="BF15" s="820"/>
      <c r="BG15" s="821"/>
      <c r="BH15" s="822"/>
      <c r="BI15" s="803"/>
      <c r="BJ15" s="824"/>
      <c r="BK15" s="820"/>
      <c r="BL15" s="821"/>
      <c r="BM15" s="822"/>
      <c r="BN15" s="803"/>
      <c r="BO15" s="824"/>
      <c r="BP15" s="820"/>
      <c r="BQ15" s="821"/>
      <c r="BR15" s="822"/>
      <c r="BS15" s="803"/>
      <c r="BT15" s="824"/>
      <c r="BU15" s="820"/>
      <c r="BV15" s="821"/>
      <c r="BW15" s="822"/>
      <c r="BX15" s="803"/>
      <c r="BY15" s="824"/>
      <c r="BZ15" s="820"/>
      <c r="CA15" s="821"/>
      <c r="CB15" s="822"/>
      <c r="CC15" s="803"/>
      <c r="CD15" s="824"/>
      <c r="CE15" s="820"/>
      <c r="CF15" s="821"/>
      <c r="CG15" s="822"/>
      <c r="CH15" s="803"/>
      <c r="CI15" s="824"/>
      <c r="CJ15" s="820"/>
      <c r="CK15" s="821"/>
      <c r="CL15" s="822"/>
      <c r="CM15" s="803"/>
      <c r="CN15" s="823"/>
      <c r="CO15" s="820"/>
      <c r="CP15" s="821"/>
      <c r="CQ15" s="822"/>
      <c r="CR15" s="803"/>
      <c r="CS15" s="823"/>
      <c r="CT15" s="820"/>
      <c r="CU15" s="821"/>
      <c r="CV15" s="822"/>
      <c r="CW15" s="803"/>
      <c r="CX15" s="823"/>
      <c r="CY15" s="820"/>
      <c r="CZ15" s="821"/>
      <c r="DA15" s="822"/>
      <c r="DB15" s="803"/>
      <c r="DC15" s="823"/>
      <c r="DD15" s="829"/>
      <c r="DE15" s="821"/>
      <c r="DF15" s="822"/>
      <c r="DG15" s="803"/>
      <c r="DH15" s="823"/>
      <c r="DI15" s="829"/>
      <c r="DJ15" s="821"/>
      <c r="DK15" s="822"/>
      <c r="DL15" s="803"/>
      <c r="DM15" s="823"/>
      <c r="DN15" s="977"/>
      <c r="DO15" s="821"/>
      <c r="DP15" s="822"/>
      <c r="DQ15" s="803"/>
      <c r="DR15" s="823"/>
      <c r="DS15" s="977"/>
      <c r="DT15" s="821"/>
      <c r="DU15" s="822"/>
      <c r="DV15" s="803"/>
    </row>
    <row r="16" spans="1:126" x14ac:dyDescent="0.25">
      <c r="A16" s="803"/>
      <c r="B16" s="803"/>
      <c r="C16" s="829">
        <v>459</v>
      </c>
      <c r="D16" s="821">
        <v>15</v>
      </c>
      <c r="E16" s="822"/>
      <c r="F16" s="823"/>
      <c r="G16" s="824"/>
      <c r="H16" s="923">
        <v>102</v>
      </c>
      <c r="I16" s="821">
        <v>15</v>
      </c>
      <c r="J16" s="822"/>
      <c r="K16" s="823"/>
      <c r="L16" s="824"/>
      <c r="M16" s="923">
        <v>459</v>
      </c>
      <c r="N16" s="821">
        <v>15</v>
      </c>
      <c r="O16" s="822"/>
      <c r="P16" s="823"/>
      <c r="Q16" s="824"/>
      <c r="R16" s="829">
        <v>201</v>
      </c>
      <c r="S16" s="821">
        <v>50</v>
      </c>
      <c r="T16" s="822"/>
      <c r="U16" s="827"/>
      <c r="V16" s="824"/>
      <c r="W16" s="923">
        <v>102</v>
      </c>
      <c r="X16" s="821">
        <v>15</v>
      </c>
      <c r="Y16" s="822"/>
      <c r="Z16" s="823"/>
      <c r="AA16" s="824"/>
      <c r="AB16" s="828">
        <v>269</v>
      </c>
      <c r="AC16" s="821">
        <v>15</v>
      </c>
      <c r="AD16" s="822"/>
      <c r="AE16" s="803"/>
      <c r="AF16" s="824"/>
      <c r="AG16" s="829">
        <v>228</v>
      </c>
      <c r="AH16" s="821">
        <v>15</v>
      </c>
      <c r="AI16" s="822"/>
      <c r="AJ16" s="803"/>
      <c r="AK16" s="824"/>
      <c r="AL16" s="829">
        <v>105</v>
      </c>
      <c r="AM16" s="821">
        <v>15</v>
      </c>
      <c r="AN16" s="822"/>
      <c r="AO16" s="803"/>
      <c r="AP16" s="824"/>
      <c r="AQ16" s="829">
        <v>356</v>
      </c>
      <c r="AR16" s="821">
        <v>15</v>
      </c>
      <c r="AS16" s="822"/>
      <c r="AT16" s="803"/>
      <c r="AU16" s="824"/>
      <c r="AV16" s="829">
        <v>323</v>
      </c>
      <c r="AW16" s="821">
        <v>15</v>
      </c>
      <c r="AX16" s="822"/>
      <c r="AY16" s="803"/>
      <c r="AZ16" s="824"/>
      <c r="BA16" s="829">
        <v>273</v>
      </c>
      <c r="BB16" s="821"/>
      <c r="BC16" s="822"/>
      <c r="BD16" s="830"/>
      <c r="BE16" s="824"/>
      <c r="BF16" s="829"/>
      <c r="BG16" s="821"/>
      <c r="BH16" s="822"/>
      <c r="BI16" s="803"/>
      <c r="BJ16" s="824"/>
      <c r="BK16" s="829"/>
      <c r="BL16" s="821"/>
      <c r="BM16" s="822"/>
      <c r="BN16" s="803"/>
      <c r="BO16" s="824"/>
      <c r="BP16" s="829"/>
      <c r="BQ16" s="821"/>
      <c r="BR16" s="822"/>
      <c r="BS16" s="803"/>
      <c r="BT16" s="824"/>
      <c r="BU16" s="829"/>
      <c r="BV16" s="821"/>
      <c r="BW16" s="822"/>
      <c r="BX16" s="803"/>
      <c r="BY16" s="824"/>
      <c r="BZ16" s="829"/>
      <c r="CA16" s="821"/>
      <c r="CB16" s="822"/>
      <c r="CC16" s="803"/>
      <c r="CD16" s="824"/>
      <c r="CE16" s="829"/>
      <c r="CF16" s="821"/>
      <c r="CG16" s="822"/>
      <c r="CH16" s="803"/>
      <c r="CI16" s="824"/>
      <c r="CJ16" s="829"/>
      <c r="CK16" s="821"/>
      <c r="CL16" s="822"/>
      <c r="CM16" s="803"/>
      <c r="CN16" s="823"/>
      <c r="CO16" s="829"/>
      <c r="CP16" s="821"/>
      <c r="CQ16" s="822"/>
      <c r="CR16" s="803"/>
      <c r="CS16" s="823"/>
      <c r="CT16" s="829"/>
      <c r="CU16" s="821"/>
      <c r="CV16" s="822"/>
      <c r="CW16" s="803"/>
      <c r="CX16" s="823"/>
      <c r="CY16" s="829"/>
      <c r="CZ16" s="821"/>
      <c r="DA16" s="822"/>
      <c r="DB16" s="803"/>
      <c r="DC16" s="823"/>
      <c r="DD16" s="829"/>
      <c r="DE16" s="821"/>
      <c r="DF16" s="822"/>
      <c r="DG16" s="803"/>
      <c r="DH16" s="823"/>
      <c r="DI16" s="829"/>
      <c r="DJ16" s="821"/>
      <c r="DK16" s="822"/>
      <c r="DL16" s="803"/>
      <c r="DM16" s="823"/>
      <c r="DN16" s="977"/>
      <c r="DO16" s="821"/>
      <c r="DP16" s="822"/>
      <c r="DQ16" s="803"/>
      <c r="DR16" s="823"/>
      <c r="DS16" s="977"/>
      <c r="DT16" s="821"/>
      <c r="DU16" s="822"/>
      <c r="DV16" s="803"/>
    </row>
    <row r="17" spans="1:126" x14ac:dyDescent="0.25">
      <c r="A17" s="803"/>
      <c r="B17" s="803"/>
      <c r="C17" s="828">
        <v>404</v>
      </c>
      <c r="D17" s="821">
        <v>15</v>
      </c>
      <c r="E17" s="822"/>
      <c r="F17" s="823"/>
      <c r="G17" s="824"/>
      <c r="H17" s="828">
        <v>323</v>
      </c>
      <c r="I17" s="821">
        <v>15</v>
      </c>
      <c r="J17" s="822"/>
      <c r="K17" s="823"/>
      <c r="L17" s="824"/>
      <c r="M17" s="828">
        <v>404</v>
      </c>
      <c r="N17" s="821">
        <v>15</v>
      </c>
      <c r="O17" s="822"/>
      <c r="P17" s="823"/>
      <c r="Q17" s="824"/>
      <c r="R17" s="828"/>
      <c r="S17" s="821"/>
      <c r="T17" s="822"/>
      <c r="U17" s="827"/>
      <c r="V17" s="824"/>
      <c r="W17" s="828">
        <v>323</v>
      </c>
      <c r="X17" s="821">
        <v>15</v>
      </c>
      <c r="Y17" s="822"/>
      <c r="Z17" s="823"/>
      <c r="AA17" s="824"/>
      <c r="AB17" s="828">
        <v>261</v>
      </c>
      <c r="AC17" s="821">
        <v>15</v>
      </c>
      <c r="AD17" s="822"/>
      <c r="AE17" s="803"/>
      <c r="AF17" s="824"/>
      <c r="AG17" s="828"/>
      <c r="AH17" s="821"/>
      <c r="AI17" s="822"/>
      <c r="AJ17" s="803"/>
      <c r="AK17" s="824"/>
      <c r="AL17" s="828">
        <v>586</v>
      </c>
      <c r="AM17" s="821">
        <v>50</v>
      </c>
      <c r="AN17" s="822"/>
      <c r="AO17" s="803"/>
      <c r="AP17" s="824"/>
      <c r="AQ17" s="828">
        <v>342</v>
      </c>
      <c r="AR17" s="821">
        <v>15</v>
      </c>
      <c r="AS17" s="822"/>
      <c r="AT17" s="803"/>
      <c r="AU17" s="824"/>
      <c r="AV17" s="828">
        <v>213</v>
      </c>
      <c r="AW17" s="821">
        <v>15</v>
      </c>
      <c r="AX17" s="822"/>
      <c r="AY17" s="803"/>
      <c r="AZ17" s="824"/>
      <c r="BA17" s="828">
        <v>500</v>
      </c>
      <c r="BB17" s="821"/>
      <c r="BC17" s="822"/>
      <c r="BD17" s="803"/>
      <c r="BE17" s="824"/>
      <c r="BF17" s="828"/>
      <c r="BG17" s="821"/>
      <c r="BH17" s="822"/>
      <c r="BI17" s="803"/>
      <c r="BJ17" s="824"/>
      <c r="BK17" s="829"/>
      <c r="BL17" s="821"/>
      <c r="BM17" s="822"/>
      <c r="BN17" s="803"/>
      <c r="BO17" s="824"/>
      <c r="BP17" s="828"/>
      <c r="BQ17" s="821"/>
      <c r="BR17" s="822"/>
      <c r="BS17" s="803"/>
      <c r="BT17" s="824"/>
      <c r="BU17" s="828"/>
      <c r="BV17" s="821"/>
      <c r="BW17" s="822"/>
      <c r="BX17" s="803"/>
      <c r="BY17" s="824"/>
      <c r="BZ17" s="828"/>
      <c r="CA17" s="821"/>
      <c r="CB17" s="822"/>
      <c r="CC17" s="803"/>
      <c r="CD17" s="824"/>
      <c r="CE17" s="828"/>
      <c r="CF17" s="821"/>
      <c r="CG17" s="822"/>
      <c r="CH17" s="803"/>
      <c r="CI17" s="824"/>
      <c r="CJ17" s="828"/>
      <c r="CK17" s="821"/>
      <c r="CL17" s="822"/>
      <c r="CM17" s="803"/>
      <c r="CN17" s="823"/>
      <c r="CO17" s="828"/>
      <c r="CP17" s="821"/>
      <c r="CQ17" s="822"/>
      <c r="CR17" s="803"/>
      <c r="CS17" s="823"/>
      <c r="CT17" s="828"/>
      <c r="CU17" s="821"/>
      <c r="CV17" s="822"/>
      <c r="CW17" s="803"/>
      <c r="CX17" s="823"/>
      <c r="CY17" s="828"/>
      <c r="CZ17" s="821"/>
      <c r="DA17" s="822"/>
      <c r="DB17" s="803"/>
      <c r="DC17" s="823"/>
      <c r="DD17" s="828"/>
      <c r="DE17" s="821"/>
      <c r="DF17" s="822"/>
      <c r="DG17" s="803"/>
      <c r="DH17" s="823"/>
      <c r="DI17" s="977"/>
      <c r="DJ17" s="821"/>
      <c r="DK17" s="822"/>
      <c r="DL17" s="803"/>
      <c r="DM17" s="823"/>
      <c r="DN17" s="828"/>
      <c r="DO17" s="821"/>
      <c r="DP17" s="822"/>
      <c r="DQ17" s="803"/>
      <c r="DR17" s="823"/>
      <c r="DS17" s="977"/>
      <c r="DT17" s="821"/>
      <c r="DU17" s="822"/>
      <c r="DV17" s="803"/>
    </row>
    <row r="18" spans="1:126" ht="15" customHeight="1" x14ac:dyDescent="0.25">
      <c r="C18" s="828">
        <v>461</v>
      </c>
      <c r="D18" s="821">
        <v>15</v>
      </c>
      <c r="E18" s="822"/>
      <c r="F18" s="823"/>
      <c r="G18" s="824"/>
      <c r="H18" s="828">
        <v>434</v>
      </c>
      <c r="I18" s="821">
        <v>15</v>
      </c>
      <c r="J18" s="822"/>
      <c r="K18" s="823"/>
      <c r="L18" s="824"/>
      <c r="M18" s="828">
        <v>461</v>
      </c>
      <c r="N18" s="821">
        <v>15</v>
      </c>
      <c r="O18" s="822"/>
      <c r="P18" s="823"/>
      <c r="Q18" s="824"/>
      <c r="R18" s="828"/>
      <c r="S18" s="821"/>
      <c r="T18" s="822"/>
      <c r="U18" s="827"/>
      <c r="V18" s="824"/>
      <c r="W18" s="828">
        <v>434</v>
      </c>
      <c r="X18" s="821">
        <v>15</v>
      </c>
      <c r="Y18" s="822"/>
      <c r="Z18" s="823"/>
      <c r="AA18" s="824"/>
      <c r="AB18" s="828"/>
      <c r="AC18" s="821"/>
      <c r="AD18" s="822"/>
      <c r="AE18" s="803"/>
      <c r="AF18" s="824"/>
      <c r="AG18" s="828"/>
      <c r="AH18" s="821"/>
      <c r="AI18" s="822"/>
      <c r="AJ18" s="803"/>
      <c r="AK18" s="824"/>
      <c r="AL18" s="829"/>
      <c r="AM18" s="821"/>
      <c r="AN18" s="822"/>
      <c r="AO18" s="803"/>
      <c r="AP18" s="824"/>
      <c r="AQ18" s="828">
        <v>414</v>
      </c>
      <c r="AR18" s="821">
        <v>15</v>
      </c>
      <c r="AS18" s="822"/>
      <c r="AT18" s="803"/>
      <c r="AU18" s="824"/>
      <c r="AV18" s="828">
        <v>420</v>
      </c>
      <c r="AW18" s="821">
        <v>15</v>
      </c>
      <c r="AX18" s="822"/>
      <c r="AY18" s="803"/>
      <c r="AZ18" s="824"/>
      <c r="BA18" s="828">
        <v>499</v>
      </c>
      <c r="BB18" s="821"/>
      <c r="BC18" s="822"/>
      <c r="BD18" s="803"/>
      <c r="BE18" s="823"/>
      <c r="BF18" s="828"/>
      <c r="BG18" s="821"/>
      <c r="BH18" s="822"/>
      <c r="BI18" s="803"/>
      <c r="BJ18" s="824"/>
      <c r="BK18" s="829"/>
      <c r="BL18" s="821"/>
      <c r="BM18" s="822"/>
      <c r="BN18" s="803"/>
      <c r="BO18" s="824"/>
      <c r="BP18" s="828"/>
      <c r="BQ18" s="821"/>
      <c r="BR18" s="822"/>
      <c r="BS18" s="803"/>
      <c r="BT18" s="824"/>
      <c r="BU18" s="828"/>
      <c r="BV18" s="821"/>
      <c r="BW18" s="822"/>
      <c r="BX18" s="803"/>
      <c r="BY18" s="824"/>
      <c r="BZ18" s="828"/>
      <c r="CA18" s="821"/>
      <c r="CB18" s="822"/>
      <c r="CC18" s="803"/>
      <c r="CD18" s="824"/>
      <c r="CE18" s="828"/>
      <c r="CF18" s="821"/>
      <c r="CG18" s="822"/>
      <c r="CH18" s="803"/>
      <c r="CI18" s="824"/>
      <c r="CJ18" s="829"/>
      <c r="CK18" s="821"/>
      <c r="CL18" s="822"/>
      <c r="CM18" s="803"/>
      <c r="CN18" s="823"/>
      <c r="CO18" s="828"/>
      <c r="CP18" s="821"/>
      <c r="CQ18" s="822"/>
      <c r="CR18" s="803"/>
      <c r="CS18" s="823"/>
      <c r="CT18" s="828"/>
      <c r="CU18" s="821"/>
      <c r="CV18" s="822"/>
      <c r="CW18" s="803"/>
      <c r="CX18" s="823"/>
      <c r="CY18" s="828"/>
      <c r="CZ18" s="821"/>
      <c r="DA18" s="822"/>
      <c r="DB18" s="803"/>
      <c r="DC18" s="823"/>
      <c r="DD18" s="828"/>
      <c r="DE18" s="821"/>
      <c r="DF18" s="822"/>
      <c r="DG18" s="803"/>
      <c r="DH18" s="823"/>
      <c r="DI18" s="977"/>
      <c r="DJ18" s="821"/>
      <c r="DK18" s="822"/>
      <c r="DL18" s="803"/>
      <c r="DM18" s="823"/>
      <c r="DN18" s="828"/>
      <c r="DO18" s="821"/>
      <c r="DP18" s="822"/>
      <c r="DQ18" s="803"/>
      <c r="DR18" s="823"/>
      <c r="DS18" s="977"/>
      <c r="DT18" s="821"/>
      <c r="DU18" s="822"/>
    </row>
    <row r="19" spans="1:126" x14ac:dyDescent="0.25">
      <c r="C19" s="828">
        <v>39</v>
      </c>
      <c r="D19" s="821">
        <v>50</v>
      </c>
      <c r="E19" s="822"/>
      <c r="F19" s="823"/>
      <c r="G19" s="824"/>
      <c r="H19" s="828">
        <v>163</v>
      </c>
      <c r="I19" s="821">
        <v>50</v>
      </c>
      <c r="J19" s="822"/>
      <c r="K19" s="823"/>
      <c r="L19" s="824"/>
      <c r="M19" s="828">
        <v>39</v>
      </c>
      <c r="N19" s="821">
        <v>50</v>
      </c>
      <c r="O19" s="822"/>
      <c r="P19" s="823"/>
      <c r="Q19" s="824"/>
      <c r="R19" s="828"/>
      <c r="S19" s="821"/>
      <c r="T19" s="822"/>
      <c r="U19" s="827"/>
      <c r="V19" s="824"/>
      <c r="W19" s="828">
        <v>163</v>
      </c>
      <c r="X19" s="821">
        <v>50</v>
      </c>
      <c r="Y19" s="822"/>
      <c r="Z19" s="823"/>
      <c r="AA19" s="824"/>
      <c r="AB19" s="828"/>
      <c r="AC19" s="821"/>
      <c r="AD19" s="822"/>
      <c r="AE19" s="803"/>
      <c r="AF19" s="824"/>
      <c r="AG19" s="828"/>
      <c r="AH19" s="821"/>
      <c r="AI19" s="822"/>
      <c r="AJ19" s="803"/>
      <c r="AK19" s="824"/>
      <c r="AL19" s="829"/>
      <c r="AM19" s="821"/>
      <c r="AN19" s="822"/>
      <c r="AO19" s="803"/>
      <c r="AP19" s="824"/>
      <c r="AQ19" s="828"/>
      <c r="AR19" s="821"/>
      <c r="AS19" s="822"/>
      <c r="AT19" s="803"/>
      <c r="AU19" s="824"/>
      <c r="AV19" s="828">
        <v>373</v>
      </c>
      <c r="AW19" s="821">
        <v>15</v>
      </c>
      <c r="AX19" s="822"/>
      <c r="AY19" s="803"/>
      <c r="AZ19" s="824"/>
      <c r="BA19" s="828">
        <v>538</v>
      </c>
      <c r="BB19" s="821"/>
      <c r="BC19" s="822"/>
      <c r="BD19" s="803"/>
      <c r="BE19" s="823"/>
      <c r="BF19" s="828"/>
      <c r="BG19" s="821"/>
      <c r="BH19" s="822"/>
      <c r="BI19" s="803"/>
      <c r="BJ19" s="824"/>
      <c r="BK19" s="828"/>
      <c r="BL19" s="821"/>
      <c r="BM19" s="822"/>
      <c r="BN19" s="803"/>
      <c r="BO19" s="824"/>
      <c r="BP19" s="828"/>
      <c r="BQ19" s="821"/>
      <c r="BR19" s="822"/>
      <c r="BS19" s="803"/>
      <c r="BT19" s="824"/>
      <c r="BU19" s="828"/>
      <c r="BV19" s="821"/>
      <c r="BW19" s="822"/>
      <c r="BX19" s="803"/>
      <c r="BY19" s="824"/>
      <c r="BZ19" s="828"/>
      <c r="CA19" s="821"/>
      <c r="CB19" s="822"/>
      <c r="CC19" s="803"/>
      <c r="CD19" s="824"/>
      <c r="CE19" s="828"/>
      <c r="CF19" s="821"/>
      <c r="CG19" s="822"/>
      <c r="CH19" s="803"/>
      <c r="CI19" s="824"/>
      <c r="CJ19" s="829"/>
      <c r="CK19" s="821"/>
      <c r="CL19" s="822"/>
      <c r="CM19" s="803"/>
      <c r="CN19" s="823"/>
      <c r="CO19" s="829"/>
      <c r="CP19" s="821"/>
      <c r="CQ19" s="822"/>
      <c r="CR19" s="803"/>
      <c r="CS19" s="823"/>
      <c r="CT19" s="977"/>
      <c r="CU19" s="821"/>
      <c r="CV19" s="822"/>
      <c r="CW19" s="803"/>
      <c r="CX19" s="823"/>
      <c r="CY19" s="828"/>
      <c r="CZ19" s="821"/>
      <c r="DA19" s="822"/>
      <c r="DB19" s="803"/>
      <c r="DC19" s="823"/>
      <c r="DD19" s="828"/>
      <c r="DE19" s="821"/>
      <c r="DF19" s="822"/>
      <c r="DG19" s="803"/>
      <c r="DH19" s="823"/>
      <c r="DI19" s="828"/>
      <c r="DJ19" s="821"/>
      <c r="DK19" s="822"/>
      <c r="DL19" s="803"/>
      <c r="DM19" s="823"/>
      <c r="DN19" s="828"/>
      <c r="DO19" s="821"/>
      <c r="DP19" s="822"/>
      <c r="DQ19" s="803"/>
      <c r="DR19" s="823"/>
      <c r="DS19" s="828"/>
      <c r="DT19" s="821"/>
      <c r="DU19" s="822"/>
    </row>
    <row r="20" spans="1:126" x14ac:dyDescent="0.25">
      <c r="C20" s="828">
        <v>109</v>
      </c>
      <c r="D20" s="821">
        <v>50</v>
      </c>
      <c r="E20" s="822"/>
      <c r="F20" s="823"/>
      <c r="G20" s="824"/>
      <c r="H20" s="828">
        <v>251</v>
      </c>
      <c r="I20" s="821">
        <v>15</v>
      </c>
      <c r="J20" s="822"/>
      <c r="K20" s="823"/>
      <c r="L20" s="824"/>
      <c r="M20" s="828">
        <v>109</v>
      </c>
      <c r="N20" s="821">
        <v>50</v>
      </c>
      <c r="O20" s="822"/>
      <c r="P20" s="823"/>
      <c r="Q20" s="824"/>
      <c r="R20" s="828"/>
      <c r="S20" s="821"/>
      <c r="T20" s="822"/>
      <c r="U20" s="827"/>
      <c r="V20" s="824"/>
      <c r="W20" s="828">
        <v>251</v>
      </c>
      <c r="X20" s="821">
        <v>15</v>
      </c>
      <c r="Y20" s="822"/>
      <c r="Z20" s="823"/>
      <c r="AA20" s="824"/>
      <c r="AB20" s="828"/>
      <c r="AC20" s="821"/>
      <c r="AD20" s="822"/>
      <c r="AE20" s="803"/>
      <c r="AF20" s="824"/>
      <c r="AG20" s="828"/>
      <c r="AH20" s="821"/>
      <c r="AI20" s="822"/>
      <c r="AJ20" s="803"/>
      <c r="AK20" s="824"/>
      <c r="AL20" s="828"/>
      <c r="AM20" s="821"/>
      <c r="AN20" s="822"/>
      <c r="AO20" s="803"/>
      <c r="AP20" s="824"/>
      <c r="AQ20" s="828"/>
      <c r="AR20" s="821"/>
      <c r="AS20" s="822"/>
      <c r="AT20" s="803"/>
      <c r="AU20" s="824"/>
      <c r="AV20" s="828">
        <v>360</v>
      </c>
      <c r="AW20" s="821">
        <v>15</v>
      </c>
      <c r="AX20" s="822"/>
      <c r="AY20" s="803"/>
      <c r="AZ20" s="824"/>
      <c r="BA20" s="828">
        <v>374</v>
      </c>
      <c r="BB20" s="821"/>
      <c r="BC20" s="822"/>
      <c r="BD20" s="803"/>
      <c r="BE20" s="830"/>
      <c r="BF20" s="828"/>
      <c r="BG20" s="821"/>
      <c r="BH20" s="822"/>
      <c r="BI20" s="803"/>
      <c r="BJ20" s="831"/>
      <c r="BK20" s="829"/>
      <c r="BL20" s="821"/>
      <c r="BM20" s="822"/>
      <c r="BN20" s="803"/>
      <c r="BO20" s="831"/>
      <c r="BP20" s="828"/>
      <c r="BQ20" s="821"/>
      <c r="BR20" s="822"/>
      <c r="BS20" s="803"/>
      <c r="BT20" s="831"/>
      <c r="BU20" s="828"/>
      <c r="BV20" s="821"/>
      <c r="BW20" s="822"/>
      <c r="BX20" s="803"/>
      <c r="BY20" s="831"/>
      <c r="BZ20" s="828"/>
      <c r="CA20" s="821"/>
      <c r="CB20" s="822"/>
      <c r="CC20" s="803"/>
      <c r="CD20" s="831"/>
      <c r="CE20" s="828"/>
      <c r="CF20" s="821"/>
      <c r="CG20" s="822"/>
      <c r="CH20" s="803"/>
      <c r="CI20" s="831"/>
      <c r="CJ20" s="828"/>
      <c r="CK20" s="821"/>
      <c r="CL20" s="822"/>
      <c r="CM20" s="803"/>
      <c r="CN20" s="830"/>
      <c r="CO20" s="829"/>
      <c r="CP20" s="821"/>
      <c r="CQ20" s="822"/>
      <c r="CR20" s="803"/>
      <c r="CS20" s="830"/>
      <c r="CT20" s="977"/>
      <c r="CU20" s="821"/>
      <c r="CV20" s="822"/>
      <c r="CW20" s="803"/>
      <c r="CX20" s="830"/>
      <c r="CY20" s="828"/>
      <c r="CZ20" s="821"/>
      <c r="DA20" s="822"/>
      <c r="DB20" s="803"/>
      <c r="DC20" s="830"/>
      <c r="DD20" s="828"/>
      <c r="DE20" s="821"/>
      <c r="DF20" s="822"/>
      <c r="DG20" s="803"/>
      <c r="DH20" s="830"/>
      <c r="DI20" s="828"/>
      <c r="DJ20" s="821"/>
      <c r="DK20" s="822"/>
      <c r="DL20" s="803"/>
      <c r="DM20" s="830"/>
      <c r="DN20" s="828"/>
      <c r="DO20" s="821"/>
      <c r="DP20" s="822"/>
      <c r="DQ20" s="803"/>
      <c r="DR20" s="830"/>
      <c r="DS20" s="828"/>
      <c r="DT20" s="821"/>
      <c r="DU20" s="822"/>
    </row>
    <row r="21" spans="1:126" x14ac:dyDescent="0.25">
      <c r="C21" s="828">
        <v>285</v>
      </c>
      <c r="D21" s="821">
        <v>50</v>
      </c>
      <c r="E21" s="822"/>
      <c r="F21" s="823"/>
      <c r="G21" s="824"/>
      <c r="H21" s="828"/>
      <c r="I21" s="821"/>
      <c r="J21" s="822"/>
      <c r="K21" s="823"/>
      <c r="L21" s="824"/>
      <c r="M21" s="828">
        <v>285</v>
      </c>
      <c r="N21" s="821">
        <v>50</v>
      </c>
      <c r="O21" s="822"/>
      <c r="P21" s="823"/>
      <c r="Q21" s="824"/>
      <c r="R21" s="828"/>
      <c r="S21" s="821"/>
      <c r="T21" s="822"/>
      <c r="U21" s="827"/>
      <c r="V21" s="824"/>
      <c r="W21" s="828"/>
      <c r="X21" s="821"/>
      <c r="Y21" s="822"/>
      <c r="Z21" s="823"/>
      <c r="AA21" s="824"/>
      <c r="AB21" s="828"/>
      <c r="AC21" s="821"/>
      <c r="AD21" s="822"/>
      <c r="AE21" s="803"/>
      <c r="AF21" s="824"/>
      <c r="AG21" s="832"/>
      <c r="AH21" s="821"/>
      <c r="AI21" s="822"/>
      <c r="AJ21" s="803"/>
      <c r="AK21" s="824"/>
      <c r="AL21" s="828"/>
      <c r="AM21" s="821"/>
      <c r="AN21" s="822"/>
      <c r="AO21" s="803"/>
      <c r="AP21" s="824"/>
      <c r="AQ21" s="977"/>
      <c r="AR21" s="821"/>
      <c r="AS21" s="822"/>
      <c r="AT21" s="803"/>
      <c r="AU21" s="824"/>
      <c r="AV21" s="828">
        <v>761</v>
      </c>
      <c r="AW21" s="821">
        <v>15</v>
      </c>
      <c r="AX21" s="822"/>
      <c r="AY21" s="803"/>
      <c r="AZ21" s="824"/>
      <c r="BA21" s="828">
        <v>313</v>
      </c>
      <c r="BB21" s="821"/>
      <c r="BC21" s="822"/>
      <c r="BD21" s="803"/>
      <c r="BE21" s="830"/>
      <c r="BF21" s="828"/>
      <c r="BG21" s="821"/>
      <c r="BH21" s="822"/>
      <c r="BI21" s="803"/>
      <c r="BJ21" s="830"/>
      <c r="BK21" s="829"/>
      <c r="BL21" s="821"/>
      <c r="BM21" s="822"/>
      <c r="BN21" s="803"/>
      <c r="BO21" s="830"/>
      <c r="BP21" s="828"/>
      <c r="BQ21" s="821"/>
      <c r="BR21" s="822"/>
      <c r="BS21" s="803"/>
      <c r="BT21" s="830"/>
      <c r="BU21" s="828"/>
      <c r="BV21" s="821"/>
      <c r="BW21" s="833"/>
      <c r="BX21" s="803"/>
      <c r="BY21" s="830"/>
      <c r="BZ21" s="828"/>
      <c r="CA21" s="821"/>
      <c r="CB21" s="822"/>
      <c r="CC21" s="803"/>
      <c r="CD21" s="830"/>
      <c r="CE21" s="828"/>
      <c r="CF21" s="821"/>
      <c r="CG21" s="822"/>
      <c r="CH21" s="803"/>
      <c r="CI21" s="830"/>
      <c r="CJ21" s="828"/>
      <c r="CK21" s="821"/>
      <c r="CL21" s="822"/>
      <c r="CM21" s="803"/>
      <c r="CN21" s="830"/>
      <c r="CO21" s="828"/>
      <c r="CP21" s="821"/>
      <c r="CQ21" s="822"/>
      <c r="CR21" s="803"/>
      <c r="CS21" s="830"/>
      <c r="CT21" s="828"/>
      <c r="CU21" s="821"/>
      <c r="CV21" s="822"/>
      <c r="CW21" s="803"/>
      <c r="CX21" s="830"/>
      <c r="CY21" s="828"/>
      <c r="CZ21" s="821"/>
      <c r="DA21" s="822"/>
      <c r="DB21" s="803"/>
      <c r="DC21" s="830"/>
      <c r="DD21" s="828"/>
      <c r="DE21" s="821"/>
      <c r="DF21" s="822"/>
      <c r="DG21" s="803"/>
      <c r="DH21" s="830"/>
      <c r="DI21" s="828"/>
      <c r="DJ21" s="821"/>
      <c r="DK21" s="822"/>
      <c r="DL21" s="803"/>
      <c r="DM21" s="830"/>
      <c r="DN21" s="828"/>
      <c r="DO21" s="821"/>
      <c r="DP21" s="822"/>
      <c r="DQ21" s="803"/>
      <c r="DR21" s="830"/>
      <c r="DS21" s="977"/>
      <c r="DT21" s="821"/>
      <c r="DU21" s="822"/>
    </row>
    <row r="22" spans="1:126" x14ac:dyDescent="0.25">
      <c r="C22" s="828">
        <v>242</v>
      </c>
      <c r="D22" s="821">
        <v>15</v>
      </c>
      <c r="E22" s="822"/>
      <c r="F22" s="768"/>
      <c r="G22" s="769"/>
      <c r="H22" s="828"/>
      <c r="I22" s="821"/>
      <c r="J22" s="822"/>
      <c r="K22" s="768"/>
      <c r="L22" s="769"/>
      <c r="M22" s="828">
        <v>242</v>
      </c>
      <c r="N22" s="821">
        <v>15</v>
      </c>
      <c r="O22" s="822"/>
      <c r="P22" s="768"/>
      <c r="Q22" s="769"/>
      <c r="R22" s="828"/>
      <c r="S22" s="821"/>
      <c r="T22" s="822"/>
      <c r="U22" s="827"/>
      <c r="V22" s="824"/>
      <c r="W22" s="828"/>
      <c r="X22" s="821"/>
      <c r="Y22" s="822"/>
      <c r="Z22" s="770"/>
      <c r="AA22" s="771"/>
      <c r="AB22" s="828"/>
      <c r="AC22" s="821"/>
      <c r="AD22" s="822"/>
      <c r="AE22" s="803"/>
      <c r="AF22" s="824"/>
      <c r="AG22" s="832"/>
      <c r="AH22" s="821"/>
      <c r="AI22" s="822"/>
      <c r="AJ22" s="803"/>
      <c r="AK22" s="824"/>
      <c r="AL22" s="829"/>
      <c r="AM22" s="821"/>
      <c r="AN22" s="822"/>
      <c r="AO22" s="803"/>
      <c r="AP22" s="824"/>
      <c r="AQ22" s="977"/>
      <c r="AR22" s="821"/>
      <c r="AS22" s="822"/>
      <c r="AT22" s="803"/>
      <c r="AU22" s="824"/>
      <c r="AV22" s="828"/>
      <c r="AW22" s="821"/>
      <c r="AX22" s="822"/>
      <c r="AY22" s="803"/>
      <c r="AZ22" s="824"/>
      <c r="BA22" s="828">
        <v>388</v>
      </c>
      <c r="BB22" s="821"/>
      <c r="BC22" s="822"/>
      <c r="BD22" s="803"/>
      <c r="BE22" s="830"/>
      <c r="BF22" s="828"/>
      <c r="BG22" s="821"/>
      <c r="BH22" s="822"/>
      <c r="BI22" s="803"/>
      <c r="BJ22" s="834"/>
      <c r="BK22" s="828"/>
      <c r="BL22" s="821"/>
      <c r="BM22" s="822"/>
      <c r="BN22" s="803"/>
      <c r="BO22" s="834"/>
      <c r="BP22" s="828"/>
      <c r="BQ22" s="821"/>
      <c r="BR22" s="822"/>
      <c r="BS22" s="803"/>
      <c r="BT22" s="834"/>
      <c r="BU22" s="828"/>
      <c r="BV22" s="821"/>
      <c r="BW22" s="833"/>
      <c r="BX22" s="803"/>
      <c r="BY22" s="834"/>
      <c r="BZ22" s="828"/>
      <c r="CA22" s="821"/>
      <c r="CB22" s="822"/>
      <c r="CC22" s="803"/>
      <c r="CD22" s="834"/>
      <c r="CE22" s="828"/>
      <c r="CF22" s="821"/>
      <c r="CG22" s="833"/>
      <c r="CH22" s="803"/>
      <c r="CI22" s="835"/>
      <c r="CJ22" s="829"/>
      <c r="CK22" s="821"/>
      <c r="CL22" s="822"/>
      <c r="CM22" s="803"/>
      <c r="CN22" s="830"/>
      <c r="CO22" s="828"/>
      <c r="CP22" s="821"/>
      <c r="CQ22" s="822"/>
      <c r="CR22" s="803"/>
      <c r="CS22" s="830"/>
      <c r="CT22" s="977"/>
      <c r="CU22" s="821"/>
      <c r="CV22" s="822"/>
      <c r="CW22" s="803"/>
      <c r="CX22" s="830"/>
      <c r="CY22" s="828"/>
      <c r="CZ22" s="821"/>
      <c r="DA22" s="822"/>
      <c r="DB22" s="803"/>
      <c r="DC22" s="830"/>
      <c r="DD22" s="828"/>
      <c r="DE22" s="821"/>
      <c r="DF22" s="822"/>
      <c r="DG22" s="803"/>
      <c r="DH22" s="830"/>
      <c r="DI22" s="828"/>
      <c r="DJ22" s="821"/>
      <c r="DK22" s="822"/>
      <c r="DL22" s="803"/>
      <c r="DM22" s="830"/>
      <c r="DN22" s="828"/>
      <c r="DO22" s="821"/>
      <c r="DP22" s="822"/>
      <c r="DQ22" s="803"/>
      <c r="DR22" s="830"/>
      <c r="DS22" s="977"/>
      <c r="DT22" s="821"/>
      <c r="DU22" s="822"/>
    </row>
    <row r="23" spans="1:126" x14ac:dyDescent="0.25">
      <c r="C23" s="828">
        <v>314</v>
      </c>
      <c r="D23" s="821">
        <v>15</v>
      </c>
      <c r="E23" s="822"/>
      <c r="F23" s="823"/>
      <c r="G23" s="824"/>
      <c r="H23" s="828"/>
      <c r="I23" s="821"/>
      <c r="J23" s="822"/>
      <c r="K23" s="823"/>
      <c r="L23" s="824"/>
      <c r="M23" s="828">
        <v>314</v>
      </c>
      <c r="N23" s="821">
        <v>15</v>
      </c>
      <c r="O23" s="822"/>
      <c r="P23" s="823"/>
      <c r="Q23" s="824"/>
      <c r="R23" s="828"/>
      <c r="S23" s="821"/>
      <c r="T23" s="822"/>
      <c r="U23" s="827"/>
      <c r="V23" s="824"/>
      <c r="W23" s="828"/>
      <c r="X23" s="821"/>
      <c r="Y23" s="822"/>
      <c r="Z23" s="823"/>
      <c r="AA23" s="824"/>
      <c r="AB23" s="828"/>
      <c r="AC23" s="821"/>
      <c r="AD23" s="822"/>
      <c r="AE23" s="803"/>
      <c r="AF23" s="824"/>
      <c r="AG23" s="828"/>
      <c r="AH23" s="821"/>
      <c r="AI23" s="822"/>
      <c r="AJ23" s="803"/>
      <c r="AK23" s="824"/>
      <c r="AL23" s="829"/>
      <c r="AM23" s="821"/>
      <c r="AN23" s="822"/>
      <c r="AO23" s="803"/>
      <c r="AP23" s="824"/>
      <c r="AQ23" s="828"/>
      <c r="AR23" s="821"/>
      <c r="AS23" s="822"/>
      <c r="AT23" s="803"/>
      <c r="AU23" s="824"/>
      <c r="AV23" s="828"/>
      <c r="AW23" s="821"/>
      <c r="AX23" s="822"/>
      <c r="AY23" s="803"/>
      <c r="AZ23" s="824"/>
      <c r="BA23" s="828">
        <v>57</v>
      </c>
      <c r="BB23" s="821"/>
      <c r="BC23" s="822"/>
      <c r="BD23" s="803"/>
      <c r="BE23" s="830"/>
      <c r="BF23" s="828"/>
      <c r="BG23" s="821"/>
      <c r="BH23" s="822"/>
      <c r="BI23" s="803"/>
      <c r="BJ23" s="830"/>
      <c r="BK23" s="832"/>
      <c r="BL23" s="821"/>
      <c r="BM23" s="822"/>
      <c r="BN23" s="803"/>
      <c r="BO23" s="830"/>
      <c r="BP23" s="828"/>
      <c r="BQ23" s="821"/>
      <c r="BR23" s="822"/>
      <c r="BS23" s="803"/>
      <c r="BT23" s="830"/>
      <c r="BU23" s="828"/>
      <c r="BV23" s="821"/>
      <c r="BW23" s="833"/>
      <c r="BX23" s="803"/>
      <c r="BY23" s="830"/>
      <c r="BZ23" s="828"/>
      <c r="CA23" s="821"/>
      <c r="CB23" s="822"/>
      <c r="CC23" s="803"/>
      <c r="CD23" s="830"/>
      <c r="CE23" s="828"/>
      <c r="CF23" s="821"/>
      <c r="CG23" s="833"/>
      <c r="CH23" s="803"/>
      <c r="CI23" s="830"/>
      <c r="CJ23" s="829"/>
      <c r="CK23" s="821"/>
      <c r="CL23" s="822"/>
      <c r="CM23" s="803"/>
      <c r="CN23" s="830"/>
      <c r="CO23" s="828"/>
      <c r="CP23" s="821"/>
      <c r="CQ23" s="822"/>
      <c r="CR23" s="803"/>
      <c r="CS23" s="830"/>
      <c r="CT23" s="977"/>
      <c r="CU23" s="821"/>
      <c r="CV23" s="822"/>
      <c r="CW23" s="803"/>
      <c r="CX23" s="830"/>
      <c r="CY23" s="828"/>
      <c r="CZ23" s="821"/>
      <c r="DA23" s="822"/>
      <c r="DB23" s="803"/>
      <c r="DC23" s="830"/>
      <c r="DD23" s="828"/>
      <c r="DE23" s="821"/>
      <c r="DF23" s="822"/>
      <c r="DG23" s="803"/>
      <c r="DH23" s="830"/>
      <c r="DI23" s="828"/>
      <c r="DJ23" s="821"/>
      <c r="DK23" s="822"/>
      <c r="DL23" s="803"/>
      <c r="DM23" s="830"/>
      <c r="DN23" s="828"/>
      <c r="DO23" s="821"/>
      <c r="DP23" s="822"/>
      <c r="DQ23" s="803"/>
      <c r="DR23" s="830"/>
      <c r="DS23" s="828"/>
      <c r="DT23" s="821"/>
      <c r="DU23" s="822"/>
    </row>
    <row r="24" spans="1:126" x14ac:dyDescent="0.25">
      <c r="C24" s="828"/>
      <c r="D24" s="821"/>
      <c r="E24" s="822"/>
      <c r="F24" s="768"/>
      <c r="G24" s="769"/>
      <c r="H24" s="828"/>
      <c r="I24" s="821"/>
      <c r="J24" s="822"/>
      <c r="K24" s="823"/>
      <c r="L24" s="769"/>
      <c r="M24" s="828">
        <v>228</v>
      </c>
      <c r="N24" s="821">
        <v>15</v>
      </c>
      <c r="O24" s="822"/>
      <c r="P24" s="823"/>
      <c r="Q24" s="824"/>
      <c r="R24" s="828"/>
      <c r="S24" s="821"/>
      <c r="T24" s="822"/>
      <c r="U24" s="827"/>
      <c r="V24" s="824"/>
      <c r="W24" s="828"/>
      <c r="X24" s="821"/>
      <c r="Y24" s="822"/>
      <c r="Z24" s="823"/>
      <c r="AA24" s="824"/>
      <c r="AB24" s="828"/>
      <c r="AC24" s="821"/>
      <c r="AD24" s="822"/>
      <c r="AE24" s="803"/>
      <c r="AF24" s="824"/>
      <c r="AG24" s="828"/>
      <c r="AH24" s="821"/>
      <c r="AI24" s="822"/>
      <c r="AJ24" s="803"/>
      <c r="AK24" s="824"/>
      <c r="AL24" s="828"/>
      <c r="AM24" s="821"/>
      <c r="AN24" s="822"/>
      <c r="AO24" s="803"/>
      <c r="AP24" s="824"/>
      <c r="AQ24" s="828"/>
      <c r="AR24" s="821"/>
      <c r="AS24" s="822"/>
      <c r="AT24" s="803"/>
      <c r="AU24" s="824"/>
      <c r="AV24" s="828"/>
      <c r="AW24" s="821"/>
      <c r="AX24" s="822"/>
      <c r="AY24" s="803"/>
      <c r="AZ24" s="824"/>
      <c r="BA24" s="828">
        <v>183</v>
      </c>
      <c r="BB24" s="821"/>
      <c r="BC24" s="822"/>
      <c r="BD24" s="803"/>
      <c r="BE24" s="823"/>
      <c r="BF24" s="828"/>
      <c r="BG24" s="821"/>
      <c r="BH24" s="822"/>
      <c r="BI24" s="803"/>
      <c r="BJ24" s="824"/>
      <c r="BK24" s="832"/>
      <c r="BL24" s="821"/>
      <c r="BM24" s="822"/>
      <c r="BN24" s="803"/>
      <c r="BO24" s="824"/>
      <c r="BP24" s="828"/>
      <c r="BQ24" s="821"/>
      <c r="BR24" s="822"/>
      <c r="BS24" s="803"/>
      <c r="BT24" s="824"/>
      <c r="BU24" s="977"/>
      <c r="BV24" s="821"/>
      <c r="BW24" s="822"/>
      <c r="BX24" s="803"/>
      <c r="BY24" s="824"/>
      <c r="BZ24" s="828"/>
      <c r="CA24" s="821"/>
      <c r="CB24" s="822"/>
      <c r="CC24" s="803"/>
      <c r="CD24" s="824"/>
      <c r="CE24" s="828"/>
      <c r="CF24" s="821"/>
      <c r="CG24" s="822"/>
      <c r="CH24" s="803"/>
      <c r="CI24" s="824"/>
      <c r="CJ24" s="828"/>
      <c r="CK24" s="821"/>
      <c r="CL24" s="822"/>
      <c r="CM24" s="803"/>
      <c r="CN24" s="823"/>
      <c r="CO24" s="828"/>
      <c r="CP24" s="821"/>
      <c r="CQ24" s="822"/>
      <c r="CR24" s="803"/>
      <c r="CS24" s="823"/>
      <c r="CT24" s="828"/>
      <c r="CU24" s="821"/>
      <c r="CV24" s="822"/>
      <c r="CW24" s="803"/>
      <c r="CX24" s="823"/>
      <c r="CY24" s="828"/>
      <c r="CZ24" s="821"/>
      <c r="DA24" s="822"/>
      <c r="DB24" s="803"/>
      <c r="DC24" s="823"/>
      <c r="DD24" s="828"/>
      <c r="DE24" s="821"/>
      <c r="DF24" s="822"/>
      <c r="DG24" s="803"/>
      <c r="DH24" s="823"/>
      <c r="DI24" s="828"/>
      <c r="DJ24" s="821"/>
      <c r="DK24" s="822"/>
      <c r="DL24" s="803"/>
      <c r="DM24" s="823"/>
      <c r="DN24" s="828"/>
      <c r="DO24" s="821"/>
      <c r="DP24" s="822"/>
      <c r="DQ24" s="803"/>
      <c r="DR24" s="823"/>
      <c r="DS24" s="977"/>
      <c r="DT24" s="821"/>
      <c r="DU24" s="822"/>
    </row>
    <row r="25" spans="1:126" x14ac:dyDescent="0.25">
      <c r="C25" s="828"/>
      <c r="D25" s="821"/>
      <c r="E25" s="822"/>
      <c r="F25" s="768"/>
      <c r="G25" s="769"/>
      <c r="H25" s="828"/>
      <c r="I25" s="821"/>
      <c r="J25" s="822"/>
      <c r="K25" s="823"/>
      <c r="L25" s="769"/>
      <c r="M25" s="828"/>
      <c r="N25" s="821"/>
      <c r="O25" s="822"/>
      <c r="P25" s="823"/>
      <c r="Q25" s="824"/>
      <c r="R25" s="828"/>
      <c r="S25" s="821"/>
      <c r="T25" s="822"/>
      <c r="U25" s="827"/>
      <c r="V25" s="824"/>
      <c r="W25" s="828"/>
      <c r="X25" s="821"/>
      <c r="Y25" s="822"/>
      <c r="Z25" s="823"/>
      <c r="AA25" s="824"/>
      <c r="AB25" s="828"/>
      <c r="AC25" s="821"/>
      <c r="AD25" s="822"/>
      <c r="AE25" s="803"/>
      <c r="AF25" s="824"/>
      <c r="AG25" s="828"/>
      <c r="AH25" s="821"/>
      <c r="AI25" s="822"/>
      <c r="AJ25" s="803"/>
      <c r="AK25" s="824"/>
      <c r="AL25" s="828"/>
      <c r="AM25" s="821"/>
      <c r="AN25" s="822"/>
      <c r="AO25" s="803"/>
      <c r="AP25" s="824"/>
      <c r="AQ25" s="828"/>
      <c r="AR25" s="821"/>
      <c r="AS25" s="822"/>
      <c r="AT25" s="803"/>
      <c r="AU25" s="824"/>
      <c r="AV25" s="828"/>
      <c r="AW25" s="821"/>
      <c r="AX25" s="822"/>
      <c r="AY25" s="803"/>
      <c r="AZ25" s="824"/>
      <c r="BA25" s="828">
        <v>102</v>
      </c>
      <c r="BB25" s="821"/>
      <c r="BC25" s="822"/>
      <c r="BD25" s="803"/>
      <c r="BE25" s="823"/>
      <c r="BF25" s="828"/>
      <c r="BG25" s="821"/>
      <c r="BH25" s="822"/>
      <c r="BI25" s="803"/>
      <c r="BJ25" s="824"/>
      <c r="BK25" s="829"/>
      <c r="BL25" s="821"/>
      <c r="BM25" s="822"/>
      <c r="BN25" s="803"/>
      <c r="BO25" s="824"/>
      <c r="BP25" s="828"/>
      <c r="BQ25" s="821"/>
      <c r="BR25" s="822"/>
      <c r="BS25" s="803"/>
      <c r="BT25" s="824"/>
      <c r="BU25" s="977"/>
      <c r="BV25" s="821"/>
      <c r="BW25" s="822"/>
      <c r="BX25" s="803"/>
      <c r="BY25" s="824"/>
      <c r="BZ25" s="828"/>
      <c r="CA25" s="821"/>
      <c r="CB25" s="822"/>
      <c r="CC25" s="803"/>
      <c r="CD25" s="824"/>
      <c r="CE25" s="828"/>
      <c r="CF25" s="821"/>
      <c r="CG25" s="822"/>
      <c r="CH25" s="803"/>
      <c r="CI25" s="824"/>
      <c r="CJ25" s="829"/>
      <c r="CK25" s="821"/>
      <c r="CL25" s="822"/>
      <c r="CM25" s="803"/>
      <c r="CN25" s="823"/>
      <c r="CO25" s="828"/>
      <c r="CP25" s="821"/>
      <c r="CQ25" s="822"/>
      <c r="CR25" s="803"/>
      <c r="CS25" s="823"/>
      <c r="CT25" s="977"/>
      <c r="CU25" s="821"/>
      <c r="CV25" s="822"/>
      <c r="CW25" s="803"/>
      <c r="CX25" s="823"/>
      <c r="CY25" s="828"/>
      <c r="CZ25" s="821"/>
      <c r="DA25" s="822"/>
      <c r="DB25" s="803"/>
      <c r="DC25" s="823"/>
      <c r="DD25" s="828"/>
      <c r="DE25" s="821"/>
      <c r="DF25" s="822"/>
      <c r="DG25" s="803"/>
      <c r="DH25" s="823"/>
      <c r="DI25" s="828"/>
      <c r="DJ25" s="821"/>
      <c r="DK25" s="822"/>
      <c r="DL25" s="803"/>
      <c r="DM25" s="823"/>
      <c r="DN25" s="828"/>
      <c r="DO25" s="821"/>
      <c r="DP25" s="822"/>
      <c r="DQ25" s="803"/>
      <c r="DR25" s="823"/>
      <c r="DS25" s="977"/>
      <c r="DT25" s="821"/>
      <c r="DU25" s="822"/>
    </row>
    <row r="26" spans="1:126" x14ac:dyDescent="0.25">
      <c r="C26" s="828"/>
      <c r="D26" s="821"/>
      <c r="E26" s="822"/>
      <c r="F26" s="768"/>
      <c r="G26" s="769"/>
      <c r="H26" s="828"/>
      <c r="I26" s="821"/>
      <c r="J26" s="822"/>
      <c r="K26" s="823"/>
      <c r="L26" s="769"/>
      <c r="M26" s="828"/>
      <c r="N26" s="821"/>
      <c r="O26" s="822"/>
      <c r="P26" s="823"/>
      <c r="Q26" s="824"/>
      <c r="R26" s="828"/>
      <c r="S26" s="821"/>
      <c r="T26" s="822"/>
      <c r="U26" s="827"/>
      <c r="V26" s="824"/>
      <c r="W26" s="828"/>
      <c r="X26" s="821"/>
      <c r="Y26" s="822"/>
      <c r="Z26" s="823"/>
      <c r="AA26" s="824"/>
      <c r="AB26" s="828"/>
      <c r="AC26" s="821"/>
      <c r="AD26" s="822"/>
      <c r="AE26" s="803"/>
      <c r="AF26" s="824"/>
      <c r="AG26" s="828"/>
      <c r="AH26" s="821"/>
      <c r="AI26" s="822"/>
      <c r="AJ26" s="803"/>
      <c r="AK26" s="824"/>
      <c r="AL26" s="829"/>
      <c r="AM26" s="821"/>
      <c r="AN26" s="822"/>
      <c r="AO26" s="803"/>
      <c r="AP26" s="824"/>
      <c r="AQ26" s="828"/>
      <c r="AR26" s="821"/>
      <c r="AS26" s="822"/>
      <c r="AT26" s="803"/>
      <c r="AU26" s="824"/>
      <c r="AV26" s="828"/>
      <c r="AW26" s="821"/>
      <c r="AX26" s="822"/>
      <c r="AY26" s="803"/>
      <c r="AZ26" s="824"/>
      <c r="BA26" s="828"/>
      <c r="BB26" s="821"/>
      <c r="BC26" s="822"/>
      <c r="BD26" s="803"/>
      <c r="BE26" s="830"/>
      <c r="BF26" s="828"/>
      <c r="BG26" s="821"/>
      <c r="BH26" s="822"/>
      <c r="BI26" s="803"/>
      <c r="BJ26" s="831"/>
      <c r="BK26" s="829"/>
      <c r="BL26" s="821"/>
      <c r="BM26" s="822"/>
      <c r="BN26" s="803"/>
      <c r="BO26" s="831"/>
      <c r="BP26" s="828"/>
      <c r="BQ26" s="821"/>
      <c r="BR26" s="822"/>
      <c r="BS26" s="803"/>
      <c r="BT26" s="831"/>
      <c r="BU26" s="828"/>
      <c r="BV26" s="821"/>
      <c r="BW26" s="822"/>
      <c r="BX26" s="803"/>
      <c r="BY26" s="831"/>
      <c r="BZ26" s="828"/>
      <c r="CA26" s="821"/>
      <c r="CB26" s="822"/>
      <c r="CC26" s="803"/>
      <c r="CD26" s="831"/>
      <c r="CE26" s="828"/>
      <c r="CF26" s="821"/>
      <c r="CG26" s="822"/>
      <c r="CH26" s="803"/>
      <c r="CI26" s="831"/>
      <c r="CJ26" s="829"/>
      <c r="CK26" s="821"/>
      <c r="CL26" s="822"/>
      <c r="CM26" s="803"/>
      <c r="CN26" s="830"/>
      <c r="CO26" s="828"/>
      <c r="CP26" s="821"/>
      <c r="CQ26" s="822"/>
      <c r="CR26" s="803"/>
      <c r="CS26" s="830"/>
      <c r="CT26" s="977"/>
      <c r="CU26" s="821"/>
      <c r="CV26" s="822"/>
      <c r="CW26" s="803"/>
      <c r="CX26" s="830"/>
      <c r="CY26" s="828"/>
      <c r="CZ26" s="821"/>
      <c r="DA26" s="822"/>
      <c r="DB26" s="803"/>
      <c r="DC26" s="830"/>
      <c r="DD26" s="828"/>
      <c r="DE26" s="821"/>
      <c r="DF26" s="822"/>
      <c r="DG26" s="803"/>
      <c r="DH26" s="830"/>
      <c r="DI26" s="828"/>
      <c r="DJ26" s="821"/>
      <c r="DK26" s="822"/>
      <c r="DL26" s="803"/>
      <c r="DM26" s="830"/>
      <c r="DN26" s="828"/>
      <c r="DO26" s="821"/>
      <c r="DP26" s="822"/>
      <c r="DQ26" s="803"/>
      <c r="DR26" s="830"/>
      <c r="DS26" s="828"/>
      <c r="DT26" s="821"/>
      <c r="DU26" s="822"/>
    </row>
    <row r="27" spans="1:126" x14ac:dyDescent="0.25">
      <c r="C27" s="828"/>
      <c r="D27" s="821"/>
      <c r="E27" s="822"/>
      <c r="F27" s="768"/>
      <c r="G27" s="769"/>
      <c r="H27" s="828"/>
      <c r="I27" s="821"/>
      <c r="J27" s="822"/>
      <c r="K27" s="823"/>
      <c r="L27" s="769"/>
      <c r="M27" s="828"/>
      <c r="N27" s="821"/>
      <c r="O27" s="822"/>
      <c r="P27" s="823"/>
      <c r="Q27" s="824"/>
      <c r="R27" s="828"/>
      <c r="S27" s="821"/>
      <c r="T27" s="822"/>
      <c r="U27" s="827"/>
      <c r="V27" s="824"/>
      <c r="W27" s="828"/>
      <c r="X27" s="821"/>
      <c r="Y27" s="822"/>
      <c r="Z27" s="823"/>
      <c r="AA27" s="824"/>
      <c r="AB27" s="828"/>
      <c r="AC27" s="821"/>
      <c r="AD27" s="822"/>
      <c r="AE27" s="803"/>
      <c r="AF27" s="824"/>
      <c r="AG27" s="828"/>
      <c r="AH27" s="821"/>
      <c r="AI27" s="822"/>
      <c r="AJ27" s="803"/>
      <c r="AK27" s="824"/>
      <c r="AL27" s="829"/>
      <c r="AM27" s="821"/>
      <c r="AN27" s="822"/>
      <c r="AO27" s="803"/>
      <c r="AP27" s="824"/>
      <c r="AQ27" s="828"/>
      <c r="AR27" s="821"/>
      <c r="AS27" s="822"/>
      <c r="AT27" s="803"/>
      <c r="AU27" s="824"/>
      <c r="AV27" s="828"/>
      <c r="AW27" s="821"/>
      <c r="AX27" s="822"/>
      <c r="AY27" s="803"/>
      <c r="AZ27" s="824"/>
      <c r="BA27" s="828"/>
      <c r="BB27" s="821"/>
      <c r="BC27" s="822"/>
      <c r="BD27" s="803"/>
      <c r="BE27" s="824"/>
      <c r="BF27" s="828"/>
      <c r="BG27" s="821"/>
      <c r="BH27" s="822"/>
      <c r="BI27" s="830"/>
      <c r="BJ27" s="824"/>
      <c r="BK27" s="828"/>
      <c r="BL27" s="821"/>
      <c r="BM27" s="822"/>
      <c r="BN27" s="830"/>
      <c r="BO27" s="824"/>
      <c r="BP27" s="828"/>
      <c r="BQ27" s="821"/>
      <c r="BR27" s="822"/>
      <c r="BS27" s="803"/>
      <c r="BT27" s="824"/>
      <c r="BU27" s="828"/>
      <c r="BV27" s="821"/>
      <c r="BW27" s="822"/>
      <c r="BX27" s="803"/>
      <c r="BY27" s="824"/>
      <c r="BZ27" s="828"/>
      <c r="CA27" s="821"/>
      <c r="CB27" s="822"/>
      <c r="CC27" s="803"/>
      <c r="CD27" s="824"/>
      <c r="CE27" s="828"/>
      <c r="CF27" s="821"/>
      <c r="CG27" s="822"/>
      <c r="CH27" s="803"/>
      <c r="CI27" s="824"/>
      <c r="CJ27" s="836"/>
      <c r="CK27" s="821"/>
      <c r="CL27" s="822"/>
      <c r="CM27" s="803"/>
      <c r="CN27" s="823"/>
      <c r="CO27" s="836"/>
      <c r="CP27" s="821"/>
      <c r="CQ27" s="822"/>
      <c r="CR27" s="803"/>
      <c r="CS27" s="823"/>
      <c r="CT27" s="836"/>
      <c r="CU27" s="821"/>
      <c r="CV27" s="822"/>
      <c r="CW27" s="803"/>
      <c r="CX27" s="823"/>
      <c r="CY27" s="836"/>
      <c r="CZ27" s="821"/>
      <c r="DA27" s="822"/>
      <c r="DB27" s="803"/>
      <c r="DC27" s="823"/>
      <c r="DD27" s="836"/>
      <c r="DE27" s="821"/>
      <c r="DF27" s="822"/>
      <c r="DG27" s="803"/>
      <c r="DH27" s="823"/>
      <c r="DI27" s="836"/>
      <c r="DJ27" s="821"/>
      <c r="DK27" s="822"/>
      <c r="DL27" s="803"/>
      <c r="DM27" s="823"/>
      <c r="DN27" s="836"/>
      <c r="DO27" s="821"/>
      <c r="DP27" s="822"/>
      <c r="DQ27" s="803"/>
      <c r="DR27" s="823"/>
      <c r="DS27" s="836"/>
      <c r="DT27" s="821"/>
      <c r="DU27" s="822"/>
    </row>
    <row r="28" spans="1:126" x14ac:dyDescent="0.25">
      <c r="C28" s="828"/>
      <c r="D28" s="821"/>
      <c r="E28" s="822"/>
      <c r="F28" s="768"/>
      <c r="G28" s="769"/>
      <c r="H28" s="828"/>
      <c r="I28" s="821"/>
      <c r="J28" s="822"/>
      <c r="K28" s="823"/>
      <c r="L28" s="769"/>
      <c r="M28" s="828"/>
      <c r="N28" s="821"/>
      <c r="O28" s="822"/>
      <c r="P28" s="823"/>
      <c r="Q28" s="824"/>
      <c r="R28" s="828"/>
      <c r="S28" s="821"/>
      <c r="T28" s="822"/>
      <c r="U28" s="827"/>
      <c r="V28" s="824"/>
      <c r="W28" s="828"/>
      <c r="X28" s="821"/>
      <c r="Y28" s="822"/>
      <c r="Z28" s="823"/>
      <c r="AA28" s="824"/>
      <c r="AB28" s="828"/>
      <c r="AC28" s="821"/>
      <c r="AD28" s="822"/>
      <c r="AE28" s="803"/>
      <c r="AF28" s="824"/>
      <c r="AG28" s="828"/>
      <c r="AH28" s="821"/>
      <c r="AI28" s="822"/>
      <c r="AJ28" s="803"/>
      <c r="AK28" s="824"/>
      <c r="AL28" s="828"/>
      <c r="AM28" s="821"/>
      <c r="AN28" s="822"/>
      <c r="AO28" s="803"/>
      <c r="AP28" s="824"/>
      <c r="AQ28" s="828"/>
      <c r="AR28" s="821"/>
      <c r="AS28" s="822"/>
      <c r="AT28" s="803"/>
      <c r="AU28" s="824"/>
      <c r="AV28" s="828"/>
      <c r="AW28" s="821"/>
      <c r="AX28" s="822"/>
      <c r="AY28" s="803"/>
      <c r="AZ28" s="824"/>
      <c r="BA28" s="828"/>
      <c r="BB28" s="821"/>
      <c r="BC28" s="822"/>
      <c r="BD28" s="803"/>
      <c r="BE28" s="824"/>
      <c r="BF28" s="828"/>
      <c r="BG28" s="821"/>
      <c r="BH28" s="822"/>
      <c r="BI28" s="803"/>
      <c r="BJ28" s="824"/>
      <c r="BK28" s="828"/>
      <c r="BL28" s="821"/>
      <c r="BM28" s="822"/>
      <c r="BN28" s="803"/>
      <c r="BO28" s="824"/>
      <c r="BP28" s="828"/>
      <c r="BQ28" s="821"/>
      <c r="BR28" s="822"/>
      <c r="BS28" s="803"/>
      <c r="BT28" s="824"/>
      <c r="BU28" s="828"/>
      <c r="BV28" s="821"/>
      <c r="BW28" s="822"/>
      <c r="BX28" s="803"/>
      <c r="BY28" s="824"/>
      <c r="BZ28" s="828"/>
      <c r="CA28" s="821"/>
      <c r="CB28" s="822"/>
      <c r="CC28" s="803"/>
      <c r="CD28" s="824"/>
      <c r="CE28" s="828"/>
      <c r="CF28" s="821"/>
      <c r="CG28" s="822"/>
      <c r="CH28" s="803"/>
      <c r="CI28" s="824"/>
      <c r="CJ28" s="836"/>
      <c r="CK28" s="821"/>
      <c r="CL28" s="822"/>
      <c r="CM28" s="803"/>
      <c r="CN28" s="823"/>
      <c r="CO28" s="836"/>
      <c r="CP28" s="821"/>
      <c r="CQ28" s="822"/>
      <c r="CR28" s="803"/>
      <c r="CS28" s="823"/>
      <c r="CT28" s="836"/>
      <c r="CU28" s="821"/>
      <c r="CV28" s="822"/>
      <c r="CW28" s="803"/>
      <c r="CX28" s="823"/>
      <c r="CY28" s="836"/>
      <c r="CZ28" s="821"/>
      <c r="DA28" s="822"/>
      <c r="DB28" s="803"/>
      <c r="DC28" s="823"/>
      <c r="DD28" s="836"/>
      <c r="DE28" s="821"/>
      <c r="DF28" s="822"/>
      <c r="DG28" s="803"/>
      <c r="DH28" s="823"/>
      <c r="DI28" s="836"/>
      <c r="DJ28" s="821"/>
      <c r="DK28" s="822"/>
      <c r="DL28" s="803"/>
      <c r="DM28" s="823"/>
      <c r="DN28" s="836"/>
      <c r="DO28" s="821"/>
      <c r="DP28" s="822"/>
      <c r="DQ28" s="803"/>
      <c r="DR28" s="823"/>
      <c r="DS28" s="836"/>
      <c r="DT28" s="821"/>
      <c r="DU28" s="822"/>
    </row>
    <row r="29" spans="1:126" x14ac:dyDescent="0.25">
      <c r="C29" s="828"/>
      <c r="D29" s="821"/>
      <c r="E29" s="822"/>
      <c r="F29" s="768"/>
      <c r="G29" s="769"/>
      <c r="H29" s="828"/>
      <c r="I29" s="821"/>
      <c r="J29" s="822"/>
      <c r="K29" s="823"/>
      <c r="L29" s="769"/>
      <c r="M29" s="828"/>
      <c r="N29" s="821"/>
      <c r="O29" s="822"/>
      <c r="P29" s="823"/>
      <c r="Q29" s="824"/>
      <c r="R29" s="828"/>
      <c r="S29" s="821"/>
      <c r="T29" s="822"/>
      <c r="U29" s="827"/>
      <c r="V29" s="824"/>
      <c r="W29" s="828"/>
      <c r="X29" s="821"/>
      <c r="Y29" s="822"/>
      <c r="Z29" s="823"/>
      <c r="AA29" s="824"/>
      <c r="AB29" s="828"/>
      <c r="AC29" s="821"/>
      <c r="AD29" s="822"/>
      <c r="AE29" s="803"/>
      <c r="AF29" s="824"/>
      <c r="AG29" s="828"/>
      <c r="AH29" s="821"/>
      <c r="AI29" s="822"/>
      <c r="AJ29" s="803"/>
      <c r="AK29" s="824"/>
      <c r="AL29" s="828"/>
      <c r="AM29" s="821"/>
      <c r="AN29" s="822"/>
      <c r="AO29" s="803"/>
      <c r="AP29" s="824"/>
      <c r="AQ29" s="828"/>
      <c r="AR29" s="821"/>
      <c r="AS29" s="822"/>
      <c r="AT29" s="803"/>
      <c r="AU29" s="824"/>
      <c r="AV29" s="828"/>
      <c r="AW29" s="821"/>
      <c r="AX29" s="822"/>
      <c r="AY29" s="803"/>
      <c r="AZ29" s="824"/>
      <c r="BA29" s="828"/>
      <c r="BB29" s="821"/>
      <c r="BC29" s="822"/>
      <c r="BD29" s="803"/>
      <c r="BE29" s="824"/>
      <c r="BF29" s="828"/>
      <c r="BG29" s="821"/>
      <c r="BH29" s="822"/>
      <c r="BI29" s="803"/>
      <c r="BJ29" s="824"/>
      <c r="BK29" s="829"/>
      <c r="BL29" s="821"/>
      <c r="BM29" s="822"/>
      <c r="BN29" s="803"/>
      <c r="BO29" s="824"/>
      <c r="BP29" s="828"/>
      <c r="BQ29" s="821"/>
      <c r="BR29" s="822"/>
      <c r="BS29" s="803"/>
      <c r="BT29" s="824"/>
      <c r="BU29" s="828"/>
      <c r="BV29" s="821"/>
      <c r="BW29" s="822"/>
      <c r="BX29" s="803"/>
      <c r="BY29" s="824"/>
      <c r="BZ29" s="828"/>
      <c r="CA29" s="821"/>
      <c r="CB29" s="822"/>
      <c r="CC29" s="803"/>
      <c r="CD29" s="824"/>
      <c r="CE29" s="828"/>
      <c r="CF29" s="821"/>
      <c r="CG29" s="822"/>
      <c r="CH29" s="803"/>
      <c r="CI29" s="824"/>
      <c r="CJ29" s="836"/>
      <c r="CK29" s="821"/>
      <c r="CL29" s="822"/>
      <c r="CM29" s="803"/>
      <c r="CN29" s="823"/>
      <c r="CO29" s="836"/>
      <c r="CP29" s="821"/>
      <c r="CQ29" s="822"/>
      <c r="CR29" s="803"/>
      <c r="CS29" s="823"/>
      <c r="CT29" s="836"/>
      <c r="CU29" s="821"/>
      <c r="CV29" s="822"/>
      <c r="CW29" s="803"/>
      <c r="CX29" s="823"/>
      <c r="CY29" s="836"/>
      <c r="CZ29" s="821"/>
      <c r="DA29" s="822"/>
      <c r="DB29" s="803"/>
      <c r="DC29" s="823"/>
      <c r="DD29" s="836"/>
      <c r="DE29" s="821"/>
      <c r="DF29" s="822"/>
      <c r="DG29" s="803"/>
      <c r="DH29" s="823"/>
      <c r="DI29" s="836"/>
      <c r="DJ29" s="821"/>
      <c r="DK29" s="822"/>
      <c r="DL29" s="803"/>
      <c r="DM29" s="823"/>
      <c r="DN29" s="836"/>
      <c r="DO29" s="821"/>
      <c r="DP29" s="822"/>
      <c r="DQ29" s="803"/>
      <c r="DR29" s="823"/>
      <c r="DS29" s="836"/>
      <c r="DT29" s="821"/>
      <c r="DU29" s="822"/>
    </row>
    <row r="30" spans="1:126" x14ac:dyDescent="0.25">
      <c r="C30" s="828"/>
      <c r="D30" s="821"/>
      <c r="E30" s="822"/>
      <c r="F30" s="768"/>
      <c r="G30" s="769"/>
      <c r="H30" s="828"/>
      <c r="I30" s="821"/>
      <c r="J30" s="822"/>
      <c r="K30" s="823"/>
      <c r="L30" s="769"/>
      <c r="M30" s="828"/>
      <c r="N30" s="821"/>
      <c r="O30" s="822"/>
      <c r="P30" s="823"/>
      <c r="Q30" s="824"/>
      <c r="R30" s="829"/>
      <c r="S30" s="821"/>
      <c r="T30" s="822"/>
      <c r="U30" s="827"/>
      <c r="V30" s="824"/>
      <c r="W30" s="828"/>
      <c r="X30" s="821"/>
      <c r="Y30" s="822"/>
      <c r="Z30" s="823"/>
      <c r="AA30" s="824"/>
      <c r="AB30" s="828"/>
      <c r="AC30" s="821"/>
      <c r="AD30" s="822"/>
      <c r="AE30" s="803"/>
      <c r="AF30" s="824"/>
      <c r="AG30" s="828"/>
      <c r="AH30" s="821"/>
      <c r="AI30" s="822"/>
      <c r="AJ30" s="803"/>
      <c r="AK30" s="824"/>
      <c r="AL30" s="828"/>
      <c r="AM30" s="821"/>
      <c r="AN30" s="822"/>
      <c r="AO30" s="803"/>
      <c r="AP30" s="824"/>
      <c r="AQ30" s="828"/>
      <c r="AR30" s="821"/>
      <c r="AS30" s="822"/>
      <c r="AT30" s="803"/>
      <c r="AU30" s="824"/>
      <c r="AV30" s="828"/>
      <c r="AW30" s="821"/>
      <c r="AX30" s="822"/>
      <c r="AY30" s="803"/>
      <c r="AZ30" s="824"/>
      <c r="BA30" s="828"/>
      <c r="BB30" s="821"/>
      <c r="BC30" s="822"/>
      <c r="BD30" s="803"/>
      <c r="BE30" s="824"/>
      <c r="BF30" s="828"/>
      <c r="BG30" s="821"/>
      <c r="BH30" s="822"/>
      <c r="BI30" s="803"/>
      <c r="BJ30" s="824"/>
      <c r="BK30" s="829"/>
      <c r="BL30" s="821"/>
      <c r="BM30" s="822"/>
      <c r="BN30" s="803"/>
      <c r="BO30" s="824"/>
      <c r="BP30" s="828"/>
      <c r="BQ30" s="821"/>
      <c r="BR30" s="822"/>
      <c r="BS30" s="803"/>
      <c r="BT30" s="824"/>
      <c r="BU30" s="828"/>
      <c r="BV30" s="821"/>
      <c r="BW30" s="822"/>
      <c r="BX30" s="803"/>
      <c r="BY30" s="824"/>
      <c r="BZ30" s="828"/>
      <c r="CA30" s="821"/>
      <c r="CB30" s="822"/>
      <c r="CC30" s="803"/>
      <c r="CD30" s="824"/>
      <c r="CE30" s="828"/>
      <c r="CF30" s="821"/>
      <c r="CG30" s="822"/>
      <c r="CH30" s="803"/>
      <c r="CI30" s="824"/>
      <c r="CJ30" s="836"/>
      <c r="CK30" s="821"/>
      <c r="CL30" s="822"/>
      <c r="CM30" s="803"/>
      <c r="CN30" s="823"/>
      <c r="CO30" s="836"/>
      <c r="CP30" s="821"/>
      <c r="CQ30" s="822"/>
      <c r="CR30" s="803"/>
      <c r="CS30" s="823"/>
      <c r="CT30" s="836"/>
      <c r="CU30" s="821"/>
      <c r="CV30" s="822"/>
      <c r="CW30" s="803"/>
      <c r="CX30" s="823"/>
      <c r="CY30" s="836"/>
      <c r="CZ30" s="821"/>
      <c r="DA30" s="822"/>
      <c r="DB30" s="803"/>
      <c r="DC30" s="823"/>
      <c r="DD30" s="836"/>
      <c r="DE30" s="821"/>
      <c r="DF30" s="822"/>
      <c r="DG30" s="803"/>
      <c r="DH30" s="823"/>
      <c r="DI30" s="836"/>
      <c r="DJ30" s="821"/>
      <c r="DK30" s="822"/>
      <c r="DL30" s="803"/>
      <c r="DM30" s="823"/>
      <c r="DN30" s="836"/>
      <c r="DO30" s="821"/>
      <c r="DP30" s="822"/>
      <c r="DQ30" s="803"/>
      <c r="DR30" s="823"/>
      <c r="DS30" s="836"/>
      <c r="DT30" s="821"/>
      <c r="DU30" s="822"/>
    </row>
    <row r="31" spans="1:126" x14ac:dyDescent="0.25">
      <c r="C31" s="829"/>
      <c r="D31" s="821"/>
      <c r="E31" s="822"/>
      <c r="F31" s="768"/>
      <c r="G31" s="769"/>
      <c r="H31" s="828"/>
      <c r="I31" s="821"/>
      <c r="J31" s="822"/>
      <c r="K31" s="823"/>
      <c r="L31" s="769"/>
      <c r="M31" s="828"/>
      <c r="N31" s="821"/>
      <c r="O31" s="822"/>
      <c r="P31" s="823"/>
      <c r="Q31" s="824"/>
      <c r="R31" s="829"/>
      <c r="S31" s="821"/>
      <c r="T31" s="822"/>
      <c r="U31" s="827"/>
      <c r="V31" s="824"/>
      <c r="W31" s="828"/>
      <c r="X31" s="821"/>
      <c r="Y31" s="822"/>
      <c r="Z31" s="823"/>
      <c r="AA31" s="824"/>
      <c r="AB31" s="828"/>
      <c r="AC31" s="821"/>
      <c r="AD31" s="822"/>
      <c r="AE31" s="803"/>
      <c r="AF31" s="824"/>
      <c r="AG31" s="828"/>
      <c r="AH31" s="821"/>
      <c r="AI31" s="822"/>
      <c r="AJ31" s="803"/>
      <c r="AK31" s="824"/>
      <c r="AL31" s="828"/>
      <c r="AM31" s="821"/>
      <c r="AN31" s="822"/>
      <c r="AO31" s="803"/>
      <c r="AP31" s="824"/>
      <c r="AQ31" s="828"/>
      <c r="AR31" s="821"/>
      <c r="AS31" s="822"/>
      <c r="AT31" s="803"/>
      <c r="AU31" s="824"/>
      <c r="AV31" s="828"/>
      <c r="AW31" s="821"/>
      <c r="AX31" s="822"/>
      <c r="AY31" s="803"/>
      <c r="AZ31" s="824"/>
      <c r="BA31" s="828"/>
      <c r="BB31" s="821"/>
      <c r="BC31" s="822"/>
      <c r="BD31" s="803"/>
      <c r="BE31" s="824"/>
      <c r="BF31" s="828"/>
      <c r="BG31" s="821"/>
      <c r="BH31" s="822"/>
      <c r="BI31" s="803"/>
      <c r="BJ31" s="824"/>
      <c r="BK31" s="828"/>
      <c r="BL31" s="821"/>
      <c r="BM31" s="822"/>
      <c r="BN31" s="803"/>
      <c r="BO31" s="824"/>
      <c r="BP31" s="828"/>
      <c r="BQ31" s="821"/>
      <c r="BR31" s="822"/>
      <c r="BS31" s="803"/>
      <c r="BT31" s="824"/>
      <c r="BU31" s="828"/>
      <c r="BV31" s="821"/>
      <c r="BW31" s="822"/>
      <c r="BX31" s="803"/>
      <c r="BY31" s="824"/>
      <c r="BZ31" s="828"/>
      <c r="CA31" s="821"/>
      <c r="CB31" s="822"/>
      <c r="CC31" s="803"/>
      <c r="CD31" s="824"/>
      <c r="CE31" s="828"/>
      <c r="CF31" s="821"/>
      <c r="CG31" s="822"/>
      <c r="CH31" s="803"/>
      <c r="CI31" s="824"/>
      <c r="CJ31" s="828"/>
      <c r="CK31" s="821"/>
      <c r="CL31" s="822"/>
      <c r="CM31" s="803"/>
      <c r="CN31" s="823"/>
      <c r="CO31" s="836"/>
      <c r="CP31" s="821"/>
      <c r="CQ31" s="822"/>
      <c r="CR31" s="803"/>
      <c r="CS31" s="823"/>
      <c r="CT31" s="828"/>
      <c r="CU31" s="821"/>
      <c r="CV31" s="822"/>
      <c r="CW31" s="803"/>
      <c r="CX31" s="823"/>
      <c r="CY31" s="836"/>
      <c r="CZ31" s="821"/>
      <c r="DA31" s="822"/>
      <c r="DB31" s="803"/>
      <c r="DC31" s="823"/>
      <c r="DD31" s="836"/>
      <c r="DE31" s="821"/>
      <c r="DF31" s="822"/>
      <c r="DG31" s="803"/>
      <c r="DH31" s="823"/>
      <c r="DI31" s="836"/>
      <c r="DJ31" s="821"/>
      <c r="DK31" s="822"/>
      <c r="DL31" s="803"/>
      <c r="DM31" s="823"/>
      <c r="DN31" s="836"/>
      <c r="DO31" s="821"/>
      <c r="DP31" s="822"/>
      <c r="DQ31" s="803"/>
      <c r="DR31" s="823"/>
      <c r="DS31" s="836"/>
      <c r="DT31" s="821"/>
      <c r="DU31" s="822"/>
    </row>
    <row r="32" spans="1:126" x14ac:dyDescent="0.25">
      <c r="C32" s="829"/>
      <c r="D32" s="821"/>
      <c r="E32" s="822"/>
      <c r="F32" s="768"/>
      <c r="G32" s="769"/>
      <c r="H32" s="828"/>
      <c r="I32" s="821"/>
      <c r="J32" s="822"/>
      <c r="K32" s="823"/>
      <c r="L32" s="769"/>
      <c r="M32" s="828"/>
      <c r="N32" s="821"/>
      <c r="O32" s="822"/>
      <c r="P32" s="823"/>
      <c r="Q32" s="824"/>
      <c r="R32" s="828"/>
      <c r="S32" s="821"/>
      <c r="T32" s="822"/>
      <c r="U32" s="827"/>
      <c r="V32" s="824"/>
      <c r="W32" s="828"/>
      <c r="X32" s="821"/>
      <c r="Y32" s="822"/>
      <c r="Z32" s="823"/>
      <c r="AA32" s="824"/>
      <c r="AB32" s="828"/>
      <c r="AC32" s="821"/>
      <c r="AD32" s="822"/>
      <c r="AE32" s="803"/>
      <c r="AF32" s="824"/>
      <c r="AG32" s="828"/>
      <c r="AH32" s="821"/>
      <c r="AI32" s="822"/>
      <c r="AJ32" s="803"/>
      <c r="AK32" s="824"/>
      <c r="AL32" s="828"/>
      <c r="AM32" s="821"/>
      <c r="AN32" s="822"/>
      <c r="AO32" s="803"/>
      <c r="AP32" s="824"/>
      <c r="AQ32" s="828"/>
      <c r="AR32" s="821"/>
      <c r="AS32" s="822"/>
      <c r="AT32" s="803"/>
      <c r="AU32" s="824"/>
      <c r="AV32" s="828"/>
      <c r="AW32" s="821"/>
      <c r="AX32" s="822"/>
      <c r="AY32" s="803"/>
      <c r="AZ32" s="824"/>
      <c r="BA32" s="828"/>
      <c r="BB32" s="821"/>
      <c r="BC32" s="822"/>
      <c r="BD32" s="803"/>
      <c r="BE32" s="824"/>
      <c r="BF32" s="828"/>
      <c r="BG32" s="821"/>
      <c r="BH32" s="822"/>
      <c r="BI32" s="803"/>
      <c r="BJ32" s="824"/>
      <c r="BK32" s="828"/>
      <c r="BL32" s="821"/>
      <c r="BM32" s="822"/>
      <c r="BN32" s="803"/>
      <c r="BO32" s="824"/>
      <c r="BP32" s="828"/>
      <c r="BQ32" s="821"/>
      <c r="BR32" s="822"/>
      <c r="BS32" s="803"/>
      <c r="BT32" s="824"/>
      <c r="BU32" s="828"/>
      <c r="BV32" s="821"/>
      <c r="BW32" s="822"/>
      <c r="BX32" s="803"/>
      <c r="BY32" s="824"/>
      <c r="BZ32" s="828"/>
      <c r="CA32" s="821"/>
      <c r="CB32" s="822"/>
      <c r="CC32" s="803"/>
      <c r="CD32" s="824"/>
      <c r="CE32" s="828"/>
      <c r="CF32" s="821"/>
      <c r="CG32" s="822"/>
      <c r="CH32" s="803"/>
      <c r="CI32" s="824"/>
      <c r="CJ32" s="828"/>
      <c r="CK32" s="821"/>
      <c r="CL32" s="822"/>
      <c r="CM32" s="803"/>
      <c r="CN32" s="823"/>
      <c r="CO32" s="836"/>
      <c r="CP32" s="821"/>
      <c r="CQ32" s="822"/>
      <c r="CR32" s="803"/>
      <c r="CS32" s="823"/>
      <c r="CT32" s="828"/>
      <c r="CU32" s="821"/>
      <c r="CV32" s="822"/>
      <c r="CW32" s="803"/>
      <c r="CX32" s="823"/>
      <c r="CY32" s="836"/>
      <c r="CZ32" s="821"/>
      <c r="DA32" s="822"/>
      <c r="DB32" s="803"/>
      <c r="DC32" s="823"/>
      <c r="DD32" s="836"/>
      <c r="DE32" s="821"/>
      <c r="DF32" s="822"/>
      <c r="DG32" s="803"/>
      <c r="DH32" s="823"/>
      <c r="DI32" s="836"/>
      <c r="DJ32" s="821"/>
      <c r="DK32" s="822"/>
      <c r="DL32" s="803"/>
      <c r="DM32" s="823"/>
      <c r="DN32" s="836"/>
      <c r="DO32" s="821"/>
      <c r="DP32" s="822"/>
      <c r="DQ32" s="803"/>
      <c r="DR32" s="823"/>
      <c r="DS32" s="836"/>
      <c r="DT32" s="821"/>
      <c r="DU32" s="822"/>
    </row>
    <row r="33" spans="2:125" x14ac:dyDescent="0.25">
      <c r="C33" s="828"/>
      <c r="D33" s="821"/>
      <c r="E33" s="822"/>
      <c r="F33" s="768"/>
      <c r="G33" s="769"/>
      <c r="H33" s="828"/>
      <c r="I33" s="821"/>
      <c r="J33" s="822"/>
      <c r="K33" s="823"/>
      <c r="L33" s="769"/>
      <c r="M33" s="828"/>
      <c r="N33" s="821"/>
      <c r="O33" s="822"/>
      <c r="P33" s="823"/>
      <c r="Q33" s="824"/>
      <c r="R33" s="828"/>
      <c r="S33" s="821"/>
      <c r="T33" s="822"/>
      <c r="U33" s="827"/>
      <c r="V33" s="824"/>
      <c r="W33" s="828"/>
      <c r="X33" s="821"/>
      <c r="Y33" s="822"/>
      <c r="Z33" s="823"/>
      <c r="AA33" s="824"/>
      <c r="AB33" s="828"/>
      <c r="AC33" s="821"/>
      <c r="AD33" s="822"/>
      <c r="AE33" s="803"/>
      <c r="AF33" s="824"/>
      <c r="AG33" s="828"/>
      <c r="AH33" s="821"/>
      <c r="AI33" s="822"/>
      <c r="AJ33" s="803"/>
      <c r="AK33" s="824"/>
      <c r="AL33" s="828"/>
      <c r="AM33" s="821"/>
      <c r="AN33" s="822"/>
      <c r="AO33" s="803"/>
      <c r="AP33" s="824"/>
      <c r="AQ33" s="828"/>
      <c r="AR33" s="821"/>
      <c r="AS33" s="822"/>
      <c r="AT33" s="803"/>
      <c r="AU33" s="824"/>
      <c r="AV33" s="828"/>
      <c r="AW33" s="821"/>
      <c r="AX33" s="822"/>
      <c r="AY33" s="803"/>
      <c r="AZ33" s="824"/>
      <c r="BA33" s="828"/>
      <c r="BB33" s="821"/>
      <c r="BC33" s="822"/>
      <c r="BD33" s="803"/>
      <c r="BE33" s="824"/>
      <c r="BF33" s="828"/>
      <c r="BG33" s="821"/>
      <c r="BH33" s="822"/>
      <c r="BI33" s="803"/>
      <c r="BJ33" s="824"/>
      <c r="BK33" s="828"/>
      <c r="BL33" s="821"/>
      <c r="BM33" s="822"/>
      <c r="BN33" s="803"/>
      <c r="BO33" s="824"/>
      <c r="BP33" s="828"/>
      <c r="BQ33" s="821"/>
      <c r="BR33" s="822"/>
      <c r="BS33" s="803"/>
      <c r="BT33" s="824"/>
      <c r="BU33" s="828"/>
      <c r="BV33" s="821"/>
      <c r="BW33" s="822"/>
      <c r="BX33" s="803"/>
      <c r="BY33" s="824"/>
      <c r="BZ33" s="828"/>
      <c r="CA33" s="821"/>
      <c r="CB33" s="822"/>
      <c r="CC33" s="803"/>
      <c r="CD33" s="824"/>
      <c r="CE33" s="828"/>
      <c r="CF33" s="821"/>
      <c r="CG33" s="822"/>
      <c r="CH33" s="803"/>
      <c r="CI33" s="824"/>
      <c r="CJ33" s="836"/>
      <c r="CK33" s="821"/>
      <c r="CL33" s="822"/>
      <c r="CM33" s="803"/>
      <c r="CN33" s="823"/>
      <c r="CO33" s="836"/>
      <c r="CP33" s="821"/>
      <c r="CQ33" s="822"/>
      <c r="CR33" s="803"/>
      <c r="CS33" s="823"/>
      <c r="CT33" s="836"/>
      <c r="CU33" s="821"/>
      <c r="CV33" s="822"/>
      <c r="CW33" s="803"/>
      <c r="CX33" s="823"/>
      <c r="CY33" s="836"/>
      <c r="CZ33" s="821"/>
      <c r="DA33" s="822"/>
      <c r="DB33" s="803"/>
      <c r="DC33" s="823"/>
      <c r="DD33" s="836"/>
      <c r="DE33" s="821"/>
      <c r="DF33" s="822"/>
      <c r="DG33" s="803"/>
      <c r="DH33" s="823"/>
      <c r="DI33" s="836"/>
      <c r="DJ33" s="821"/>
      <c r="DK33" s="822"/>
      <c r="DL33" s="803"/>
      <c r="DM33" s="823"/>
      <c r="DN33" s="836"/>
      <c r="DO33" s="821"/>
      <c r="DP33" s="822"/>
      <c r="DQ33" s="803"/>
      <c r="DR33" s="823"/>
      <c r="DS33" s="836"/>
      <c r="DT33" s="821"/>
      <c r="DU33" s="822"/>
    </row>
    <row r="34" spans="2:125" x14ac:dyDescent="0.25">
      <c r="B34" s="803"/>
      <c r="C34" s="828"/>
      <c r="D34" s="821"/>
      <c r="E34" s="822"/>
      <c r="F34" s="768"/>
      <c r="G34" s="769"/>
      <c r="H34" s="828"/>
      <c r="I34" s="821"/>
      <c r="J34" s="822"/>
      <c r="K34" s="823"/>
      <c r="L34" s="769"/>
      <c r="M34" s="828"/>
      <c r="N34" s="821"/>
      <c r="O34" s="822"/>
      <c r="P34" s="823"/>
      <c r="Q34" s="824"/>
      <c r="R34" s="828"/>
      <c r="S34" s="821"/>
      <c r="T34" s="822"/>
      <c r="U34" s="827"/>
      <c r="V34" s="824"/>
      <c r="W34" s="828"/>
      <c r="X34" s="821"/>
      <c r="Y34" s="822"/>
      <c r="Z34" s="823"/>
      <c r="AA34" s="824"/>
      <c r="AB34" s="828"/>
      <c r="AC34" s="821"/>
      <c r="AD34" s="822"/>
      <c r="AE34" s="803"/>
      <c r="AF34" s="824"/>
      <c r="AG34" s="828"/>
      <c r="AH34" s="821"/>
      <c r="AI34" s="822"/>
      <c r="AJ34" s="803"/>
      <c r="AK34" s="824"/>
      <c r="AL34" s="828"/>
      <c r="AM34" s="821"/>
      <c r="AN34" s="822"/>
      <c r="AO34" s="803"/>
      <c r="AP34" s="824"/>
      <c r="AQ34" s="828"/>
      <c r="AR34" s="821"/>
      <c r="AS34" s="822"/>
      <c r="AT34" s="803"/>
      <c r="AU34" s="824"/>
      <c r="AV34" s="828"/>
      <c r="AW34" s="821"/>
      <c r="AX34" s="822"/>
      <c r="AY34" s="803"/>
      <c r="AZ34" s="824"/>
      <c r="BA34" s="828"/>
      <c r="BB34" s="821"/>
      <c r="BC34" s="822"/>
      <c r="BD34" s="803"/>
      <c r="BE34" s="824"/>
      <c r="BF34" s="828"/>
      <c r="BG34" s="821"/>
      <c r="BH34" s="822"/>
      <c r="BI34" s="803"/>
      <c r="BJ34" s="824"/>
      <c r="BK34" s="828"/>
      <c r="BL34" s="821"/>
      <c r="BM34" s="822"/>
      <c r="BN34" s="803"/>
      <c r="BO34" s="824"/>
      <c r="BP34" s="828"/>
      <c r="BQ34" s="821"/>
      <c r="BR34" s="822"/>
      <c r="BS34" s="803"/>
      <c r="BT34" s="823"/>
      <c r="BU34" s="828"/>
      <c r="BV34" s="821"/>
      <c r="BW34" s="822"/>
      <c r="BX34" s="803"/>
      <c r="BY34" s="824"/>
      <c r="BZ34" s="828"/>
      <c r="CA34" s="821"/>
      <c r="CB34" s="822"/>
      <c r="CC34" s="803"/>
      <c r="CD34" s="824"/>
      <c r="CE34" s="828"/>
      <c r="CF34" s="821"/>
      <c r="CG34" s="822"/>
      <c r="CH34" s="803"/>
      <c r="CI34" s="824"/>
      <c r="CJ34" s="836"/>
      <c r="CK34" s="821"/>
      <c r="CL34" s="822"/>
      <c r="CM34" s="803"/>
      <c r="CN34" s="835"/>
      <c r="CO34" s="836"/>
      <c r="CP34" s="821"/>
      <c r="CQ34" s="822"/>
      <c r="CR34" s="803"/>
      <c r="CS34" s="835"/>
      <c r="CT34" s="836"/>
      <c r="CU34" s="821"/>
      <c r="CV34" s="822"/>
      <c r="CW34" s="803"/>
      <c r="CX34" s="835"/>
      <c r="CY34" s="836"/>
      <c r="CZ34" s="821"/>
      <c r="DA34" s="822"/>
      <c r="DB34" s="803"/>
      <c r="DC34" s="835"/>
      <c r="DD34" s="836"/>
      <c r="DE34" s="821"/>
      <c r="DF34" s="822"/>
      <c r="DG34" s="803"/>
      <c r="DH34" s="835"/>
      <c r="DI34" s="836"/>
      <c r="DJ34" s="821"/>
      <c r="DK34" s="822"/>
      <c r="DL34" s="803"/>
      <c r="DM34" s="835"/>
      <c r="DN34" s="836"/>
      <c r="DO34" s="821"/>
      <c r="DP34" s="822"/>
      <c r="DQ34" s="803"/>
      <c r="DR34" s="835"/>
      <c r="DS34" s="836"/>
      <c r="DT34" s="821"/>
      <c r="DU34" s="822"/>
    </row>
    <row r="35" spans="2:125" x14ac:dyDescent="0.25">
      <c r="B35" s="803"/>
      <c r="C35" s="828"/>
      <c r="D35" s="821"/>
      <c r="E35" s="822"/>
      <c r="F35" s="768"/>
      <c r="G35" s="769"/>
      <c r="H35" s="828"/>
      <c r="I35" s="821"/>
      <c r="J35" s="822"/>
      <c r="K35" s="823"/>
      <c r="L35" s="769"/>
      <c r="M35" s="828"/>
      <c r="N35" s="821"/>
      <c r="O35" s="822"/>
      <c r="P35" s="823"/>
      <c r="Q35" s="824"/>
      <c r="R35" s="828"/>
      <c r="S35" s="821"/>
      <c r="T35" s="822"/>
      <c r="U35" s="827"/>
      <c r="V35" s="824"/>
      <c r="W35" s="828"/>
      <c r="X35" s="821"/>
      <c r="Y35" s="822"/>
      <c r="Z35" s="823"/>
      <c r="AA35" s="824"/>
      <c r="AB35" s="828"/>
      <c r="AC35" s="821"/>
      <c r="AD35" s="822"/>
      <c r="AE35" s="803"/>
      <c r="AF35" s="824"/>
      <c r="AG35" s="828"/>
      <c r="AH35" s="821"/>
      <c r="AI35" s="822"/>
      <c r="AJ35" s="803"/>
      <c r="AK35" s="824"/>
      <c r="AL35" s="828"/>
      <c r="AM35" s="821"/>
      <c r="AN35" s="822"/>
      <c r="AO35" s="803"/>
      <c r="AP35" s="824"/>
      <c r="AQ35" s="828"/>
      <c r="AR35" s="821"/>
      <c r="AS35" s="822"/>
      <c r="AT35" s="803"/>
      <c r="AU35" s="824"/>
      <c r="AV35" s="828"/>
      <c r="AW35" s="821"/>
      <c r="AX35" s="822"/>
      <c r="AY35" s="803"/>
      <c r="AZ35" s="824"/>
      <c r="BA35" s="828"/>
      <c r="BB35" s="821"/>
      <c r="BC35" s="822"/>
      <c r="BD35" s="803"/>
      <c r="BE35" s="824"/>
      <c r="BF35" s="828"/>
      <c r="BG35" s="821"/>
      <c r="BH35" s="822"/>
      <c r="BI35" s="803"/>
      <c r="BJ35" s="824"/>
      <c r="BK35" s="828"/>
      <c r="BL35" s="821"/>
      <c r="BM35" s="822"/>
      <c r="BN35" s="803"/>
      <c r="BO35" s="824"/>
      <c r="BP35" s="828"/>
      <c r="BQ35" s="821"/>
      <c r="BR35" s="822"/>
      <c r="BS35" s="803"/>
      <c r="BT35" s="823"/>
      <c r="BU35" s="828"/>
      <c r="BV35" s="821"/>
      <c r="BW35" s="822"/>
      <c r="BX35" s="803"/>
      <c r="BY35" s="824"/>
      <c r="BZ35" s="828"/>
      <c r="CA35" s="821"/>
      <c r="CB35" s="822"/>
      <c r="CC35" s="803"/>
      <c r="CD35" s="824"/>
      <c r="CE35" s="828"/>
      <c r="CF35" s="821"/>
      <c r="CG35" s="822"/>
      <c r="CH35" s="803"/>
      <c r="CI35" s="824"/>
      <c r="CJ35" s="828"/>
      <c r="CK35" s="821"/>
      <c r="CL35" s="833"/>
      <c r="CM35" s="803"/>
      <c r="CN35" s="823"/>
      <c r="CO35" s="836"/>
      <c r="CP35" s="821"/>
      <c r="CQ35" s="822"/>
      <c r="CR35" s="803"/>
      <c r="CS35" s="823"/>
      <c r="CT35" s="836"/>
      <c r="CU35" s="821"/>
      <c r="CV35" s="822"/>
      <c r="CW35" s="803"/>
      <c r="CX35" s="823"/>
      <c r="CY35" s="836"/>
      <c r="CZ35" s="821"/>
      <c r="DA35" s="822"/>
      <c r="DB35" s="803"/>
      <c r="DC35" s="823"/>
      <c r="DD35" s="836"/>
      <c r="DE35" s="821"/>
      <c r="DF35" s="822"/>
      <c r="DG35" s="803"/>
      <c r="DH35" s="823"/>
      <c r="DI35" s="836"/>
      <c r="DJ35" s="821"/>
      <c r="DK35" s="822"/>
      <c r="DL35" s="803"/>
      <c r="DM35" s="823"/>
      <c r="DN35" s="836"/>
      <c r="DO35" s="821"/>
      <c r="DP35" s="822"/>
      <c r="DQ35" s="803"/>
      <c r="DR35" s="823"/>
      <c r="DS35" s="836"/>
      <c r="DT35" s="821"/>
      <c r="DU35" s="822"/>
    </row>
    <row r="36" spans="2:125" x14ac:dyDescent="0.25">
      <c r="B36" s="803"/>
      <c r="C36" s="828"/>
      <c r="D36" s="821"/>
      <c r="E36" s="822"/>
      <c r="F36" s="823"/>
      <c r="G36" s="824"/>
      <c r="H36" s="828"/>
      <c r="I36" s="821"/>
      <c r="J36" s="822"/>
      <c r="K36" s="823"/>
      <c r="L36" s="824"/>
      <c r="M36" s="828"/>
      <c r="N36" s="821"/>
      <c r="O36" s="822"/>
      <c r="P36" s="823"/>
      <c r="Q36" s="824"/>
      <c r="R36" s="828"/>
      <c r="S36" s="821"/>
      <c r="T36" s="822"/>
      <c r="U36" s="827"/>
      <c r="V36" s="824"/>
      <c r="W36" s="828"/>
      <c r="X36" s="821"/>
      <c r="Y36" s="822"/>
      <c r="Z36" s="823"/>
      <c r="AA36" s="824"/>
      <c r="AB36" s="828"/>
      <c r="AC36" s="821"/>
      <c r="AD36" s="822"/>
      <c r="AE36" s="803"/>
      <c r="AF36" s="824"/>
      <c r="AG36" s="828"/>
      <c r="AH36" s="821"/>
      <c r="AI36" s="822"/>
      <c r="AJ36" s="803"/>
      <c r="AK36" s="824"/>
      <c r="AL36" s="828"/>
      <c r="AM36" s="821"/>
      <c r="AN36" s="822"/>
      <c r="AO36" s="803"/>
      <c r="AP36" s="824"/>
      <c r="AQ36" s="828"/>
      <c r="AR36" s="821"/>
      <c r="AS36" s="822"/>
      <c r="AT36" s="803"/>
      <c r="AU36" s="824"/>
      <c r="AV36" s="828"/>
      <c r="AW36" s="821"/>
      <c r="AX36" s="822"/>
      <c r="AY36" s="803"/>
      <c r="AZ36" s="824"/>
      <c r="BA36" s="828"/>
      <c r="BB36" s="821"/>
      <c r="BC36" s="822"/>
      <c r="BD36" s="803"/>
      <c r="BE36" s="824"/>
      <c r="BF36" s="828"/>
      <c r="BG36" s="821"/>
      <c r="BH36" s="822"/>
      <c r="BI36" s="803"/>
      <c r="BJ36" s="824"/>
      <c r="BK36" s="828"/>
      <c r="BL36" s="821"/>
      <c r="BM36" s="822"/>
      <c r="BN36" s="803"/>
      <c r="BO36" s="824"/>
      <c r="BP36" s="828"/>
      <c r="BQ36" s="821"/>
      <c r="BR36" s="822"/>
      <c r="BS36" s="803"/>
      <c r="BT36" s="823"/>
      <c r="BU36" s="828"/>
      <c r="BV36" s="821"/>
      <c r="BW36" s="822"/>
      <c r="BX36" s="803"/>
      <c r="BY36" s="824"/>
      <c r="BZ36" s="828"/>
      <c r="CA36" s="821"/>
      <c r="CB36" s="822"/>
      <c r="CC36" s="803"/>
      <c r="CD36" s="824"/>
      <c r="CE36" s="828"/>
      <c r="CF36" s="821"/>
      <c r="CG36" s="822"/>
      <c r="CH36" s="803"/>
      <c r="CI36" s="824"/>
      <c r="CJ36" s="828"/>
      <c r="CK36" s="821"/>
      <c r="CL36" s="822"/>
      <c r="CM36" s="803"/>
      <c r="CN36" s="823"/>
      <c r="CO36" s="836"/>
      <c r="CP36" s="821"/>
      <c r="CQ36" s="822"/>
      <c r="CR36" s="803"/>
      <c r="CS36" s="823"/>
      <c r="CT36" s="836"/>
      <c r="CU36" s="821"/>
      <c r="CV36" s="822"/>
      <c r="CW36" s="803"/>
      <c r="CX36" s="823"/>
      <c r="CY36" s="836"/>
      <c r="CZ36" s="821"/>
      <c r="DA36" s="822"/>
      <c r="DB36" s="803"/>
      <c r="DC36" s="823"/>
      <c r="DD36" s="836"/>
      <c r="DE36" s="821"/>
      <c r="DF36" s="822"/>
      <c r="DG36" s="803"/>
      <c r="DH36" s="823"/>
      <c r="DI36" s="836"/>
      <c r="DJ36" s="821"/>
      <c r="DK36" s="822"/>
      <c r="DL36" s="803"/>
      <c r="DM36" s="823"/>
      <c r="DN36" s="836"/>
      <c r="DO36" s="821"/>
      <c r="DP36" s="822"/>
      <c r="DQ36" s="803"/>
      <c r="DR36" s="823"/>
      <c r="DS36" s="836"/>
      <c r="DT36" s="821"/>
      <c r="DU36" s="822"/>
    </row>
    <row r="37" spans="2:125" x14ac:dyDescent="0.25">
      <c r="B37" s="803"/>
      <c r="C37" s="828"/>
      <c r="D37" s="821"/>
      <c r="E37" s="822"/>
      <c r="F37" s="823"/>
      <c r="G37" s="824"/>
      <c r="H37" s="828"/>
      <c r="I37" s="821"/>
      <c r="J37" s="822"/>
      <c r="K37" s="823"/>
      <c r="L37" s="824"/>
      <c r="M37" s="828"/>
      <c r="N37" s="821"/>
      <c r="O37" s="822"/>
      <c r="P37" s="823"/>
      <c r="Q37" s="824"/>
      <c r="R37" s="828"/>
      <c r="S37" s="821"/>
      <c r="T37" s="822"/>
      <c r="U37" s="827"/>
      <c r="V37" s="824"/>
      <c r="W37" s="828"/>
      <c r="X37" s="821"/>
      <c r="Y37" s="822"/>
      <c r="Z37" s="823"/>
      <c r="AA37" s="824"/>
      <c r="AB37" s="828"/>
      <c r="AC37" s="821"/>
      <c r="AD37" s="822"/>
      <c r="AE37" s="803"/>
      <c r="AF37" s="824"/>
      <c r="AG37" s="828"/>
      <c r="AH37" s="821"/>
      <c r="AI37" s="822"/>
      <c r="AJ37" s="803"/>
      <c r="AK37" s="824"/>
      <c r="AL37" s="828"/>
      <c r="AM37" s="821"/>
      <c r="AN37" s="822"/>
      <c r="AO37" s="803"/>
      <c r="AP37" s="824"/>
      <c r="AQ37" s="828"/>
      <c r="AR37" s="821"/>
      <c r="AS37" s="822"/>
      <c r="AT37" s="803"/>
      <c r="AU37" s="824"/>
      <c r="AV37" s="828"/>
      <c r="AW37" s="821"/>
      <c r="AX37" s="822"/>
      <c r="AY37" s="803"/>
      <c r="AZ37" s="824"/>
      <c r="BA37" s="828"/>
      <c r="BB37" s="821"/>
      <c r="BC37" s="822"/>
      <c r="BD37" s="803"/>
      <c r="BE37" s="824"/>
      <c r="BF37" s="828"/>
      <c r="BG37" s="821"/>
      <c r="BH37" s="822"/>
      <c r="BI37" s="803"/>
      <c r="BJ37" s="824"/>
      <c r="BK37" s="828"/>
      <c r="BL37" s="821"/>
      <c r="BM37" s="822"/>
      <c r="BN37" s="803"/>
      <c r="BO37" s="824"/>
      <c r="BP37" s="828"/>
      <c r="BQ37" s="821"/>
      <c r="BR37" s="822"/>
      <c r="BS37" s="803"/>
      <c r="BT37" s="803"/>
      <c r="BU37" s="828"/>
      <c r="BV37" s="821"/>
      <c r="BW37" s="822"/>
      <c r="BX37" s="803"/>
      <c r="BY37" s="824"/>
      <c r="BZ37" s="828"/>
      <c r="CA37" s="821"/>
      <c r="CB37" s="822"/>
      <c r="CC37" s="803"/>
      <c r="CD37" s="824"/>
      <c r="CE37" s="828"/>
      <c r="CF37" s="821"/>
      <c r="CG37" s="822"/>
      <c r="CH37" s="803"/>
      <c r="CI37" s="824"/>
      <c r="CJ37" s="828"/>
      <c r="CK37" s="821"/>
      <c r="CL37" s="822"/>
      <c r="CM37" s="803"/>
      <c r="CN37" s="823"/>
      <c r="CO37" s="836"/>
      <c r="CP37" s="821"/>
      <c r="CQ37" s="822"/>
      <c r="CR37" s="803"/>
      <c r="CS37" s="823"/>
      <c r="CT37" s="836"/>
      <c r="CU37" s="821"/>
      <c r="CV37" s="822"/>
      <c r="CW37" s="803"/>
      <c r="CX37" s="823"/>
      <c r="CY37" s="836"/>
      <c r="CZ37" s="821"/>
      <c r="DA37" s="822"/>
      <c r="DB37" s="803"/>
      <c r="DC37" s="823"/>
      <c r="DD37" s="836"/>
      <c r="DE37" s="821"/>
      <c r="DF37" s="822"/>
      <c r="DG37" s="803"/>
      <c r="DH37" s="823"/>
      <c r="DI37" s="836"/>
      <c r="DJ37" s="821"/>
      <c r="DK37" s="822"/>
      <c r="DL37" s="803"/>
      <c r="DM37" s="823"/>
      <c r="DN37" s="836"/>
      <c r="DO37" s="821"/>
      <c r="DP37" s="822"/>
      <c r="DQ37" s="803"/>
      <c r="DR37" s="823"/>
      <c r="DS37" s="836"/>
      <c r="DT37" s="821"/>
      <c r="DU37" s="822"/>
    </row>
    <row r="38" spans="2:125" x14ac:dyDescent="0.25">
      <c r="B38" s="803"/>
      <c r="C38" s="828"/>
      <c r="D38" s="821"/>
      <c r="E38" s="822"/>
      <c r="F38" s="823"/>
      <c r="G38" s="824"/>
      <c r="H38" s="828"/>
      <c r="I38" s="821"/>
      <c r="J38" s="822"/>
      <c r="K38" s="823"/>
      <c r="L38" s="824"/>
      <c r="M38" s="828"/>
      <c r="N38" s="821"/>
      <c r="O38" s="822"/>
      <c r="P38" s="823"/>
      <c r="Q38" s="824"/>
      <c r="R38" s="828"/>
      <c r="S38" s="821"/>
      <c r="T38" s="822"/>
      <c r="U38" s="827"/>
      <c r="V38" s="824"/>
      <c r="W38" s="828"/>
      <c r="X38" s="821"/>
      <c r="Y38" s="822"/>
      <c r="Z38" s="823"/>
      <c r="AA38" s="824"/>
      <c r="AB38" s="828"/>
      <c r="AC38" s="821"/>
      <c r="AD38" s="822"/>
      <c r="AE38" s="803"/>
      <c r="AF38" s="824"/>
      <c r="AG38" s="828"/>
      <c r="AH38" s="821"/>
      <c r="AI38" s="822"/>
      <c r="AJ38" s="803"/>
      <c r="AK38" s="824"/>
      <c r="AL38" s="828"/>
      <c r="AM38" s="821"/>
      <c r="AN38" s="822"/>
      <c r="AO38" s="803"/>
      <c r="AP38" s="824"/>
      <c r="AQ38" s="828"/>
      <c r="AR38" s="821"/>
      <c r="AS38" s="822"/>
      <c r="AT38" s="803"/>
      <c r="AU38" s="824"/>
      <c r="AV38" s="828"/>
      <c r="AW38" s="821"/>
      <c r="AX38" s="822"/>
      <c r="AY38" s="803"/>
      <c r="AZ38" s="824"/>
      <c r="BA38" s="828"/>
      <c r="BB38" s="821"/>
      <c r="BC38" s="822"/>
      <c r="BD38" s="803"/>
      <c r="BE38" s="824"/>
      <c r="BF38" s="828"/>
      <c r="BG38" s="821"/>
      <c r="BH38" s="822"/>
      <c r="BI38" s="803"/>
      <c r="BJ38" s="824"/>
      <c r="BK38" s="828"/>
      <c r="BL38" s="821"/>
      <c r="BM38" s="822"/>
      <c r="BN38" s="803"/>
      <c r="BO38" s="824"/>
      <c r="BP38" s="828"/>
      <c r="BQ38" s="821"/>
      <c r="BR38" s="822"/>
      <c r="BS38" s="803"/>
      <c r="BT38" s="803"/>
      <c r="BU38" s="828"/>
      <c r="BV38" s="821"/>
      <c r="BW38" s="822"/>
      <c r="BX38" s="803"/>
      <c r="BY38" s="824"/>
      <c r="BZ38" s="828"/>
      <c r="CA38" s="821"/>
      <c r="CB38" s="822"/>
      <c r="CC38" s="803"/>
      <c r="CD38" s="824"/>
      <c r="CE38" s="828"/>
      <c r="CF38" s="821"/>
      <c r="CG38" s="822"/>
      <c r="CH38" s="803"/>
      <c r="CI38" s="824"/>
      <c r="CJ38" s="828"/>
      <c r="CK38" s="821"/>
      <c r="CL38" s="822"/>
      <c r="CM38" s="803"/>
      <c r="CN38" s="823"/>
      <c r="CO38" s="828"/>
      <c r="CP38" s="821"/>
      <c r="CQ38" s="822"/>
      <c r="CR38" s="803"/>
      <c r="CS38" s="823"/>
      <c r="CT38" s="828"/>
      <c r="CU38" s="821"/>
      <c r="CV38" s="822"/>
      <c r="CW38" s="803"/>
      <c r="CX38" s="823"/>
      <c r="CY38" s="828"/>
      <c r="CZ38" s="821"/>
      <c r="DA38" s="822"/>
      <c r="DB38" s="803"/>
      <c r="DC38" s="823"/>
      <c r="DD38" s="828"/>
      <c r="DE38" s="821"/>
      <c r="DF38" s="822"/>
      <c r="DG38" s="803"/>
      <c r="DH38" s="823"/>
      <c r="DI38" s="828"/>
      <c r="DJ38" s="821"/>
      <c r="DK38" s="822"/>
      <c r="DL38" s="803"/>
      <c r="DM38" s="823"/>
      <c r="DN38" s="828"/>
      <c r="DO38" s="821"/>
      <c r="DP38" s="822"/>
      <c r="DQ38" s="803"/>
      <c r="DR38" s="823"/>
      <c r="DS38" s="828"/>
      <c r="DT38" s="821"/>
      <c r="DU38" s="822"/>
    </row>
    <row r="39" spans="2:125" x14ac:dyDescent="0.25">
      <c r="B39" s="803"/>
      <c r="C39" s="828"/>
      <c r="D39" s="821"/>
      <c r="E39" s="822"/>
      <c r="F39" s="823"/>
      <c r="G39" s="824"/>
      <c r="H39" s="828"/>
      <c r="I39" s="821"/>
      <c r="J39" s="822"/>
      <c r="K39" s="823"/>
      <c r="L39" s="824"/>
      <c r="M39" s="828"/>
      <c r="N39" s="821"/>
      <c r="O39" s="822"/>
      <c r="P39" s="823"/>
      <c r="Q39" s="824"/>
      <c r="R39" s="828"/>
      <c r="S39" s="821"/>
      <c r="T39" s="822"/>
      <c r="U39" s="827"/>
      <c r="V39" s="824"/>
      <c r="W39" s="828"/>
      <c r="X39" s="821"/>
      <c r="Y39" s="822"/>
      <c r="Z39" s="823"/>
      <c r="AA39" s="824"/>
      <c r="AB39" s="828"/>
      <c r="AC39" s="821"/>
      <c r="AD39" s="822"/>
      <c r="AE39" s="803"/>
      <c r="AF39" s="824"/>
      <c r="AG39" s="828"/>
      <c r="AH39" s="821"/>
      <c r="AI39" s="822"/>
      <c r="AJ39" s="803"/>
      <c r="AK39" s="824"/>
      <c r="AL39" s="828"/>
      <c r="AM39" s="821"/>
      <c r="AN39" s="822"/>
      <c r="AO39" s="803"/>
      <c r="AP39" s="824"/>
      <c r="AQ39" s="828"/>
      <c r="AR39" s="821"/>
      <c r="AS39" s="822"/>
      <c r="AT39" s="803"/>
      <c r="AU39" s="824"/>
      <c r="AV39" s="828"/>
      <c r="AW39" s="821"/>
      <c r="AX39" s="822"/>
      <c r="AY39" s="803"/>
      <c r="AZ39" s="824"/>
      <c r="BA39" s="828"/>
      <c r="BB39" s="821"/>
      <c r="BC39" s="822"/>
      <c r="BD39" s="803"/>
      <c r="BE39" s="824"/>
      <c r="BF39" s="828"/>
      <c r="BG39" s="821"/>
      <c r="BH39" s="822"/>
      <c r="BI39" s="803"/>
      <c r="BJ39" s="824"/>
      <c r="BK39" s="828"/>
      <c r="BL39" s="821"/>
      <c r="BM39" s="822"/>
      <c r="BN39" s="803"/>
      <c r="BO39" s="824"/>
      <c r="BP39" s="828"/>
      <c r="BQ39" s="821"/>
      <c r="BR39" s="822"/>
      <c r="BS39" s="803"/>
      <c r="BT39" s="803"/>
      <c r="BU39" s="828"/>
      <c r="BV39" s="821"/>
      <c r="BW39" s="822"/>
      <c r="BX39" s="803"/>
      <c r="BY39" s="824"/>
      <c r="BZ39" s="828"/>
      <c r="CA39" s="821"/>
      <c r="CB39" s="822"/>
      <c r="CC39" s="803"/>
      <c r="CD39" s="824"/>
      <c r="CE39" s="828"/>
      <c r="CF39" s="821"/>
      <c r="CG39" s="822"/>
      <c r="CH39" s="803"/>
      <c r="CI39" s="824"/>
      <c r="CJ39" s="828"/>
      <c r="CK39" s="821"/>
      <c r="CL39" s="822"/>
      <c r="CM39" s="803"/>
      <c r="CN39" s="823"/>
      <c r="CO39" s="828"/>
      <c r="CP39" s="821"/>
      <c r="CQ39" s="822"/>
      <c r="CR39" s="803"/>
      <c r="CS39" s="823"/>
      <c r="CT39" s="828"/>
      <c r="CU39" s="821"/>
      <c r="CV39" s="822"/>
      <c r="CW39" s="803"/>
      <c r="CX39" s="823"/>
      <c r="CY39" s="828"/>
      <c r="CZ39" s="821"/>
      <c r="DA39" s="822"/>
      <c r="DB39" s="803"/>
      <c r="DC39" s="823"/>
      <c r="DD39" s="828"/>
      <c r="DE39" s="821"/>
      <c r="DF39" s="822"/>
      <c r="DG39" s="803"/>
      <c r="DH39" s="823"/>
      <c r="DI39" s="828"/>
      <c r="DJ39" s="821"/>
      <c r="DK39" s="822"/>
      <c r="DL39" s="803"/>
      <c r="DM39" s="823"/>
      <c r="DN39" s="828"/>
      <c r="DO39" s="821"/>
      <c r="DP39" s="822"/>
      <c r="DQ39" s="803"/>
      <c r="DR39" s="823"/>
      <c r="DS39" s="828"/>
      <c r="DT39" s="821"/>
      <c r="DU39" s="822"/>
    </row>
    <row r="40" spans="2:125" x14ac:dyDescent="0.25">
      <c r="B40" s="803"/>
      <c r="C40" s="828"/>
      <c r="D40" s="821"/>
      <c r="E40" s="822"/>
      <c r="F40" s="823"/>
      <c r="G40" s="824"/>
      <c r="H40" s="828"/>
      <c r="I40" s="821"/>
      <c r="J40" s="822"/>
      <c r="K40" s="823"/>
      <c r="L40" s="824"/>
      <c r="M40" s="828"/>
      <c r="N40" s="821"/>
      <c r="O40" s="822"/>
      <c r="P40" s="823"/>
      <c r="Q40" s="824"/>
      <c r="R40" s="828"/>
      <c r="S40" s="821"/>
      <c r="T40" s="822"/>
      <c r="U40" s="827"/>
      <c r="V40" s="824"/>
      <c r="W40" s="828"/>
      <c r="X40" s="821"/>
      <c r="Y40" s="822"/>
      <c r="Z40" s="823"/>
      <c r="AA40" s="824"/>
      <c r="AB40" s="828"/>
      <c r="AC40" s="821"/>
      <c r="AD40" s="822"/>
      <c r="AE40" s="803"/>
      <c r="AF40" s="824"/>
      <c r="AG40" s="828"/>
      <c r="AH40" s="821"/>
      <c r="AI40" s="822"/>
      <c r="AJ40" s="803"/>
      <c r="AK40" s="824"/>
      <c r="AL40" s="828"/>
      <c r="AM40" s="821"/>
      <c r="AN40" s="822"/>
      <c r="AO40" s="803"/>
      <c r="AP40" s="824"/>
      <c r="AQ40" s="828"/>
      <c r="AR40" s="821"/>
      <c r="AS40" s="822"/>
      <c r="AT40" s="803"/>
      <c r="AU40" s="824"/>
      <c r="AV40" s="828"/>
      <c r="AW40" s="821"/>
      <c r="AX40" s="822"/>
      <c r="AY40" s="803"/>
      <c r="AZ40" s="824"/>
      <c r="BA40" s="828"/>
      <c r="BB40" s="821"/>
      <c r="BC40" s="822"/>
      <c r="BD40" s="803"/>
      <c r="BE40" s="824"/>
      <c r="BF40" s="828"/>
      <c r="BG40" s="821"/>
      <c r="BH40" s="822"/>
      <c r="BI40" s="803"/>
      <c r="BJ40" s="824"/>
      <c r="BK40" s="828"/>
      <c r="BL40" s="821"/>
      <c r="BM40" s="822"/>
      <c r="BN40" s="803"/>
      <c r="BO40" s="824"/>
      <c r="BP40" s="828"/>
      <c r="BQ40" s="821"/>
      <c r="BR40" s="822"/>
      <c r="BS40" s="803"/>
      <c r="BT40" s="803"/>
      <c r="BU40" s="828"/>
      <c r="BV40" s="821"/>
      <c r="BW40" s="822"/>
      <c r="BX40" s="803"/>
      <c r="BY40" s="824"/>
      <c r="BZ40" s="828"/>
      <c r="CA40" s="821"/>
      <c r="CB40" s="822"/>
      <c r="CC40" s="803"/>
      <c r="CD40" s="824"/>
      <c r="CE40" s="828"/>
      <c r="CF40" s="821"/>
      <c r="CG40" s="822"/>
      <c r="CH40" s="803"/>
      <c r="CI40" s="824"/>
      <c r="CJ40" s="828"/>
      <c r="CK40" s="821"/>
      <c r="CL40" s="822"/>
      <c r="CM40" s="803"/>
      <c r="CN40" s="823"/>
      <c r="CO40" s="828"/>
      <c r="CP40" s="821"/>
      <c r="CQ40" s="822"/>
      <c r="CR40" s="803"/>
      <c r="CS40" s="823"/>
      <c r="CT40" s="828"/>
      <c r="CU40" s="821"/>
      <c r="CV40" s="822"/>
      <c r="CW40" s="803"/>
      <c r="CX40" s="823"/>
      <c r="CY40" s="828"/>
      <c r="CZ40" s="821"/>
      <c r="DA40" s="822"/>
      <c r="DB40" s="803"/>
      <c r="DC40" s="823"/>
      <c r="DD40" s="828"/>
      <c r="DE40" s="821"/>
      <c r="DF40" s="822"/>
      <c r="DG40" s="803"/>
      <c r="DH40" s="823"/>
      <c r="DI40" s="828"/>
      <c r="DJ40" s="821"/>
      <c r="DK40" s="822"/>
      <c r="DL40" s="803"/>
      <c r="DM40" s="823"/>
      <c r="DN40" s="828"/>
      <c r="DO40" s="821"/>
      <c r="DP40" s="822"/>
      <c r="DQ40" s="803"/>
      <c r="DR40" s="823"/>
      <c r="DS40" s="828"/>
      <c r="DT40" s="821"/>
      <c r="DU40" s="822"/>
    </row>
    <row r="41" spans="2:125" x14ac:dyDescent="0.25">
      <c r="B41" s="803"/>
      <c r="C41" s="828"/>
      <c r="D41" s="821"/>
      <c r="E41" s="822"/>
      <c r="F41" s="823"/>
      <c r="G41" s="824"/>
      <c r="H41" s="828"/>
      <c r="I41" s="821"/>
      <c r="J41" s="822"/>
      <c r="K41" s="823"/>
      <c r="L41" s="824"/>
      <c r="M41" s="828"/>
      <c r="N41" s="821"/>
      <c r="O41" s="822"/>
      <c r="P41" s="823"/>
      <c r="Q41" s="824"/>
      <c r="R41" s="828"/>
      <c r="S41" s="821"/>
      <c r="T41" s="822"/>
      <c r="U41" s="827"/>
      <c r="V41" s="824"/>
      <c r="W41" s="828"/>
      <c r="X41" s="821"/>
      <c r="Y41" s="822"/>
      <c r="Z41" s="823"/>
      <c r="AA41" s="824"/>
      <c r="AB41" s="828"/>
      <c r="AC41" s="821"/>
      <c r="AD41" s="822"/>
      <c r="AE41" s="803"/>
      <c r="AF41" s="824"/>
      <c r="AG41" s="828"/>
      <c r="AH41" s="821"/>
      <c r="AI41" s="822"/>
      <c r="AJ41" s="803"/>
      <c r="AK41" s="824"/>
      <c r="AL41" s="828"/>
      <c r="AM41" s="821"/>
      <c r="AN41" s="822"/>
      <c r="AO41" s="803"/>
      <c r="AP41" s="824"/>
      <c r="AQ41" s="828"/>
      <c r="AR41" s="821"/>
      <c r="AS41" s="822"/>
      <c r="AT41" s="803"/>
      <c r="AU41" s="824"/>
      <c r="AV41" s="828"/>
      <c r="AW41" s="821"/>
      <c r="AX41" s="822"/>
      <c r="AY41" s="803"/>
      <c r="AZ41" s="824"/>
      <c r="BA41" s="828"/>
      <c r="BB41" s="821"/>
      <c r="BC41" s="822"/>
      <c r="BD41" s="803"/>
      <c r="BE41" s="824"/>
      <c r="BF41" s="828"/>
      <c r="BG41" s="821"/>
      <c r="BH41" s="822"/>
      <c r="BI41" s="803"/>
      <c r="BJ41" s="824"/>
      <c r="BK41" s="828"/>
      <c r="BL41" s="821"/>
      <c r="BM41" s="822"/>
      <c r="BN41" s="803"/>
      <c r="BO41" s="824"/>
      <c r="BP41" s="828"/>
      <c r="BQ41" s="821"/>
      <c r="BR41" s="822"/>
      <c r="BS41" s="803"/>
      <c r="BT41" s="803"/>
      <c r="BU41" s="828"/>
      <c r="BV41" s="821"/>
      <c r="BW41" s="822"/>
      <c r="BX41" s="803"/>
      <c r="BY41" s="824"/>
      <c r="BZ41" s="828"/>
      <c r="CA41" s="821"/>
      <c r="CB41" s="822"/>
      <c r="CC41" s="803"/>
      <c r="CD41" s="824"/>
      <c r="CE41" s="828"/>
      <c r="CF41" s="821"/>
      <c r="CG41" s="822"/>
      <c r="CH41" s="803"/>
      <c r="CI41" s="824"/>
      <c r="CJ41" s="828"/>
      <c r="CK41" s="821"/>
      <c r="CL41" s="822"/>
      <c r="CM41" s="803"/>
      <c r="CN41" s="823"/>
      <c r="CO41" s="828"/>
      <c r="CP41" s="821"/>
      <c r="CQ41" s="822"/>
      <c r="CR41" s="803"/>
      <c r="CS41" s="823"/>
      <c r="CT41" s="828"/>
      <c r="CU41" s="821"/>
      <c r="CV41" s="822"/>
      <c r="CW41" s="803"/>
      <c r="CX41" s="823"/>
      <c r="CY41" s="828"/>
      <c r="CZ41" s="821"/>
      <c r="DA41" s="822"/>
      <c r="DB41" s="803"/>
      <c r="DC41" s="823"/>
      <c r="DD41" s="828"/>
      <c r="DE41" s="821"/>
      <c r="DF41" s="822"/>
      <c r="DG41" s="803"/>
      <c r="DH41" s="823"/>
      <c r="DI41" s="828"/>
      <c r="DJ41" s="821"/>
      <c r="DK41" s="822"/>
      <c r="DL41" s="803"/>
      <c r="DM41" s="823"/>
      <c r="DN41" s="828"/>
      <c r="DO41" s="821"/>
      <c r="DP41" s="822"/>
      <c r="DQ41" s="803"/>
      <c r="DR41" s="823"/>
      <c r="DS41" s="828"/>
      <c r="DT41" s="821"/>
      <c r="DU41" s="822"/>
    </row>
    <row r="42" spans="2:125" x14ac:dyDescent="0.25">
      <c r="B42" s="803"/>
      <c r="C42" s="828"/>
      <c r="D42" s="821"/>
      <c r="E42" s="822"/>
      <c r="F42" s="823"/>
      <c r="G42" s="824"/>
      <c r="H42" s="828"/>
      <c r="I42" s="821"/>
      <c r="J42" s="822"/>
      <c r="K42" s="823"/>
      <c r="L42" s="824"/>
      <c r="M42" s="828"/>
      <c r="N42" s="821"/>
      <c r="O42" s="822"/>
      <c r="P42" s="823"/>
      <c r="Q42" s="824"/>
      <c r="R42" s="828"/>
      <c r="S42" s="821"/>
      <c r="T42" s="822"/>
      <c r="U42" s="827"/>
      <c r="V42" s="824"/>
      <c r="W42" s="828"/>
      <c r="X42" s="821"/>
      <c r="Y42" s="822"/>
      <c r="Z42" s="823"/>
      <c r="AA42" s="824"/>
      <c r="AB42" s="828"/>
      <c r="AC42" s="821"/>
      <c r="AD42" s="822"/>
      <c r="AE42" s="803"/>
      <c r="AF42" s="824"/>
      <c r="AG42" s="828"/>
      <c r="AH42" s="821"/>
      <c r="AI42" s="822"/>
      <c r="AJ42" s="803"/>
      <c r="AK42" s="824"/>
      <c r="AL42" s="828"/>
      <c r="AM42" s="821"/>
      <c r="AN42" s="822"/>
      <c r="AO42" s="803"/>
      <c r="AP42" s="824"/>
      <c r="AQ42" s="828"/>
      <c r="AR42" s="821"/>
      <c r="AS42" s="822"/>
      <c r="AT42" s="803"/>
      <c r="AU42" s="824"/>
      <c r="AV42" s="828"/>
      <c r="AW42" s="821"/>
      <c r="AX42" s="822"/>
      <c r="AY42" s="803"/>
      <c r="AZ42" s="824"/>
      <c r="BA42" s="828"/>
      <c r="BB42" s="821"/>
      <c r="BC42" s="822"/>
      <c r="BD42" s="803"/>
      <c r="BE42" s="824"/>
      <c r="BF42" s="828"/>
      <c r="BG42" s="821"/>
      <c r="BH42" s="822"/>
      <c r="BI42" s="803"/>
      <c r="BJ42" s="824"/>
      <c r="BK42" s="828"/>
      <c r="BL42" s="821"/>
      <c r="BM42" s="822"/>
      <c r="BN42" s="803"/>
      <c r="BO42" s="824"/>
      <c r="BP42" s="828"/>
      <c r="BQ42" s="821"/>
      <c r="BR42" s="822"/>
      <c r="BS42" s="803"/>
      <c r="BT42" s="803"/>
      <c r="BU42" s="828"/>
      <c r="BV42" s="821"/>
      <c r="BW42" s="822"/>
      <c r="BX42" s="803"/>
      <c r="BY42" s="824"/>
      <c r="BZ42" s="828"/>
      <c r="CA42" s="821"/>
      <c r="CB42" s="822"/>
      <c r="CC42" s="803"/>
      <c r="CD42" s="824"/>
      <c r="CE42" s="828"/>
      <c r="CF42" s="821"/>
      <c r="CG42" s="822"/>
      <c r="CH42" s="803"/>
      <c r="CI42" s="824"/>
      <c r="CJ42" s="828"/>
      <c r="CK42" s="821"/>
      <c r="CL42" s="822"/>
      <c r="CM42" s="803"/>
      <c r="CN42" s="823"/>
      <c r="CO42" s="828"/>
      <c r="CP42" s="821"/>
      <c r="CQ42" s="822"/>
      <c r="CR42" s="803"/>
      <c r="CS42" s="823"/>
      <c r="CT42" s="828"/>
      <c r="CU42" s="821"/>
      <c r="CV42" s="822"/>
      <c r="CW42" s="803"/>
      <c r="CX42" s="823"/>
      <c r="CY42" s="828"/>
      <c r="CZ42" s="821"/>
      <c r="DA42" s="822"/>
      <c r="DB42" s="803"/>
      <c r="DC42" s="823"/>
      <c r="DD42" s="828"/>
      <c r="DE42" s="821"/>
      <c r="DF42" s="822"/>
      <c r="DG42" s="803"/>
      <c r="DH42" s="823"/>
      <c r="DI42" s="828"/>
      <c r="DJ42" s="821"/>
      <c r="DK42" s="822"/>
      <c r="DL42" s="803"/>
      <c r="DM42" s="823"/>
      <c r="DN42" s="828"/>
      <c r="DO42" s="821"/>
      <c r="DP42" s="822"/>
      <c r="DQ42" s="803"/>
      <c r="DR42" s="823"/>
      <c r="DS42" s="828"/>
      <c r="DT42" s="821"/>
      <c r="DU42" s="822"/>
    </row>
    <row r="43" spans="2:125" x14ac:dyDescent="0.25">
      <c r="B43" s="803"/>
      <c r="C43" s="828"/>
      <c r="D43" s="821"/>
      <c r="E43" s="822"/>
      <c r="F43" s="823"/>
      <c r="G43" s="824"/>
      <c r="H43" s="828"/>
      <c r="I43" s="821"/>
      <c r="J43" s="822"/>
      <c r="K43" s="823"/>
      <c r="L43" s="824"/>
      <c r="M43" s="828"/>
      <c r="N43" s="821"/>
      <c r="O43" s="822"/>
      <c r="P43" s="823"/>
      <c r="Q43" s="824"/>
      <c r="R43" s="828"/>
      <c r="S43" s="821"/>
      <c r="T43" s="822"/>
      <c r="U43" s="827"/>
      <c r="V43" s="824"/>
      <c r="W43" s="828"/>
      <c r="X43" s="821"/>
      <c r="Y43" s="822"/>
      <c r="Z43" s="823"/>
      <c r="AA43" s="824"/>
      <c r="AB43" s="828"/>
      <c r="AC43" s="821"/>
      <c r="AD43" s="822"/>
      <c r="AE43" s="803"/>
      <c r="AF43" s="824"/>
      <c r="AG43" s="828"/>
      <c r="AH43" s="821"/>
      <c r="AI43" s="822"/>
      <c r="AJ43" s="803"/>
      <c r="AK43" s="824"/>
      <c r="AL43" s="828"/>
      <c r="AM43" s="821"/>
      <c r="AN43" s="822"/>
      <c r="AO43" s="803"/>
      <c r="AP43" s="824"/>
      <c r="AQ43" s="828"/>
      <c r="AR43" s="821"/>
      <c r="AS43" s="822"/>
      <c r="AT43" s="803"/>
      <c r="AU43" s="824"/>
      <c r="AV43" s="828"/>
      <c r="AW43" s="821"/>
      <c r="AX43" s="822"/>
      <c r="AY43" s="803"/>
      <c r="AZ43" s="824"/>
      <c r="BA43" s="828"/>
      <c r="BB43" s="821"/>
      <c r="BC43" s="822"/>
      <c r="BD43" s="803"/>
      <c r="BE43" s="824"/>
      <c r="BF43" s="828"/>
      <c r="BG43" s="821"/>
      <c r="BH43" s="822"/>
      <c r="BI43" s="803"/>
      <c r="BJ43" s="824"/>
      <c r="BK43" s="828"/>
      <c r="BL43" s="821"/>
      <c r="BM43" s="822"/>
      <c r="BN43" s="803"/>
      <c r="BO43" s="824"/>
      <c r="BP43" s="828"/>
      <c r="BQ43" s="821"/>
      <c r="BR43" s="822"/>
      <c r="BS43" s="803"/>
      <c r="BT43" s="803"/>
      <c r="BU43" s="828"/>
      <c r="BV43" s="821"/>
      <c r="BW43" s="822"/>
      <c r="BX43" s="803"/>
      <c r="BY43" s="824"/>
      <c r="BZ43" s="828"/>
      <c r="CA43" s="821"/>
      <c r="CB43" s="822"/>
      <c r="CC43" s="803"/>
      <c r="CD43" s="824"/>
      <c r="CE43" s="828"/>
      <c r="CF43" s="821"/>
      <c r="CG43" s="822"/>
      <c r="CH43" s="803"/>
      <c r="CI43" s="824"/>
      <c r="CJ43" s="828"/>
      <c r="CK43" s="821"/>
      <c r="CL43" s="822"/>
      <c r="CM43" s="803"/>
      <c r="CN43" s="823"/>
      <c r="CO43" s="828"/>
      <c r="CP43" s="821"/>
      <c r="CQ43" s="822"/>
      <c r="CR43" s="803"/>
      <c r="CS43" s="823"/>
      <c r="CT43" s="828"/>
      <c r="CU43" s="821"/>
      <c r="CV43" s="822"/>
      <c r="CW43" s="803"/>
      <c r="CX43" s="823"/>
      <c r="CY43" s="828"/>
      <c r="CZ43" s="821"/>
      <c r="DA43" s="822"/>
      <c r="DB43" s="803"/>
      <c r="DC43" s="823"/>
      <c r="DD43" s="828"/>
      <c r="DE43" s="821"/>
      <c r="DF43" s="822"/>
      <c r="DG43" s="803"/>
      <c r="DH43" s="823"/>
      <c r="DI43" s="828"/>
      <c r="DJ43" s="821"/>
      <c r="DK43" s="822"/>
      <c r="DL43" s="803"/>
      <c r="DM43" s="823"/>
      <c r="DN43" s="828"/>
      <c r="DO43" s="821"/>
      <c r="DP43" s="822"/>
      <c r="DQ43" s="803"/>
      <c r="DR43" s="823"/>
      <c r="DS43" s="828"/>
      <c r="DT43" s="821"/>
      <c r="DU43" s="822"/>
    </row>
    <row r="44" spans="2:125" x14ac:dyDescent="0.25">
      <c r="B44" s="803"/>
      <c r="C44" s="828"/>
      <c r="D44" s="821"/>
      <c r="E44" s="822"/>
      <c r="F44" s="823"/>
      <c r="G44" s="824"/>
      <c r="H44" s="828"/>
      <c r="I44" s="821"/>
      <c r="J44" s="822"/>
      <c r="K44" s="823"/>
      <c r="L44" s="824"/>
      <c r="M44" s="828"/>
      <c r="N44" s="821"/>
      <c r="O44" s="822"/>
      <c r="P44" s="823"/>
      <c r="Q44" s="824"/>
      <c r="R44" s="828"/>
      <c r="S44" s="821"/>
      <c r="T44" s="822"/>
      <c r="U44" s="827"/>
      <c r="V44" s="824"/>
      <c r="W44" s="828"/>
      <c r="X44" s="821"/>
      <c r="Y44" s="822"/>
      <c r="Z44" s="823"/>
      <c r="AA44" s="824"/>
      <c r="AB44" s="828"/>
      <c r="AC44" s="821"/>
      <c r="AD44" s="822"/>
      <c r="AE44" s="803"/>
      <c r="AF44" s="824"/>
      <c r="AG44" s="828"/>
      <c r="AH44" s="821"/>
      <c r="AI44" s="822"/>
      <c r="AJ44" s="803"/>
      <c r="AK44" s="824"/>
      <c r="AL44" s="828"/>
      <c r="AM44" s="821"/>
      <c r="AN44" s="822"/>
      <c r="AO44" s="803"/>
      <c r="AP44" s="824"/>
      <c r="AQ44" s="828"/>
      <c r="AR44" s="821"/>
      <c r="AS44" s="822"/>
      <c r="AT44" s="803"/>
      <c r="AU44" s="824"/>
      <c r="AV44" s="828"/>
      <c r="AW44" s="821"/>
      <c r="AX44" s="822"/>
      <c r="AY44" s="803"/>
      <c r="AZ44" s="824"/>
      <c r="BA44" s="828"/>
      <c r="BB44" s="821"/>
      <c r="BC44" s="822"/>
      <c r="BD44" s="803"/>
      <c r="BE44" s="824"/>
      <c r="BF44" s="828"/>
      <c r="BG44" s="821"/>
      <c r="BH44" s="822"/>
      <c r="BI44" s="803"/>
      <c r="BJ44" s="824"/>
      <c r="BK44" s="828"/>
      <c r="BL44" s="821"/>
      <c r="BM44" s="822"/>
      <c r="BN44" s="803"/>
      <c r="BO44" s="824"/>
      <c r="BP44" s="828"/>
      <c r="BQ44" s="821"/>
      <c r="BR44" s="822"/>
      <c r="BS44" s="803"/>
      <c r="BT44" s="803"/>
      <c r="BU44" s="828"/>
      <c r="BV44" s="821"/>
      <c r="BW44" s="822"/>
      <c r="BX44" s="803"/>
      <c r="BY44" s="824"/>
      <c r="BZ44" s="828"/>
      <c r="CA44" s="821"/>
      <c r="CB44" s="822"/>
      <c r="CC44" s="803"/>
      <c r="CD44" s="824"/>
      <c r="CE44" s="828"/>
      <c r="CF44" s="821"/>
      <c r="CG44" s="822"/>
      <c r="CH44" s="803"/>
      <c r="CI44" s="824"/>
      <c r="CJ44" s="828"/>
      <c r="CK44" s="821"/>
      <c r="CL44" s="822"/>
      <c r="CM44" s="803"/>
      <c r="CN44" s="823"/>
      <c r="CO44" s="828"/>
      <c r="CP44" s="821"/>
      <c r="CQ44" s="822"/>
      <c r="CR44" s="803"/>
      <c r="CS44" s="823"/>
      <c r="CT44" s="828"/>
      <c r="CU44" s="821"/>
      <c r="CV44" s="822"/>
      <c r="CW44" s="803"/>
      <c r="CX44" s="823"/>
      <c r="CY44" s="828"/>
      <c r="CZ44" s="821"/>
      <c r="DA44" s="822"/>
      <c r="DB44" s="803"/>
      <c r="DC44" s="823"/>
      <c r="DD44" s="828"/>
      <c r="DE44" s="821"/>
      <c r="DF44" s="822"/>
      <c r="DG44" s="803"/>
      <c r="DH44" s="823"/>
      <c r="DI44" s="828"/>
      <c r="DJ44" s="821"/>
      <c r="DK44" s="822"/>
      <c r="DL44" s="803"/>
      <c r="DM44" s="823"/>
      <c r="DN44" s="828"/>
      <c r="DO44" s="821"/>
      <c r="DP44" s="822"/>
      <c r="DQ44" s="803"/>
      <c r="DR44" s="823"/>
      <c r="DS44" s="828"/>
      <c r="DT44" s="821"/>
      <c r="DU44" s="822"/>
    </row>
    <row r="45" spans="2:125" x14ac:dyDescent="0.25">
      <c r="B45" s="803"/>
      <c r="C45" s="828"/>
      <c r="D45" s="821"/>
      <c r="E45" s="822"/>
      <c r="F45" s="823"/>
      <c r="G45" s="824"/>
      <c r="H45" s="828"/>
      <c r="I45" s="821"/>
      <c r="J45" s="822"/>
      <c r="K45" s="823"/>
      <c r="L45" s="824"/>
      <c r="M45" s="828"/>
      <c r="N45" s="821"/>
      <c r="O45" s="822"/>
      <c r="P45" s="823"/>
      <c r="Q45" s="824"/>
      <c r="R45" s="828"/>
      <c r="S45" s="821"/>
      <c r="T45" s="822"/>
      <c r="U45" s="827"/>
      <c r="V45" s="824"/>
      <c r="W45" s="828"/>
      <c r="X45" s="821"/>
      <c r="Y45" s="822"/>
      <c r="Z45" s="823"/>
      <c r="AA45" s="824"/>
      <c r="AB45" s="828"/>
      <c r="AC45" s="821"/>
      <c r="AD45" s="822"/>
      <c r="AE45" s="803"/>
      <c r="AF45" s="824"/>
      <c r="AG45" s="828"/>
      <c r="AH45" s="821"/>
      <c r="AI45" s="822"/>
      <c r="AJ45" s="803"/>
      <c r="AK45" s="824"/>
      <c r="AL45" s="828"/>
      <c r="AM45" s="821"/>
      <c r="AN45" s="822"/>
      <c r="AO45" s="803"/>
      <c r="AP45" s="824"/>
      <c r="AQ45" s="828"/>
      <c r="AR45" s="821"/>
      <c r="AS45" s="822"/>
      <c r="AT45" s="803"/>
      <c r="AU45" s="824"/>
      <c r="AV45" s="828"/>
      <c r="AW45" s="821"/>
      <c r="AX45" s="822"/>
      <c r="AY45" s="803"/>
      <c r="AZ45" s="823"/>
      <c r="BA45" s="828"/>
      <c r="BB45" s="821"/>
      <c r="BC45" s="822"/>
      <c r="BD45" s="803"/>
      <c r="BE45" s="824"/>
      <c r="BF45" s="828"/>
      <c r="BG45" s="821"/>
      <c r="BH45" s="822"/>
      <c r="BI45" s="803"/>
      <c r="BJ45" s="824"/>
      <c r="BK45" s="828"/>
      <c r="BL45" s="821"/>
      <c r="BM45" s="822"/>
      <c r="BN45" s="803"/>
      <c r="BO45" s="824"/>
      <c r="BP45" s="828"/>
      <c r="BQ45" s="821"/>
      <c r="BR45" s="822"/>
      <c r="BS45" s="803"/>
      <c r="BT45" s="803"/>
      <c r="BU45" s="828"/>
      <c r="BV45" s="821"/>
      <c r="BW45" s="822"/>
      <c r="BX45" s="803"/>
      <c r="BY45" s="824"/>
      <c r="BZ45" s="828"/>
      <c r="CA45" s="821"/>
      <c r="CB45" s="822"/>
      <c r="CC45" s="803"/>
      <c r="CD45" s="824"/>
      <c r="CE45" s="828"/>
      <c r="CF45" s="821"/>
      <c r="CG45" s="822"/>
      <c r="CH45" s="803"/>
      <c r="CI45" s="824"/>
      <c r="CJ45" s="828"/>
      <c r="CK45" s="821"/>
      <c r="CL45" s="822"/>
      <c r="CM45" s="803"/>
      <c r="CN45" s="823"/>
      <c r="CO45" s="828"/>
      <c r="CP45" s="821"/>
      <c r="CQ45" s="822"/>
      <c r="CR45" s="803"/>
      <c r="CS45" s="823"/>
      <c r="CT45" s="828"/>
      <c r="CU45" s="821"/>
      <c r="CV45" s="822"/>
      <c r="CW45" s="803"/>
      <c r="CX45" s="823"/>
      <c r="CY45" s="828"/>
      <c r="CZ45" s="821"/>
      <c r="DA45" s="822"/>
      <c r="DB45" s="803"/>
      <c r="DC45" s="823"/>
      <c r="DD45" s="828"/>
      <c r="DE45" s="821"/>
      <c r="DF45" s="822"/>
      <c r="DG45" s="803"/>
      <c r="DH45" s="823"/>
      <c r="DI45" s="828"/>
      <c r="DJ45" s="821"/>
      <c r="DK45" s="822"/>
      <c r="DL45" s="803"/>
      <c r="DM45" s="823"/>
      <c r="DN45" s="828"/>
      <c r="DO45" s="821"/>
      <c r="DP45" s="822"/>
      <c r="DQ45" s="803"/>
      <c r="DR45" s="823"/>
      <c r="DS45" s="828"/>
      <c r="DT45" s="821"/>
      <c r="DU45" s="822"/>
    </row>
    <row r="46" spans="2:125" x14ac:dyDescent="0.25">
      <c r="B46" s="803"/>
      <c r="C46" s="828"/>
      <c r="D46" s="821"/>
      <c r="E46" s="822"/>
      <c r="F46" s="823"/>
      <c r="G46" s="824"/>
      <c r="H46" s="828"/>
      <c r="I46" s="821"/>
      <c r="J46" s="822"/>
      <c r="K46" s="823"/>
      <c r="L46" s="824"/>
      <c r="M46" s="828"/>
      <c r="N46" s="821"/>
      <c r="O46" s="822"/>
      <c r="P46" s="823"/>
      <c r="Q46" s="824"/>
      <c r="R46" s="828"/>
      <c r="S46" s="821"/>
      <c r="T46" s="822"/>
      <c r="U46" s="827"/>
      <c r="V46" s="824"/>
      <c r="W46" s="828"/>
      <c r="X46" s="821"/>
      <c r="Y46" s="822"/>
      <c r="Z46" s="823"/>
      <c r="AA46" s="824"/>
      <c r="AB46" s="828"/>
      <c r="AC46" s="821"/>
      <c r="AD46" s="822"/>
      <c r="AE46" s="803"/>
      <c r="AF46" s="824"/>
      <c r="AG46" s="828"/>
      <c r="AH46" s="821"/>
      <c r="AI46" s="822"/>
      <c r="AJ46" s="803"/>
      <c r="AK46" s="824"/>
      <c r="AL46" s="828"/>
      <c r="AM46" s="821"/>
      <c r="AN46" s="822"/>
      <c r="AO46" s="803"/>
      <c r="AP46" s="824"/>
      <c r="AQ46" s="828"/>
      <c r="AR46" s="821"/>
      <c r="AS46" s="822"/>
      <c r="AT46" s="803"/>
      <c r="AU46" s="824"/>
      <c r="AV46" s="828"/>
      <c r="AW46" s="821"/>
      <c r="AX46" s="822"/>
      <c r="AY46" s="803"/>
      <c r="AZ46" s="823"/>
      <c r="BA46" s="828"/>
      <c r="BB46" s="821"/>
      <c r="BC46" s="822"/>
      <c r="BD46" s="803"/>
      <c r="BE46" s="824"/>
      <c r="BF46" s="828"/>
      <c r="BG46" s="821"/>
      <c r="BH46" s="822"/>
      <c r="BI46" s="803"/>
      <c r="BJ46" s="824"/>
      <c r="BK46" s="828"/>
      <c r="BL46" s="821"/>
      <c r="BM46" s="822"/>
      <c r="BN46" s="803"/>
      <c r="BO46" s="824"/>
      <c r="BP46" s="828"/>
      <c r="BQ46" s="821"/>
      <c r="BR46" s="822"/>
      <c r="BS46" s="803"/>
      <c r="BT46" s="803"/>
      <c r="BU46" s="828"/>
      <c r="BV46" s="821"/>
      <c r="BW46" s="822"/>
      <c r="BX46" s="803"/>
      <c r="BY46" s="824"/>
      <c r="BZ46" s="828"/>
      <c r="CA46" s="821"/>
      <c r="CB46" s="822"/>
      <c r="CC46" s="803"/>
      <c r="CD46" s="824"/>
      <c r="CE46" s="828"/>
      <c r="CF46" s="821"/>
      <c r="CG46" s="822"/>
      <c r="CH46" s="803"/>
      <c r="CI46" s="824"/>
      <c r="CJ46" s="828"/>
      <c r="CK46" s="821"/>
      <c r="CL46" s="822"/>
      <c r="CM46" s="803"/>
      <c r="CN46" s="823"/>
      <c r="CO46" s="828"/>
      <c r="CP46" s="821"/>
      <c r="CQ46" s="822"/>
      <c r="CR46" s="803"/>
      <c r="CS46" s="823"/>
      <c r="CT46" s="828"/>
      <c r="CU46" s="821"/>
      <c r="CV46" s="822"/>
      <c r="CW46" s="803"/>
      <c r="CX46" s="823"/>
      <c r="CY46" s="828"/>
      <c r="CZ46" s="821"/>
      <c r="DA46" s="822"/>
      <c r="DB46" s="803"/>
      <c r="DC46" s="823"/>
      <c r="DD46" s="828"/>
      <c r="DE46" s="821"/>
      <c r="DF46" s="822"/>
      <c r="DG46" s="803"/>
      <c r="DH46" s="823"/>
      <c r="DI46" s="828"/>
      <c r="DJ46" s="821"/>
      <c r="DK46" s="822"/>
      <c r="DL46" s="803"/>
      <c r="DM46" s="823"/>
      <c r="DN46" s="828"/>
      <c r="DO46" s="821"/>
      <c r="DP46" s="822"/>
      <c r="DQ46" s="803"/>
      <c r="DR46" s="823"/>
      <c r="DS46" s="828"/>
      <c r="DT46" s="821"/>
      <c r="DU46" s="822"/>
    </row>
    <row r="47" spans="2:125" x14ac:dyDescent="0.25">
      <c r="B47" s="803"/>
      <c r="C47" s="828"/>
      <c r="D47" s="821"/>
      <c r="E47" s="822"/>
      <c r="F47" s="823"/>
      <c r="G47" s="824"/>
      <c r="H47" s="828"/>
      <c r="I47" s="821"/>
      <c r="J47" s="822"/>
      <c r="K47" s="823"/>
      <c r="L47" s="824"/>
      <c r="M47" s="828"/>
      <c r="N47" s="821"/>
      <c r="O47" s="822"/>
      <c r="P47" s="823"/>
      <c r="Q47" s="824"/>
      <c r="R47" s="828"/>
      <c r="S47" s="821"/>
      <c r="T47" s="822"/>
      <c r="U47" s="827"/>
      <c r="V47" s="824"/>
      <c r="W47" s="828"/>
      <c r="X47" s="821"/>
      <c r="Y47" s="822"/>
      <c r="Z47" s="823"/>
      <c r="AA47" s="824"/>
      <c r="AB47" s="828"/>
      <c r="AC47" s="821"/>
      <c r="AD47" s="822"/>
      <c r="AE47" s="803"/>
      <c r="AF47" s="824"/>
      <c r="AG47" s="828"/>
      <c r="AH47" s="821"/>
      <c r="AI47" s="822"/>
      <c r="AJ47" s="803"/>
      <c r="AK47" s="824"/>
      <c r="AL47" s="828"/>
      <c r="AM47" s="821"/>
      <c r="AN47" s="822"/>
      <c r="AO47" s="803"/>
      <c r="AP47" s="824"/>
      <c r="AQ47" s="828"/>
      <c r="AR47" s="821"/>
      <c r="AS47" s="822"/>
      <c r="AT47" s="803"/>
      <c r="AU47" s="824"/>
      <c r="AV47" s="828"/>
      <c r="AW47" s="821"/>
      <c r="AX47" s="822"/>
      <c r="AY47" s="803"/>
      <c r="AZ47" s="823"/>
      <c r="BA47" s="828"/>
      <c r="BB47" s="821"/>
      <c r="BC47" s="822"/>
      <c r="BD47" s="803"/>
      <c r="BE47" s="824"/>
      <c r="BF47" s="828"/>
      <c r="BG47" s="821"/>
      <c r="BH47" s="822"/>
      <c r="BI47" s="803"/>
      <c r="BJ47" s="824"/>
      <c r="BK47" s="828"/>
      <c r="BL47" s="821"/>
      <c r="BM47" s="822"/>
      <c r="BN47" s="803"/>
      <c r="BO47" s="824"/>
      <c r="BP47" s="828"/>
      <c r="BQ47" s="821"/>
      <c r="BR47" s="822"/>
      <c r="BS47" s="803"/>
      <c r="BT47" s="803"/>
      <c r="BU47" s="828"/>
      <c r="BV47" s="821"/>
      <c r="BW47" s="822"/>
      <c r="BX47" s="803"/>
      <c r="BY47" s="824"/>
      <c r="BZ47" s="828"/>
      <c r="CA47" s="821"/>
      <c r="CB47" s="822"/>
      <c r="CC47" s="803"/>
      <c r="CD47" s="824"/>
      <c r="CE47" s="828"/>
      <c r="CF47" s="821"/>
      <c r="CG47" s="822"/>
      <c r="CH47" s="803"/>
      <c r="CI47" s="824"/>
      <c r="CJ47" s="828"/>
      <c r="CK47" s="821"/>
      <c r="CL47" s="822"/>
      <c r="CM47" s="803"/>
      <c r="CN47" s="823"/>
      <c r="CO47" s="828"/>
      <c r="CP47" s="821"/>
      <c r="CQ47" s="822"/>
      <c r="CR47" s="803"/>
      <c r="CS47" s="823"/>
      <c r="CT47" s="828"/>
      <c r="CU47" s="821"/>
      <c r="CV47" s="822"/>
      <c r="CW47" s="803"/>
      <c r="CX47" s="823"/>
      <c r="CY47" s="828"/>
      <c r="CZ47" s="821"/>
      <c r="DA47" s="822"/>
      <c r="DB47" s="803"/>
      <c r="DC47" s="823"/>
      <c r="DD47" s="828"/>
      <c r="DE47" s="821"/>
      <c r="DF47" s="822"/>
      <c r="DG47" s="803"/>
      <c r="DH47" s="823"/>
      <c r="DI47" s="828"/>
      <c r="DJ47" s="821"/>
      <c r="DK47" s="822"/>
      <c r="DL47" s="803"/>
      <c r="DM47" s="823"/>
      <c r="DN47" s="828"/>
      <c r="DO47" s="821"/>
      <c r="DP47" s="822"/>
      <c r="DQ47" s="803"/>
      <c r="DR47" s="823"/>
      <c r="DS47" s="828"/>
      <c r="DT47" s="821"/>
      <c r="DU47" s="822"/>
    </row>
    <row r="48" spans="2:125" x14ac:dyDescent="0.25">
      <c r="B48" s="803"/>
      <c r="C48" s="828"/>
      <c r="D48" s="821"/>
      <c r="E48" s="822"/>
      <c r="F48" s="823"/>
      <c r="G48" s="824"/>
      <c r="H48" s="828"/>
      <c r="I48" s="821"/>
      <c r="J48" s="822"/>
      <c r="K48" s="823"/>
      <c r="L48" s="824"/>
      <c r="M48" s="828"/>
      <c r="N48" s="821"/>
      <c r="O48" s="822"/>
      <c r="P48" s="823"/>
      <c r="Q48" s="824"/>
      <c r="R48" s="828"/>
      <c r="S48" s="821"/>
      <c r="T48" s="822"/>
      <c r="U48" s="827"/>
      <c r="V48" s="824"/>
      <c r="W48" s="828"/>
      <c r="X48" s="821"/>
      <c r="Y48" s="822"/>
      <c r="Z48" s="823"/>
      <c r="AA48" s="824"/>
      <c r="AB48" s="828"/>
      <c r="AC48" s="821"/>
      <c r="AD48" s="822"/>
      <c r="AE48" s="803"/>
      <c r="AF48" s="824"/>
      <c r="AG48" s="828"/>
      <c r="AH48" s="821"/>
      <c r="AI48" s="822"/>
      <c r="AJ48" s="803"/>
      <c r="AK48" s="824"/>
      <c r="AL48" s="828"/>
      <c r="AM48" s="821"/>
      <c r="AN48" s="822"/>
      <c r="AO48" s="803"/>
      <c r="AP48" s="824"/>
      <c r="AQ48" s="828"/>
      <c r="AR48" s="821"/>
      <c r="AS48" s="822"/>
      <c r="AT48" s="803"/>
      <c r="AU48" s="824"/>
      <c r="AV48" s="828"/>
      <c r="AW48" s="821"/>
      <c r="AX48" s="822"/>
      <c r="AY48" s="803"/>
      <c r="AZ48" s="823"/>
      <c r="BA48" s="828"/>
      <c r="BB48" s="821"/>
      <c r="BC48" s="822"/>
      <c r="BD48" s="803"/>
      <c r="BE48" s="824"/>
      <c r="BF48" s="828"/>
      <c r="BG48" s="821"/>
      <c r="BH48" s="822"/>
      <c r="BI48" s="803"/>
      <c r="BJ48" s="824"/>
      <c r="BK48" s="828"/>
      <c r="BL48" s="821"/>
      <c r="BM48" s="822"/>
      <c r="BN48" s="803"/>
      <c r="BO48" s="824"/>
      <c r="BP48" s="828"/>
      <c r="BQ48" s="821"/>
      <c r="BR48" s="822"/>
      <c r="BS48" s="803"/>
      <c r="BT48" s="803"/>
      <c r="BU48" s="828"/>
      <c r="BV48" s="821"/>
      <c r="BW48" s="822"/>
      <c r="BX48" s="803"/>
      <c r="BY48" s="824"/>
      <c r="BZ48" s="828"/>
      <c r="CA48" s="821"/>
      <c r="CB48" s="822"/>
      <c r="CC48" s="803"/>
      <c r="CD48" s="824"/>
      <c r="CE48" s="828"/>
      <c r="CF48" s="821"/>
      <c r="CG48" s="822"/>
      <c r="CH48" s="803"/>
      <c r="CI48" s="824"/>
      <c r="CJ48" s="828"/>
      <c r="CK48" s="821"/>
      <c r="CL48" s="822"/>
      <c r="CM48" s="803"/>
      <c r="CN48" s="823"/>
      <c r="CO48" s="828"/>
      <c r="CP48" s="821"/>
      <c r="CQ48" s="822"/>
      <c r="CR48" s="803"/>
      <c r="CS48" s="823"/>
      <c r="CT48" s="828"/>
      <c r="CU48" s="821"/>
      <c r="CV48" s="822"/>
      <c r="CW48" s="803"/>
      <c r="CX48" s="823"/>
      <c r="CY48" s="828"/>
      <c r="CZ48" s="821"/>
      <c r="DA48" s="822"/>
      <c r="DB48" s="803"/>
      <c r="DC48" s="823"/>
      <c r="DD48" s="828"/>
      <c r="DE48" s="821"/>
      <c r="DF48" s="822"/>
      <c r="DG48" s="803"/>
      <c r="DH48" s="823"/>
      <c r="DI48" s="828"/>
      <c r="DJ48" s="821"/>
      <c r="DK48" s="822"/>
      <c r="DL48" s="803"/>
      <c r="DM48" s="823"/>
      <c r="DN48" s="828"/>
      <c r="DO48" s="821"/>
      <c r="DP48" s="822"/>
      <c r="DQ48" s="803"/>
      <c r="DR48" s="823"/>
      <c r="DS48" s="828"/>
      <c r="DT48" s="821"/>
      <c r="DU48" s="822"/>
    </row>
    <row r="49" spans="2:125" x14ac:dyDescent="0.25">
      <c r="B49" s="837"/>
      <c r="C49" s="828"/>
      <c r="D49" s="821"/>
      <c r="E49" s="822"/>
      <c r="F49" s="838"/>
      <c r="G49" s="838"/>
      <c r="H49" s="828"/>
      <c r="I49" s="821"/>
      <c r="J49" s="822"/>
      <c r="K49" s="838"/>
      <c r="L49" s="838"/>
      <c r="M49" s="828"/>
      <c r="N49" s="821"/>
      <c r="O49" s="822"/>
      <c r="P49" s="838"/>
      <c r="Q49" s="838"/>
      <c r="R49" s="828"/>
      <c r="S49" s="821"/>
      <c r="T49" s="822"/>
      <c r="U49" s="827"/>
      <c r="V49" s="838"/>
      <c r="W49" s="828"/>
      <c r="X49" s="821"/>
      <c r="Y49" s="822"/>
      <c r="Z49" s="838"/>
      <c r="AA49" s="838"/>
      <c r="AB49" s="828"/>
      <c r="AC49" s="821"/>
      <c r="AD49" s="822"/>
      <c r="AE49" s="803"/>
      <c r="AF49" s="838"/>
      <c r="AG49" s="828"/>
      <c r="AH49" s="821"/>
      <c r="AI49" s="822"/>
      <c r="AJ49" s="803"/>
      <c r="AK49" s="838"/>
      <c r="AL49" s="828"/>
      <c r="AM49" s="821"/>
      <c r="AN49" s="822"/>
      <c r="AO49" s="803"/>
      <c r="AP49" s="838"/>
      <c r="AQ49" s="828"/>
      <c r="AR49" s="821"/>
      <c r="AS49" s="822"/>
      <c r="AT49" s="803"/>
      <c r="AU49" s="838"/>
      <c r="AV49" s="828"/>
      <c r="AW49" s="821"/>
      <c r="AX49" s="822"/>
      <c r="AY49" s="803"/>
      <c r="AZ49" s="838"/>
      <c r="BA49" s="828"/>
      <c r="BB49" s="821"/>
      <c r="BC49" s="822"/>
      <c r="BD49" s="803"/>
      <c r="BE49" s="838"/>
      <c r="BF49" s="828"/>
      <c r="BG49" s="821"/>
      <c r="BH49" s="822"/>
      <c r="BI49" s="803"/>
      <c r="BJ49" s="838"/>
      <c r="BK49" s="828"/>
      <c r="BL49" s="821"/>
      <c r="BM49" s="822"/>
      <c r="BN49" s="803"/>
      <c r="BO49" s="838"/>
      <c r="BP49" s="828"/>
      <c r="BQ49" s="821"/>
      <c r="BR49" s="822"/>
      <c r="BS49" s="803"/>
      <c r="BT49" s="803"/>
      <c r="BU49" s="828"/>
      <c r="BV49" s="821"/>
      <c r="BW49" s="822"/>
      <c r="BX49" s="803"/>
      <c r="BY49" s="824"/>
      <c r="BZ49" s="828"/>
      <c r="CA49" s="821"/>
      <c r="CB49" s="822"/>
      <c r="CC49" s="803"/>
      <c r="CD49" s="824"/>
      <c r="CE49" s="828"/>
      <c r="CF49" s="821"/>
      <c r="CG49" s="822"/>
      <c r="CH49" s="803"/>
      <c r="CI49" s="824"/>
      <c r="CJ49" s="828"/>
      <c r="CK49" s="821"/>
      <c r="CL49" s="822"/>
      <c r="CM49" s="803"/>
      <c r="CN49" s="823"/>
      <c r="CO49" s="828"/>
      <c r="CP49" s="821"/>
      <c r="CQ49" s="822"/>
      <c r="CR49" s="803"/>
      <c r="CS49" s="823"/>
      <c r="CT49" s="828"/>
      <c r="CU49" s="821"/>
      <c r="CV49" s="822"/>
      <c r="CW49" s="803"/>
      <c r="CX49" s="823"/>
      <c r="CY49" s="828"/>
      <c r="CZ49" s="821"/>
      <c r="DA49" s="822"/>
      <c r="DB49" s="803"/>
      <c r="DC49" s="823"/>
      <c r="DD49" s="828"/>
      <c r="DE49" s="821"/>
      <c r="DF49" s="822"/>
      <c r="DG49" s="803"/>
      <c r="DH49" s="823"/>
      <c r="DI49" s="828"/>
      <c r="DJ49" s="821"/>
      <c r="DK49" s="822"/>
      <c r="DL49" s="803"/>
      <c r="DM49" s="823"/>
      <c r="DN49" s="828"/>
      <c r="DO49" s="821"/>
      <c r="DP49" s="822"/>
      <c r="DQ49" s="803"/>
      <c r="DR49" s="823"/>
      <c r="DS49" s="828"/>
      <c r="DT49" s="821"/>
      <c r="DU49" s="822"/>
    </row>
    <row r="50" spans="2:125" x14ac:dyDescent="0.25">
      <c r="B50" s="837"/>
      <c r="C50" s="828"/>
      <c r="D50" s="821"/>
      <c r="E50" s="822"/>
      <c r="F50" s="838"/>
      <c r="G50" s="838"/>
      <c r="H50" s="828"/>
      <c r="I50" s="821"/>
      <c r="J50" s="822"/>
      <c r="K50" s="838"/>
      <c r="L50" s="838"/>
      <c r="M50" s="828"/>
      <c r="N50" s="821"/>
      <c r="O50" s="822"/>
      <c r="P50" s="838"/>
      <c r="Q50" s="838"/>
      <c r="R50" s="828"/>
      <c r="S50" s="821"/>
      <c r="T50" s="822"/>
      <c r="U50" s="827"/>
      <c r="V50" s="838"/>
      <c r="W50" s="828"/>
      <c r="X50" s="821"/>
      <c r="Y50" s="822"/>
      <c r="Z50" s="838"/>
      <c r="AA50" s="838"/>
      <c r="AB50" s="828"/>
      <c r="AC50" s="821"/>
      <c r="AD50" s="822"/>
      <c r="AE50" s="803"/>
      <c r="AF50" s="838"/>
      <c r="AG50" s="828"/>
      <c r="AH50" s="821"/>
      <c r="AI50" s="822"/>
      <c r="AJ50" s="803"/>
      <c r="AK50" s="838"/>
      <c r="AL50" s="828"/>
      <c r="AM50" s="821"/>
      <c r="AN50" s="822"/>
      <c r="AO50" s="803"/>
      <c r="AP50" s="838"/>
      <c r="AQ50" s="828"/>
      <c r="AR50" s="821"/>
      <c r="AS50" s="822"/>
      <c r="AT50" s="803"/>
      <c r="AU50" s="838"/>
      <c r="AV50" s="828"/>
      <c r="AW50" s="821"/>
      <c r="AX50" s="822"/>
      <c r="AY50" s="803"/>
      <c r="AZ50" s="838"/>
      <c r="BA50" s="828"/>
      <c r="BB50" s="821"/>
      <c r="BC50" s="822"/>
      <c r="BD50" s="803"/>
      <c r="BE50" s="838"/>
      <c r="BF50" s="828"/>
      <c r="BG50" s="821"/>
      <c r="BH50" s="822"/>
      <c r="BI50" s="803"/>
      <c r="BJ50" s="838"/>
      <c r="BK50" s="828"/>
      <c r="BL50" s="821"/>
      <c r="BM50" s="822"/>
      <c r="BN50" s="803"/>
      <c r="BO50" s="838"/>
      <c r="BP50" s="828"/>
      <c r="BQ50" s="821"/>
      <c r="BR50" s="822"/>
      <c r="BS50" s="803"/>
      <c r="BT50" s="803"/>
      <c r="BU50" s="828"/>
      <c r="BV50" s="821"/>
      <c r="BW50" s="822"/>
      <c r="BX50" s="803"/>
      <c r="BY50" s="824"/>
      <c r="BZ50" s="828"/>
      <c r="CA50" s="821"/>
      <c r="CB50" s="822"/>
      <c r="CC50" s="803"/>
      <c r="CD50" s="824"/>
      <c r="CE50" s="828"/>
      <c r="CF50" s="821"/>
      <c r="CG50" s="822"/>
      <c r="CH50" s="803"/>
      <c r="CI50" s="824"/>
      <c r="CJ50" s="828"/>
      <c r="CK50" s="821"/>
      <c r="CL50" s="822"/>
      <c r="CM50" s="803"/>
      <c r="CN50" s="823"/>
      <c r="CO50" s="828"/>
      <c r="CP50" s="821"/>
      <c r="CQ50" s="822"/>
      <c r="CR50" s="803"/>
      <c r="CS50" s="823"/>
      <c r="CT50" s="828"/>
      <c r="CU50" s="821"/>
      <c r="CV50" s="822"/>
      <c r="CW50" s="803"/>
      <c r="CX50" s="823"/>
      <c r="CY50" s="828"/>
      <c r="CZ50" s="821"/>
      <c r="DA50" s="822"/>
      <c r="DB50" s="803"/>
      <c r="DC50" s="823"/>
      <c r="DD50" s="828"/>
      <c r="DE50" s="821"/>
      <c r="DF50" s="822"/>
      <c r="DG50" s="803"/>
      <c r="DH50" s="823"/>
      <c r="DI50" s="828"/>
      <c r="DJ50" s="821"/>
      <c r="DK50" s="822"/>
      <c r="DL50" s="803"/>
      <c r="DM50" s="823"/>
      <c r="DN50" s="828"/>
      <c r="DO50" s="821"/>
      <c r="DP50" s="822"/>
      <c r="DQ50" s="803"/>
      <c r="DR50" s="823"/>
      <c r="DS50" s="828"/>
      <c r="DT50" s="821"/>
      <c r="DU50" s="822"/>
    </row>
    <row r="51" spans="2:125" x14ac:dyDescent="0.25">
      <c r="B51" s="837"/>
      <c r="C51" s="828"/>
      <c r="D51" s="821"/>
      <c r="E51" s="822"/>
      <c r="F51" s="838"/>
      <c r="G51" s="838"/>
      <c r="H51" s="828"/>
      <c r="I51" s="821"/>
      <c r="J51" s="822"/>
      <c r="K51" s="838"/>
      <c r="L51" s="838"/>
      <c r="M51" s="828"/>
      <c r="N51" s="821"/>
      <c r="O51" s="822"/>
      <c r="P51" s="838"/>
      <c r="Q51" s="838"/>
      <c r="R51" s="828"/>
      <c r="S51" s="821"/>
      <c r="T51" s="822"/>
      <c r="U51" s="827"/>
      <c r="V51" s="838"/>
      <c r="W51" s="828"/>
      <c r="X51" s="821"/>
      <c r="Y51" s="822"/>
      <c r="Z51" s="838"/>
      <c r="AA51" s="838"/>
      <c r="AB51" s="828"/>
      <c r="AC51" s="821"/>
      <c r="AD51" s="822"/>
      <c r="AE51" s="803"/>
      <c r="AF51" s="838"/>
      <c r="AG51" s="828"/>
      <c r="AH51" s="821"/>
      <c r="AI51" s="822"/>
      <c r="AJ51" s="803"/>
      <c r="AK51" s="838"/>
      <c r="AL51" s="828"/>
      <c r="AM51" s="821"/>
      <c r="AN51" s="822"/>
      <c r="AO51" s="803"/>
      <c r="AP51" s="838"/>
      <c r="AQ51" s="828"/>
      <c r="AR51" s="821"/>
      <c r="AS51" s="822"/>
      <c r="AT51" s="803"/>
      <c r="AU51" s="838"/>
      <c r="AV51" s="828"/>
      <c r="AW51" s="821"/>
      <c r="AX51" s="822"/>
      <c r="AY51" s="803"/>
      <c r="AZ51" s="838"/>
      <c r="BA51" s="828"/>
      <c r="BB51" s="821"/>
      <c r="BC51" s="822"/>
      <c r="BD51" s="803"/>
      <c r="BE51" s="838"/>
      <c r="BF51" s="828"/>
      <c r="BG51" s="821"/>
      <c r="BH51" s="822"/>
      <c r="BI51" s="803"/>
      <c r="BJ51" s="838"/>
      <c r="BK51" s="828"/>
      <c r="BL51" s="821"/>
      <c r="BM51" s="822"/>
      <c r="BN51" s="803"/>
      <c r="BO51" s="838"/>
      <c r="BP51" s="828"/>
      <c r="BQ51" s="821"/>
      <c r="BR51" s="822"/>
      <c r="BS51" s="803"/>
      <c r="BT51" s="803"/>
      <c r="BU51" s="828"/>
      <c r="BV51" s="821"/>
      <c r="BW51" s="822"/>
      <c r="BX51" s="803"/>
      <c r="BY51" s="824"/>
      <c r="BZ51" s="828"/>
      <c r="CA51" s="821"/>
      <c r="CB51" s="822"/>
      <c r="CC51" s="803"/>
      <c r="CD51" s="824"/>
      <c r="CE51" s="828"/>
      <c r="CF51" s="821"/>
      <c r="CG51" s="822"/>
      <c r="CH51" s="803"/>
      <c r="CI51" s="824"/>
      <c r="CJ51" s="828"/>
      <c r="CK51" s="821"/>
      <c r="CL51" s="822"/>
      <c r="CM51" s="803"/>
      <c r="CN51" s="823"/>
      <c r="CO51" s="828"/>
      <c r="CP51" s="821"/>
      <c r="CQ51" s="822"/>
      <c r="CR51" s="803"/>
      <c r="CS51" s="823"/>
      <c r="CT51" s="828"/>
      <c r="CU51" s="821"/>
      <c r="CV51" s="822"/>
      <c r="CW51" s="803"/>
      <c r="CX51" s="823"/>
      <c r="CY51" s="828"/>
      <c r="CZ51" s="821"/>
      <c r="DA51" s="822"/>
      <c r="DB51" s="803"/>
      <c r="DC51" s="823"/>
      <c r="DD51" s="828"/>
      <c r="DE51" s="821"/>
      <c r="DF51" s="822"/>
      <c r="DG51" s="803"/>
      <c r="DH51" s="823"/>
      <c r="DI51" s="828"/>
      <c r="DJ51" s="821"/>
      <c r="DK51" s="822"/>
      <c r="DL51" s="803"/>
      <c r="DM51" s="823"/>
      <c r="DN51" s="828"/>
      <c r="DO51" s="821"/>
      <c r="DP51" s="822"/>
      <c r="DQ51" s="803"/>
      <c r="DR51" s="823"/>
      <c r="DS51" s="828"/>
      <c r="DT51" s="821"/>
      <c r="DU51" s="822"/>
    </row>
    <row r="52" spans="2:125" x14ac:dyDescent="0.25">
      <c r="B52" s="837"/>
      <c r="C52" s="828"/>
      <c r="D52" s="821"/>
      <c r="E52" s="822"/>
      <c r="F52" s="838"/>
      <c r="G52" s="838"/>
      <c r="H52" s="828"/>
      <c r="I52" s="821"/>
      <c r="J52" s="822"/>
      <c r="K52" s="838"/>
      <c r="L52" s="838"/>
      <c r="M52" s="828"/>
      <c r="N52" s="821"/>
      <c r="O52" s="822"/>
      <c r="P52" s="838"/>
      <c r="Q52" s="838"/>
      <c r="R52" s="828"/>
      <c r="S52" s="821"/>
      <c r="T52" s="822"/>
      <c r="U52" s="827"/>
      <c r="V52" s="838"/>
      <c r="W52" s="828"/>
      <c r="X52" s="821"/>
      <c r="Y52" s="822"/>
      <c r="Z52" s="838"/>
      <c r="AA52" s="838"/>
      <c r="AB52" s="828"/>
      <c r="AC52" s="821"/>
      <c r="AD52" s="822"/>
      <c r="AE52" s="803"/>
      <c r="AF52" s="838"/>
      <c r="AG52" s="828"/>
      <c r="AH52" s="821"/>
      <c r="AI52" s="822"/>
      <c r="AJ52" s="803"/>
      <c r="AK52" s="838"/>
      <c r="AL52" s="828"/>
      <c r="AM52" s="821"/>
      <c r="AN52" s="822"/>
      <c r="AO52" s="803"/>
      <c r="AP52" s="838"/>
      <c r="AQ52" s="828"/>
      <c r="AR52" s="821"/>
      <c r="AS52" s="822"/>
      <c r="AT52" s="803"/>
      <c r="AU52" s="838"/>
      <c r="AV52" s="828"/>
      <c r="AW52" s="821"/>
      <c r="AX52" s="822"/>
      <c r="AY52" s="803"/>
      <c r="AZ52" s="838"/>
      <c r="BA52" s="828"/>
      <c r="BB52" s="821"/>
      <c r="BC52" s="822"/>
      <c r="BD52" s="803"/>
      <c r="BE52" s="838"/>
      <c r="BF52" s="828"/>
      <c r="BG52" s="821"/>
      <c r="BH52" s="822"/>
      <c r="BI52" s="803"/>
      <c r="BJ52" s="838"/>
      <c r="BK52" s="828"/>
      <c r="BL52" s="821"/>
      <c r="BM52" s="822"/>
      <c r="BN52" s="803"/>
      <c r="BO52" s="838"/>
      <c r="BP52" s="828"/>
      <c r="BQ52" s="821"/>
      <c r="BR52" s="822"/>
      <c r="BS52" s="803"/>
      <c r="BT52" s="803"/>
      <c r="BU52" s="828"/>
      <c r="BV52" s="821"/>
      <c r="BW52" s="822"/>
      <c r="BX52" s="803"/>
      <c r="BY52" s="824"/>
      <c r="BZ52" s="828"/>
      <c r="CA52" s="821"/>
      <c r="CB52" s="822"/>
      <c r="CC52" s="803"/>
      <c r="CD52" s="824"/>
      <c r="CE52" s="828"/>
      <c r="CF52" s="821"/>
      <c r="CG52" s="822"/>
      <c r="CH52" s="803"/>
      <c r="CI52" s="824"/>
      <c r="CJ52" s="828"/>
      <c r="CK52" s="821"/>
      <c r="CL52" s="822"/>
      <c r="CM52" s="803"/>
      <c r="CN52" s="823"/>
      <c r="CO52" s="828"/>
      <c r="CP52" s="821"/>
      <c r="CQ52" s="822"/>
      <c r="CR52" s="803"/>
      <c r="CS52" s="823"/>
      <c r="CT52" s="828"/>
      <c r="CU52" s="821"/>
      <c r="CV52" s="822"/>
      <c r="CW52" s="803"/>
      <c r="CX52" s="823"/>
      <c r="CY52" s="828"/>
      <c r="CZ52" s="821"/>
      <c r="DA52" s="822"/>
      <c r="DB52" s="803"/>
      <c r="DC52" s="823"/>
      <c r="DD52" s="828"/>
      <c r="DE52" s="821"/>
      <c r="DF52" s="822"/>
      <c r="DG52" s="803"/>
      <c r="DH52" s="823"/>
      <c r="DI52" s="828"/>
      <c r="DJ52" s="821"/>
      <c r="DK52" s="822"/>
      <c r="DL52" s="803"/>
      <c r="DM52" s="823"/>
      <c r="DN52" s="828"/>
      <c r="DO52" s="821"/>
      <c r="DP52" s="822"/>
      <c r="DQ52" s="803"/>
      <c r="DR52" s="823"/>
      <c r="DS52" s="828"/>
      <c r="DT52" s="821"/>
      <c r="DU52" s="822"/>
    </row>
    <row r="53" spans="2:125" x14ac:dyDescent="0.25">
      <c r="B53" s="837"/>
      <c r="C53" s="828"/>
      <c r="D53" s="821"/>
      <c r="E53" s="822"/>
      <c r="F53" s="838"/>
      <c r="G53" s="838"/>
      <c r="H53" s="828"/>
      <c r="I53" s="821"/>
      <c r="J53" s="822"/>
      <c r="K53" s="838"/>
      <c r="L53" s="838"/>
      <c r="M53" s="828"/>
      <c r="N53" s="821"/>
      <c r="O53" s="822"/>
      <c r="P53" s="838"/>
      <c r="Q53" s="838"/>
      <c r="R53" s="828"/>
      <c r="S53" s="821"/>
      <c r="T53" s="822"/>
      <c r="U53" s="827"/>
      <c r="V53" s="838"/>
      <c r="W53" s="828"/>
      <c r="X53" s="821"/>
      <c r="Y53" s="822"/>
      <c r="Z53" s="838"/>
      <c r="AA53" s="838"/>
      <c r="AB53" s="828"/>
      <c r="AC53" s="821"/>
      <c r="AD53" s="822"/>
      <c r="AE53" s="803"/>
      <c r="AF53" s="838"/>
      <c r="AG53" s="828"/>
      <c r="AH53" s="821"/>
      <c r="AI53" s="822"/>
      <c r="AJ53" s="803"/>
      <c r="AK53" s="838"/>
      <c r="AL53" s="828"/>
      <c r="AM53" s="821"/>
      <c r="AN53" s="822"/>
      <c r="AO53" s="803"/>
      <c r="AP53" s="838"/>
      <c r="AQ53" s="828"/>
      <c r="AR53" s="821"/>
      <c r="AS53" s="822"/>
      <c r="AT53" s="803"/>
      <c r="AU53" s="838"/>
      <c r="AV53" s="828"/>
      <c r="AW53" s="821"/>
      <c r="AX53" s="822"/>
      <c r="AY53" s="803"/>
      <c r="AZ53" s="838"/>
      <c r="BA53" s="828"/>
      <c r="BB53" s="821"/>
      <c r="BC53" s="822"/>
      <c r="BD53" s="803"/>
      <c r="BE53" s="838"/>
      <c r="BF53" s="828"/>
      <c r="BG53" s="821"/>
      <c r="BH53" s="822"/>
      <c r="BI53" s="803"/>
      <c r="BJ53" s="838"/>
      <c r="BK53" s="828"/>
      <c r="BL53" s="821"/>
      <c r="BM53" s="822"/>
      <c r="BN53" s="803"/>
      <c r="BO53" s="838"/>
      <c r="BP53" s="828"/>
      <c r="BQ53" s="821"/>
      <c r="BR53" s="822"/>
      <c r="BS53" s="803"/>
      <c r="BT53" s="803"/>
      <c r="BU53" s="828"/>
      <c r="BV53" s="821"/>
      <c r="BW53" s="822"/>
      <c r="BX53" s="803"/>
      <c r="BY53" s="824"/>
      <c r="BZ53" s="828"/>
      <c r="CA53" s="821"/>
      <c r="CB53" s="822"/>
      <c r="CC53" s="803"/>
      <c r="CD53" s="824"/>
      <c r="CE53" s="828"/>
      <c r="CF53" s="821"/>
      <c r="CG53" s="822"/>
      <c r="CH53" s="803"/>
      <c r="CI53" s="824"/>
      <c r="CJ53" s="828"/>
      <c r="CK53" s="821"/>
      <c r="CL53" s="822"/>
      <c r="CM53" s="803"/>
      <c r="CN53" s="823"/>
      <c r="CO53" s="828"/>
      <c r="CP53" s="821"/>
      <c r="CQ53" s="822"/>
      <c r="CR53" s="803"/>
      <c r="CS53" s="823"/>
      <c r="CT53" s="828"/>
      <c r="CU53" s="821"/>
      <c r="CV53" s="822"/>
      <c r="CW53" s="803"/>
      <c r="CX53" s="823"/>
      <c r="CY53" s="828"/>
      <c r="CZ53" s="821"/>
      <c r="DA53" s="822"/>
      <c r="DB53" s="803"/>
      <c r="DC53" s="823"/>
      <c r="DD53" s="828"/>
      <c r="DE53" s="821"/>
      <c r="DF53" s="822"/>
      <c r="DG53" s="803"/>
      <c r="DH53" s="823"/>
      <c r="DI53" s="828"/>
      <c r="DJ53" s="821"/>
      <c r="DK53" s="822"/>
      <c r="DL53" s="803"/>
      <c r="DM53" s="823"/>
      <c r="DN53" s="828"/>
      <c r="DO53" s="821"/>
      <c r="DP53" s="822"/>
      <c r="DQ53" s="803"/>
      <c r="DR53" s="823"/>
      <c r="DS53" s="828"/>
      <c r="DT53" s="821"/>
      <c r="DU53" s="822"/>
    </row>
    <row r="54" spans="2:125" x14ac:dyDescent="0.25">
      <c r="B54" s="837"/>
      <c r="C54" s="828"/>
      <c r="D54" s="821"/>
      <c r="E54" s="822"/>
      <c r="F54" s="838"/>
      <c r="G54" s="838"/>
      <c r="H54" s="828"/>
      <c r="I54" s="821"/>
      <c r="J54" s="822"/>
      <c r="K54" s="838"/>
      <c r="L54" s="838"/>
      <c r="M54" s="828"/>
      <c r="N54" s="821"/>
      <c r="O54" s="822"/>
      <c r="P54" s="838"/>
      <c r="Q54" s="838"/>
      <c r="R54" s="828"/>
      <c r="S54" s="821"/>
      <c r="T54" s="822"/>
      <c r="U54" s="827"/>
      <c r="V54" s="838"/>
      <c r="W54" s="828"/>
      <c r="X54" s="821"/>
      <c r="Y54" s="822"/>
      <c r="Z54" s="838"/>
      <c r="AA54" s="838"/>
      <c r="AB54" s="828"/>
      <c r="AC54" s="821"/>
      <c r="AD54" s="822"/>
      <c r="AE54" s="803"/>
      <c r="AF54" s="838"/>
      <c r="AG54" s="828"/>
      <c r="AH54" s="821"/>
      <c r="AI54" s="822"/>
      <c r="AJ54" s="803"/>
      <c r="AK54" s="838"/>
      <c r="AL54" s="828"/>
      <c r="AM54" s="821"/>
      <c r="AN54" s="822"/>
      <c r="AO54" s="803"/>
      <c r="AP54" s="838"/>
      <c r="AQ54" s="828"/>
      <c r="AR54" s="821"/>
      <c r="AS54" s="822"/>
      <c r="AT54" s="803"/>
      <c r="AU54" s="838"/>
      <c r="AV54" s="828"/>
      <c r="AW54" s="821"/>
      <c r="AX54" s="822"/>
      <c r="AY54" s="803"/>
      <c r="AZ54" s="838"/>
      <c r="BA54" s="828"/>
      <c r="BB54" s="821"/>
      <c r="BC54" s="822"/>
      <c r="BD54" s="803"/>
      <c r="BE54" s="838"/>
      <c r="BF54" s="828"/>
      <c r="BG54" s="821"/>
      <c r="BH54" s="822"/>
      <c r="BI54" s="803"/>
      <c r="BJ54" s="838"/>
      <c r="BK54" s="828"/>
      <c r="BL54" s="821"/>
      <c r="BM54" s="822"/>
      <c r="BN54" s="803"/>
      <c r="BO54" s="838"/>
      <c r="BP54" s="828"/>
      <c r="BQ54" s="821"/>
      <c r="BR54" s="822"/>
      <c r="BS54" s="803"/>
      <c r="BT54" s="803"/>
      <c r="BU54" s="828"/>
      <c r="BV54" s="821"/>
      <c r="BW54" s="822"/>
      <c r="BX54" s="803"/>
      <c r="BY54" s="824"/>
      <c r="BZ54" s="828"/>
      <c r="CA54" s="821"/>
      <c r="CB54" s="822"/>
      <c r="CC54" s="803"/>
      <c r="CD54" s="824"/>
      <c r="CE54" s="828"/>
      <c r="CF54" s="821"/>
      <c r="CG54" s="822"/>
      <c r="CH54" s="803"/>
      <c r="CI54" s="824"/>
      <c r="CJ54" s="828"/>
      <c r="CK54" s="821"/>
      <c r="CL54" s="822"/>
      <c r="CM54" s="803"/>
      <c r="CN54" s="823"/>
      <c r="CO54" s="828"/>
      <c r="CP54" s="821"/>
      <c r="CQ54" s="822"/>
      <c r="CR54" s="803"/>
      <c r="CS54" s="823"/>
      <c r="CT54" s="828"/>
      <c r="CU54" s="821"/>
      <c r="CV54" s="822"/>
      <c r="CW54" s="803"/>
      <c r="CX54" s="823"/>
      <c r="CY54" s="828"/>
      <c r="CZ54" s="821"/>
      <c r="DA54" s="822"/>
      <c r="DB54" s="803"/>
      <c r="DC54" s="823"/>
      <c r="DD54" s="828"/>
      <c r="DE54" s="821"/>
      <c r="DF54" s="822"/>
      <c r="DG54" s="803"/>
      <c r="DH54" s="823"/>
      <c r="DI54" s="828"/>
      <c r="DJ54" s="821"/>
      <c r="DK54" s="822"/>
      <c r="DL54" s="803"/>
      <c r="DM54" s="823"/>
      <c r="DN54" s="828"/>
      <c r="DO54" s="821"/>
      <c r="DP54" s="822"/>
      <c r="DQ54" s="803"/>
      <c r="DR54" s="823"/>
      <c r="DS54" s="828"/>
      <c r="DT54" s="821"/>
      <c r="DU54" s="822"/>
    </row>
    <row r="55" spans="2:125" x14ac:dyDescent="0.25">
      <c r="B55" s="837"/>
      <c r="C55" s="828"/>
      <c r="D55" s="821"/>
      <c r="E55" s="822"/>
      <c r="F55" s="838"/>
      <c r="G55" s="838"/>
      <c r="H55" s="828"/>
      <c r="I55" s="821"/>
      <c r="J55" s="822"/>
      <c r="K55" s="838"/>
      <c r="L55" s="838"/>
      <c r="M55" s="828"/>
      <c r="N55" s="821"/>
      <c r="O55" s="822"/>
      <c r="P55" s="838"/>
      <c r="Q55" s="838"/>
      <c r="R55" s="828"/>
      <c r="S55" s="821"/>
      <c r="T55" s="822"/>
      <c r="U55" s="827"/>
      <c r="V55" s="838"/>
      <c r="W55" s="828"/>
      <c r="X55" s="821"/>
      <c r="Y55" s="822"/>
      <c r="Z55" s="838"/>
      <c r="AA55" s="838"/>
      <c r="AB55" s="828"/>
      <c r="AC55" s="821"/>
      <c r="AD55" s="822"/>
      <c r="AE55" s="803"/>
      <c r="AF55" s="838"/>
      <c r="AG55" s="828"/>
      <c r="AH55" s="821"/>
      <c r="AI55" s="822"/>
      <c r="AJ55" s="803"/>
      <c r="AK55" s="838"/>
      <c r="AL55" s="828"/>
      <c r="AM55" s="821"/>
      <c r="AN55" s="822"/>
      <c r="AO55" s="803"/>
      <c r="AP55" s="838"/>
      <c r="AQ55" s="828"/>
      <c r="AR55" s="821"/>
      <c r="AS55" s="822"/>
      <c r="AT55" s="803"/>
      <c r="AU55" s="838"/>
      <c r="AV55" s="828"/>
      <c r="AW55" s="821"/>
      <c r="AX55" s="822"/>
      <c r="AY55" s="803"/>
      <c r="AZ55" s="838"/>
      <c r="BA55" s="828"/>
      <c r="BB55" s="821"/>
      <c r="BC55" s="822"/>
      <c r="BD55" s="803"/>
      <c r="BE55" s="838"/>
      <c r="BF55" s="828"/>
      <c r="BG55" s="821"/>
      <c r="BH55" s="822"/>
      <c r="BI55" s="803"/>
      <c r="BJ55" s="838"/>
      <c r="BK55" s="828"/>
      <c r="BL55" s="821"/>
      <c r="BM55" s="822"/>
      <c r="BN55" s="803"/>
      <c r="BO55" s="838"/>
      <c r="BP55" s="828"/>
      <c r="BQ55" s="821"/>
      <c r="BR55" s="822"/>
      <c r="BS55" s="803"/>
      <c r="BT55" s="803"/>
      <c r="BU55" s="828"/>
      <c r="BV55" s="821"/>
      <c r="BW55" s="822"/>
      <c r="BX55" s="803"/>
      <c r="BY55" s="824"/>
      <c r="BZ55" s="828"/>
      <c r="CA55" s="821"/>
      <c r="CB55" s="822"/>
      <c r="CC55" s="803"/>
      <c r="CD55" s="824"/>
      <c r="CE55" s="828"/>
      <c r="CF55" s="821"/>
      <c r="CG55" s="822"/>
      <c r="CH55" s="803"/>
      <c r="CI55" s="824"/>
      <c r="CJ55" s="828"/>
      <c r="CK55" s="821"/>
      <c r="CL55" s="822"/>
      <c r="CM55" s="803"/>
      <c r="CN55" s="823"/>
      <c r="CO55" s="828"/>
      <c r="CP55" s="821"/>
      <c r="CQ55" s="822"/>
      <c r="CR55" s="803"/>
      <c r="CS55" s="823"/>
      <c r="CT55" s="828"/>
      <c r="CU55" s="821"/>
      <c r="CV55" s="822"/>
      <c r="CW55" s="803"/>
      <c r="CX55" s="823"/>
      <c r="CY55" s="828"/>
      <c r="CZ55" s="821"/>
      <c r="DA55" s="822"/>
      <c r="DB55" s="803"/>
      <c r="DC55" s="823"/>
      <c r="DD55" s="828"/>
      <c r="DE55" s="821"/>
      <c r="DF55" s="822"/>
      <c r="DG55" s="803"/>
      <c r="DH55" s="823"/>
      <c r="DI55" s="828"/>
      <c r="DJ55" s="821"/>
      <c r="DK55" s="822"/>
      <c r="DL55" s="803"/>
      <c r="DM55" s="823"/>
      <c r="DN55" s="828"/>
      <c r="DO55" s="821"/>
      <c r="DP55" s="822"/>
      <c r="DQ55" s="803"/>
      <c r="DR55" s="823"/>
      <c r="DS55" s="828"/>
      <c r="DT55" s="821"/>
      <c r="DU55" s="822"/>
    </row>
    <row r="56" spans="2:125" x14ac:dyDescent="0.25">
      <c r="B56" s="837"/>
      <c r="C56" s="828"/>
      <c r="D56" s="821"/>
      <c r="E56" s="822"/>
      <c r="F56" s="838"/>
      <c r="G56" s="838"/>
      <c r="H56" s="828"/>
      <c r="I56" s="821"/>
      <c r="J56" s="822"/>
      <c r="K56" s="838"/>
      <c r="L56" s="838"/>
      <c r="M56" s="828"/>
      <c r="N56" s="821"/>
      <c r="O56" s="822"/>
      <c r="P56" s="838"/>
      <c r="Q56" s="838"/>
      <c r="R56" s="828"/>
      <c r="S56" s="821"/>
      <c r="T56" s="822"/>
      <c r="U56" s="827"/>
      <c r="V56" s="838"/>
      <c r="W56" s="828"/>
      <c r="X56" s="821"/>
      <c r="Y56" s="822"/>
      <c r="Z56" s="838"/>
      <c r="AA56" s="838"/>
      <c r="AB56" s="828"/>
      <c r="AC56" s="821"/>
      <c r="AD56" s="822"/>
      <c r="AE56" s="803"/>
      <c r="AF56" s="838"/>
      <c r="AG56" s="828"/>
      <c r="AH56" s="821"/>
      <c r="AI56" s="822"/>
      <c r="AJ56" s="803"/>
      <c r="AK56" s="838"/>
      <c r="AL56" s="828"/>
      <c r="AM56" s="821"/>
      <c r="AN56" s="822"/>
      <c r="AO56" s="803"/>
      <c r="AP56" s="838"/>
      <c r="AQ56" s="828"/>
      <c r="AR56" s="821"/>
      <c r="AS56" s="822"/>
      <c r="AT56" s="803"/>
      <c r="AU56" s="838"/>
      <c r="AV56" s="828"/>
      <c r="AW56" s="821"/>
      <c r="AX56" s="822"/>
      <c r="AY56" s="803"/>
      <c r="AZ56" s="838"/>
      <c r="BA56" s="828"/>
      <c r="BB56" s="821"/>
      <c r="BC56" s="822"/>
      <c r="BD56" s="803"/>
      <c r="BE56" s="838"/>
      <c r="BF56" s="828"/>
      <c r="BG56" s="821"/>
      <c r="BH56" s="822"/>
      <c r="BI56" s="803"/>
      <c r="BJ56" s="838"/>
      <c r="BK56" s="828"/>
      <c r="BL56" s="821"/>
      <c r="BM56" s="822"/>
      <c r="BN56" s="803"/>
      <c r="BO56" s="838"/>
      <c r="BP56" s="828"/>
      <c r="BQ56" s="821"/>
      <c r="BR56" s="822"/>
      <c r="BS56" s="803"/>
      <c r="BT56" s="803"/>
      <c r="BU56" s="828"/>
      <c r="BV56" s="821"/>
      <c r="BW56" s="822"/>
      <c r="BX56" s="803"/>
      <c r="BY56" s="824"/>
      <c r="BZ56" s="828"/>
      <c r="CA56" s="821"/>
      <c r="CB56" s="822"/>
      <c r="CC56" s="803"/>
      <c r="CD56" s="824"/>
      <c r="CE56" s="828"/>
      <c r="CF56" s="821"/>
      <c r="CG56" s="822"/>
      <c r="CH56" s="803"/>
      <c r="CI56" s="824"/>
      <c r="CJ56" s="828"/>
      <c r="CK56" s="821"/>
      <c r="CL56" s="822"/>
      <c r="CM56" s="803"/>
      <c r="CN56" s="823"/>
      <c r="CO56" s="828"/>
      <c r="CP56" s="821"/>
      <c r="CQ56" s="822"/>
      <c r="CR56" s="803"/>
      <c r="CS56" s="823"/>
      <c r="CT56" s="828"/>
      <c r="CU56" s="821"/>
      <c r="CV56" s="822"/>
      <c r="CW56" s="803"/>
      <c r="CX56" s="823"/>
      <c r="CY56" s="828"/>
      <c r="CZ56" s="821"/>
      <c r="DA56" s="822"/>
      <c r="DB56" s="803"/>
      <c r="DC56" s="823"/>
      <c r="DD56" s="828"/>
      <c r="DE56" s="821"/>
      <c r="DF56" s="822"/>
      <c r="DG56" s="803"/>
      <c r="DH56" s="823"/>
      <c r="DI56" s="828"/>
      <c r="DJ56" s="821"/>
      <c r="DK56" s="822"/>
      <c r="DL56" s="803"/>
      <c r="DM56" s="823"/>
      <c r="DN56" s="828"/>
      <c r="DO56" s="821"/>
      <c r="DP56" s="822"/>
      <c r="DQ56" s="803"/>
      <c r="DR56" s="823"/>
      <c r="DS56" s="828"/>
      <c r="DT56" s="821"/>
      <c r="DU56" s="822"/>
    </row>
    <row r="57" spans="2:125" x14ac:dyDescent="0.25">
      <c r="B57" s="837"/>
      <c r="C57" s="828"/>
      <c r="D57" s="821"/>
      <c r="E57" s="822"/>
      <c r="F57" s="838"/>
      <c r="G57" s="838"/>
      <c r="H57" s="828"/>
      <c r="I57" s="821"/>
      <c r="J57" s="822"/>
      <c r="K57" s="838"/>
      <c r="L57" s="838"/>
      <c r="M57" s="828"/>
      <c r="N57" s="821"/>
      <c r="O57" s="822"/>
      <c r="P57" s="838"/>
      <c r="Q57" s="838"/>
      <c r="R57" s="828"/>
      <c r="S57" s="821"/>
      <c r="T57" s="822"/>
      <c r="U57" s="827"/>
      <c r="V57" s="838"/>
      <c r="W57" s="828"/>
      <c r="X57" s="821"/>
      <c r="Y57" s="822"/>
      <c r="Z57" s="838"/>
      <c r="AA57" s="838"/>
      <c r="AB57" s="828"/>
      <c r="AC57" s="821"/>
      <c r="AD57" s="822"/>
      <c r="AE57" s="803"/>
      <c r="AF57" s="838"/>
      <c r="AG57" s="828"/>
      <c r="AH57" s="821"/>
      <c r="AI57" s="822"/>
      <c r="AJ57" s="803"/>
      <c r="AK57" s="838"/>
      <c r="AL57" s="828"/>
      <c r="AM57" s="821"/>
      <c r="AN57" s="822"/>
      <c r="AO57" s="803"/>
      <c r="AP57" s="838"/>
      <c r="AQ57" s="828"/>
      <c r="AR57" s="821"/>
      <c r="AS57" s="822"/>
      <c r="AT57" s="803"/>
      <c r="AU57" s="838"/>
      <c r="AV57" s="828"/>
      <c r="AW57" s="821"/>
      <c r="AX57" s="822"/>
      <c r="AY57" s="803"/>
      <c r="AZ57" s="838"/>
      <c r="BA57" s="828"/>
      <c r="BB57" s="821"/>
      <c r="BC57" s="822"/>
      <c r="BD57" s="803"/>
      <c r="BE57" s="838"/>
      <c r="BF57" s="828"/>
      <c r="BG57" s="821"/>
      <c r="BH57" s="822"/>
      <c r="BI57" s="803"/>
      <c r="BJ57" s="838"/>
      <c r="BK57" s="828"/>
      <c r="BL57" s="821"/>
      <c r="BM57" s="822"/>
      <c r="BN57" s="803"/>
      <c r="BO57" s="838"/>
      <c r="BP57" s="828"/>
      <c r="BQ57" s="821"/>
      <c r="BR57" s="822"/>
      <c r="BS57" s="803"/>
      <c r="BT57" s="803"/>
      <c r="BU57" s="828"/>
      <c r="BV57" s="821"/>
      <c r="BW57" s="822"/>
      <c r="BX57" s="803"/>
      <c r="BY57" s="824"/>
      <c r="BZ57" s="828"/>
      <c r="CA57" s="821"/>
      <c r="CB57" s="822"/>
      <c r="CC57" s="803"/>
      <c r="CD57" s="824"/>
      <c r="CE57" s="828"/>
      <c r="CF57" s="821"/>
      <c r="CG57" s="822"/>
      <c r="CH57" s="803"/>
      <c r="CI57" s="824"/>
      <c r="CJ57" s="828"/>
      <c r="CK57" s="821"/>
      <c r="CL57" s="822"/>
      <c r="CM57" s="803"/>
      <c r="CN57" s="823"/>
      <c r="CO57" s="828"/>
      <c r="CP57" s="821"/>
      <c r="CQ57" s="822"/>
      <c r="CR57" s="803"/>
      <c r="CS57" s="823"/>
      <c r="CT57" s="828"/>
      <c r="CU57" s="821"/>
      <c r="CV57" s="822"/>
      <c r="CW57" s="803"/>
      <c r="CX57" s="823"/>
      <c r="CY57" s="828"/>
      <c r="CZ57" s="821"/>
      <c r="DA57" s="822"/>
      <c r="DB57" s="803"/>
      <c r="DC57" s="823"/>
      <c r="DD57" s="828"/>
      <c r="DE57" s="821"/>
      <c r="DF57" s="822"/>
      <c r="DG57" s="803"/>
      <c r="DH57" s="823"/>
      <c r="DI57" s="828"/>
      <c r="DJ57" s="821"/>
      <c r="DK57" s="822"/>
      <c r="DL57" s="803"/>
      <c r="DM57" s="823"/>
      <c r="DN57" s="828"/>
      <c r="DO57" s="821"/>
      <c r="DP57" s="822"/>
      <c r="DQ57" s="803"/>
      <c r="DR57" s="823"/>
      <c r="DS57" s="828"/>
      <c r="DT57" s="821"/>
      <c r="DU57" s="822"/>
    </row>
    <row r="58" spans="2:125" x14ac:dyDescent="0.25">
      <c r="B58" s="837"/>
      <c r="C58" s="828"/>
      <c r="D58" s="821"/>
      <c r="E58" s="822"/>
      <c r="F58" s="838"/>
      <c r="G58" s="838"/>
      <c r="H58" s="828"/>
      <c r="I58" s="821"/>
      <c r="J58" s="822"/>
      <c r="K58" s="838"/>
      <c r="L58" s="838"/>
      <c r="M58" s="828"/>
      <c r="N58" s="821"/>
      <c r="O58" s="822"/>
      <c r="P58" s="838"/>
      <c r="Q58" s="838"/>
      <c r="R58" s="828"/>
      <c r="S58" s="821"/>
      <c r="T58" s="822"/>
      <c r="U58" s="827"/>
      <c r="V58" s="838"/>
      <c r="W58" s="828"/>
      <c r="X58" s="821"/>
      <c r="Y58" s="822"/>
      <c r="Z58" s="838"/>
      <c r="AA58" s="838"/>
      <c r="AB58" s="828"/>
      <c r="AC58" s="821"/>
      <c r="AD58" s="822"/>
      <c r="AE58" s="803"/>
      <c r="AF58" s="838"/>
      <c r="AG58" s="828"/>
      <c r="AH58" s="821"/>
      <c r="AI58" s="822"/>
      <c r="AJ58" s="803"/>
      <c r="AK58" s="838"/>
      <c r="AL58" s="828"/>
      <c r="AM58" s="821"/>
      <c r="AN58" s="822"/>
      <c r="AO58" s="803"/>
      <c r="AP58" s="838"/>
      <c r="AQ58" s="828"/>
      <c r="AR58" s="821"/>
      <c r="AS58" s="822"/>
      <c r="AT58" s="803"/>
      <c r="AU58" s="838"/>
      <c r="AV58" s="828"/>
      <c r="AW58" s="821"/>
      <c r="AX58" s="822"/>
      <c r="AY58" s="803"/>
      <c r="AZ58" s="838"/>
      <c r="BA58" s="828"/>
      <c r="BB58" s="821"/>
      <c r="BC58" s="822"/>
      <c r="BD58" s="803"/>
      <c r="BE58" s="838"/>
      <c r="BF58" s="828"/>
      <c r="BG58" s="821"/>
      <c r="BH58" s="822"/>
      <c r="BI58" s="803"/>
      <c r="BJ58" s="838"/>
      <c r="BK58" s="828"/>
      <c r="BL58" s="821"/>
      <c r="BM58" s="822"/>
      <c r="BN58" s="803"/>
      <c r="BO58" s="838"/>
      <c r="BP58" s="828"/>
      <c r="BQ58" s="821"/>
      <c r="BR58" s="822"/>
      <c r="BS58" s="803"/>
      <c r="BT58" s="803"/>
      <c r="BU58" s="828"/>
      <c r="BV58" s="821"/>
      <c r="BW58" s="822"/>
      <c r="BX58" s="803"/>
      <c r="BY58" s="824"/>
      <c r="BZ58" s="828"/>
      <c r="CA58" s="821"/>
      <c r="CB58" s="822"/>
      <c r="CC58" s="803"/>
      <c r="CD58" s="824"/>
      <c r="CE58" s="828"/>
      <c r="CF58" s="821"/>
      <c r="CG58" s="822"/>
      <c r="CH58" s="803"/>
      <c r="CI58" s="824"/>
      <c r="CJ58" s="828"/>
      <c r="CK58" s="821"/>
      <c r="CL58" s="822"/>
      <c r="CM58" s="803"/>
      <c r="CN58" s="823"/>
      <c r="CO58" s="828"/>
      <c r="CP58" s="821"/>
      <c r="CQ58" s="822"/>
      <c r="CR58" s="803"/>
      <c r="CS58" s="823"/>
      <c r="CT58" s="828"/>
      <c r="CU58" s="821"/>
      <c r="CV58" s="822"/>
      <c r="CW58" s="803"/>
      <c r="CX58" s="823"/>
      <c r="CY58" s="828"/>
      <c r="CZ58" s="821"/>
      <c r="DA58" s="822"/>
      <c r="DB58" s="803"/>
      <c r="DC58" s="823"/>
      <c r="DD58" s="828"/>
      <c r="DE58" s="821"/>
      <c r="DF58" s="822"/>
      <c r="DG58" s="803"/>
      <c r="DH58" s="823"/>
      <c r="DI58" s="828"/>
      <c r="DJ58" s="821"/>
      <c r="DK58" s="822"/>
      <c r="DL58" s="803"/>
      <c r="DM58" s="823"/>
      <c r="DN58" s="828"/>
      <c r="DO58" s="821"/>
      <c r="DP58" s="822"/>
      <c r="DQ58" s="803"/>
      <c r="DR58" s="823"/>
      <c r="DS58" s="828"/>
      <c r="DT58" s="821"/>
      <c r="DU58" s="822"/>
    </row>
    <row r="59" spans="2:125" x14ac:dyDescent="0.25">
      <c r="B59" s="837"/>
      <c r="C59" s="828"/>
      <c r="D59" s="821"/>
      <c r="E59" s="822"/>
      <c r="F59" s="838"/>
      <c r="G59" s="838"/>
      <c r="H59" s="828"/>
      <c r="I59" s="821"/>
      <c r="J59" s="822"/>
      <c r="K59" s="838"/>
      <c r="L59" s="838"/>
      <c r="M59" s="828"/>
      <c r="N59" s="821"/>
      <c r="O59" s="822"/>
      <c r="P59" s="838"/>
      <c r="Q59" s="838"/>
      <c r="R59" s="828"/>
      <c r="S59" s="821"/>
      <c r="T59" s="822"/>
      <c r="U59" s="827"/>
      <c r="V59" s="838"/>
      <c r="W59" s="828"/>
      <c r="X59" s="821"/>
      <c r="Y59" s="822"/>
      <c r="Z59" s="838"/>
      <c r="AA59" s="838"/>
      <c r="AB59" s="828"/>
      <c r="AC59" s="821"/>
      <c r="AD59" s="822"/>
      <c r="AE59" s="803"/>
      <c r="AF59" s="838"/>
      <c r="AG59" s="828"/>
      <c r="AH59" s="821"/>
      <c r="AI59" s="822"/>
      <c r="AJ59" s="803"/>
      <c r="AK59" s="838"/>
      <c r="AL59" s="828"/>
      <c r="AM59" s="821"/>
      <c r="AN59" s="822"/>
      <c r="AO59" s="803"/>
      <c r="AP59" s="838"/>
      <c r="AQ59" s="828"/>
      <c r="AR59" s="821"/>
      <c r="AS59" s="822"/>
      <c r="AT59" s="803"/>
      <c r="AU59" s="838"/>
      <c r="AV59" s="828"/>
      <c r="AW59" s="821"/>
      <c r="AX59" s="822"/>
      <c r="AY59" s="803"/>
      <c r="AZ59" s="838"/>
      <c r="BA59" s="828"/>
      <c r="BB59" s="821"/>
      <c r="BC59" s="822"/>
      <c r="BD59" s="803"/>
      <c r="BE59" s="838"/>
      <c r="BF59" s="828"/>
      <c r="BG59" s="821"/>
      <c r="BH59" s="822"/>
      <c r="BI59" s="803"/>
      <c r="BJ59" s="838"/>
      <c r="BK59" s="828"/>
      <c r="BL59" s="821"/>
      <c r="BM59" s="822"/>
      <c r="BN59" s="803"/>
      <c r="BO59" s="838"/>
      <c r="BP59" s="828"/>
      <c r="BQ59" s="821"/>
      <c r="BR59" s="822"/>
      <c r="BS59" s="803"/>
      <c r="BT59" s="803"/>
      <c r="BU59" s="828"/>
      <c r="BV59" s="821"/>
      <c r="BW59" s="822"/>
      <c r="BX59" s="803"/>
      <c r="BY59" s="824"/>
      <c r="BZ59" s="828"/>
      <c r="CA59" s="821"/>
      <c r="CB59" s="822"/>
      <c r="CC59" s="803"/>
      <c r="CD59" s="824"/>
      <c r="CE59" s="828"/>
      <c r="CF59" s="821"/>
      <c r="CG59" s="822"/>
      <c r="CH59" s="803"/>
      <c r="CI59" s="824"/>
      <c r="CJ59" s="828"/>
      <c r="CK59" s="821"/>
      <c r="CL59" s="822"/>
      <c r="CM59" s="803"/>
      <c r="CN59" s="823"/>
      <c r="CO59" s="828"/>
      <c r="CP59" s="821"/>
      <c r="CQ59" s="822"/>
      <c r="CR59" s="803"/>
      <c r="CS59" s="823"/>
      <c r="CT59" s="828"/>
      <c r="CU59" s="821"/>
      <c r="CV59" s="822"/>
      <c r="CW59" s="803"/>
      <c r="CX59" s="823"/>
      <c r="CY59" s="828"/>
      <c r="CZ59" s="821"/>
      <c r="DA59" s="822"/>
      <c r="DB59" s="803"/>
      <c r="DC59" s="823"/>
      <c r="DD59" s="828"/>
      <c r="DE59" s="821"/>
      <c r="DF59" s="822"/>
      <c r="DG59" s="803"/>
      <c r="DH59" s="823"/>
      <c r="DI59" s="828"/>
      <c r="DJ59" s="821"/>
      <c r="DK59" s="822"/>
      <c r="DL59" s="803"/>
      <c r="DM59" s="823"/>
      <c r="DN59" s="828"/>
      <c r="DO59" s="821"/>
      <c r="DP59" s="822"/>
      <c r="DQ59" s="803"/>
      <c r="DR59" s="823"/>
      <c r="DS59" s="828"/>
      <c r="DT59" s="821"/>
      <c r="DU59" s="822"/>
    </row>
    <row r="60" spans="2:125" x14ac:dyDescent="0.25">
      <c r="B60" s="837"/>
      <c r="C60" s="828"/>
      <c r="D60" s="821"/>
      <c r="E60" s="822"/>
      <c r="F60" s="838"/>
      <c r="G60" s="838"/>
      <c r="H60" s="828"/>
      <c r="I60" s="821"/>
      <c r="J60" s="822"/>
      <c r="K60" s="838"/>
      <c r="L60" s="838"/>
      <c r="M60" s="828"/>
      <c r="N60" s="821"/>
      <c r="O60" s="822"/>
      <c r="P60" s="838"/>
      <c r="Q60" s="838"/>
      <c r="R60" s="828"/>
      <c r="S60" s="821"/>
      <c r="T60" s="822"/>
      <c r="U60" s="827"/>
      <c r="V60" s="838"/>
      <c r="W60" s="828"/>
      <c r="X60" s="821"/>
      <c r="Y60" s="822"/>
      <c r="Z60" s="838"/>
      <c r="AA60" s="838"/>
      <c r="AB60" s="828"/>
      <c r="AC60" s="821"/>
      <c r="AD60" s="822"/>
      <c r="AE60" s="803"/>
      <c r="AF60" s="838"/>
      <c r="AG60" s="828"/>
      <c r="AH60" s="821"/>
      <c r="AI60" s="822"/>
      <c r="AJ60" s="803"/>
      <c r="AK60" s="838"/>
      <c r="AL60" s="828"/>
      <c r="AM60" s="821"/>
      <c r="AN60" s="822"/>
      <c r="AO60" s="803"/>
      <c r="AP60" s="838"/>
      <c r="AQ60" s="828"/>
      <c r="AR60" s="821"/>
      <c r="AS60" s="822"/>
      <c r="AT60" s="803"/>
      <c r="AU60" s="838"/>
      <c r="AV60" s="828"/>
      <c r="AW60" s="821"/>
      <c r="AX60" s="822"/>
      <c r="AY60" s="803"/>
      <c r="AZ60" s="838"/>
      <c r="BA60" s="828"/>
      <c r="BB60" s="821"/>
      <c r="BC60" s="822"/>
      <c r="BD60" s="803"/>
      <c r="BE60" s="838"/>
      <c r="BF60" s="828"/>
      <c r="BG60" s="821"/>
      <c r="BH60" s="822"/>
      <c r="BI60" s="803"/>
      <c r="BJ60" s="838"/>
      <c r="BK60" s="828"/>
      <c r="BL60" s="821"/>
      <c r="BM60" s="822"/>
      <c r="BN60" s="803"/>
      <c r="BO60" s="838"/>
      <c r="BP60" s="828"/>
      <c r="BQ60" s="821"/>
      <c r="BR60" s="822"/>
      <c r="BS60" s="803"/>
      <c r="BT60" s="803"/>
      <c r="BU60" s="828"/>
      <c r="BV60" s="821"/>
      <c r="BW60" s="822"/>
      <c r="BX60" s="803"/>
      <c r="BY60" s="824"/>
      <c r="BZ60" s="828"/>
      <c r="CA60" s="821"/>
      <c r="CB60" s="822"/>
      <c r="CC60" s="803"/>
      <c r="CD60" s="824"/>
      <c r="CE60" s="828"/>
      <c r="CF60" s="821"/>
      <c r="CG60" s="822"/>
      <c r="CH60" s="803"/>
      <c r="CI60" s="824"/>
      <c r="CJ60" s="828"/>
      <c r="CK60" s="821"/>
      <c r="CL60" s="822"/>
      <c r="CM60" s="803"/>
      <c r="CN60" s="823"/>
      <c r="CO60" s="828"/>
      <c r="CP60" s="821"/>
      <c r="CQ60" s="822"/>
      <c r="CR60" s="803"/>
      <c r="CS60" s="823"/>
      <c r="CT60" s="828"/>
      <c r="CU60" s="821"/>
      <c r="CV60" s="822"/>
      <c r="CW60" s="803"/>
      <c r="CX60" s="823"/>
      <c r="CY60" s="828"/>
      <c r="CZ60" s="821"/>
      <c r="DA60" s="822"/>
      <c r="DB60" s="803"/>
      <c r="DC60" s="823"/>
      <c r="DD60" s="828"/>
      <c r="DE60" s="821"/>
      <c r="DF60" s="822"/>
      <c r="DG60" s="803"/>
      <c r="DH60" s="823"/>
      <c r="DI60" s="828"/>
      <c r="DJ60" s="821"/>
      <c r="DK60" s="822"/>
      <c r="DL60" s="803"/>
      <c r="DM60" s="823"/>
      <c r="DN60" s="828"/>
      <c r="DO60" s="821"/>
      <c r="DP60" s="822"/>
      <c r="DQ60" s="803"/>
      <c r="DR60" s="823"/>
      <c r="DS60" s="828"/>
      <c r="DT60" s="821"/>
      <c r="DU60" s="822"/>
    </row>
    <row r="61" spans="2:125" x14ac:dyDescent="0.25">
      <c r="B61" s="837"/>
      <c r="C61" s="828"/>
      <c r="D61" s="821"/>
      <c r="E61" s="822"/>
      <c r="F61" s="838"/>
      <c r="G61" s="838"/>
      <c r="H61" s="828"/>
      <c r="I61" s="821"/>
      <c r="J61" s="822"/>
      <c r="K61" s="838"/>
      <c r="L61" s="838"/>
      <c r="M61" s="828"/>
      <c r="N61" s="821"/>
      <c r="O61" s="822"/>
      <c r="P61" s="838"/>
      <c r="Q61" s="838"/>
      <c r="R61" s="828"/>
      <c r="S61" s="821"/>
      <c r="T61" s="822"/>
      <c r="U61" s="827"/>
      <c r="V61" s="838"/>
      <c r="W61" s="828"/>
      <c r="X61" s="821"/>
      <c r="Y61" s="822"/>
      <c r="Z61" s="838"/>
      <c r="AA61" s="838"/>
      <c r="AB61" s="828"/>
      <c r="AC61" s="821"/>
      <c r="AD61" s="822"/>
      <c r="AE61" s="803"/>
      <c r="AF61" s="838"/>
      <c r="AG61" s="828"/>
      <c r="AH61" s="821"/>
      <c r="AI61" s="822"/>
      <c r="AJ61" s="803"/>
      <c r="AK61" s="838"/>
      <c r="AL61" s="828"/>
      <c r="AM61" s="821"/>
      <c r="AN61" s="822"/>
      <c r="AO61" s="803"/>
      <c r="AP61" s="838"/>
      <c r="AQ61" s="828"/>
      <c r="AR61" s="821"/>
      <c r="AS61" s="822"/>
      <c r="AT61" s="803"/>
      <c r="AU61" s="838"/>
      <c r="AV61" s="828"/>
      <c r="AW61" s="821"/>
      <c r="AX61" s="822"/>
      <c r="AY61" s="803"/>
      <c r="AZ61" s="838"/>
      <c r="BA61" s="828"/>
      <c r="BB61" s="821"/>
      <c r="BC61" s="822"/>
      <c r="BD61" s="803"/>
      <c r="BE61" s="838"/>
      <c r="BF61" s="828"/>
      <c r="BG61" s="821"/>
      <c r="BH61" s="822"/>
      <c r="BI61" s="803"/>
      <c r="BJ61" s="838"/>
      <c r="BK61" s="828"/>
      <c r="BL61" s="821"/>
      <c r="BM61" s="822"/>
      <c r="BN61" s="803"/>
      <c r="BO61" s="838"/>
      <c r="BP61" s="828"/>
      <c r="BQ61" s="821"/>
      <c r="BR61" s="822"/>
      <c r="BS61" s="803"/>
      <c r="BT61" s="803"/>
      <c r="BU61" s="828"/>
      <c r="BV61" s="821"/>
      <c r="BW61" s="822"/>
      <c r="BX61" s="803"/>
      <c r="BY61" s="824"/>
      <c r="BZ61" s="828"/>
      <c r="CA61" s="821"/>
      <c r="CB61" s="822"/>
      <c r="CC61" s="803"/>
      <c r="CD61" s="824"/>
      <c r="CE61" s="828"/>
      <c r="CF61" s="821"/>
      <c r="CG61" s="822"/>
      <c r="CH61" s="803"/>
      <c r="CI61" s="824"/>
      <c r="CJ61" s="828"/>
      <c r="CK61" s="821"/>
      <c r="CL61" s="822"/>
      <c r="CM61" s="803"/>
      <c r="CN61" s="823"/>
      <c r="CO61" s="828"/>
      <c r="CP61" s="821"/>
      <c r="CQ61" s="822"/>
      <c r="CR61" s="803"/>
      <c r="CS61" s="823"/>
      <c r="CT61" s="828"/>
      <c r="CU61" s="821"/>
      <c r="CV61" s="822"/>
      <c r="CW61" s="803"/>
      <c r="CX61" s="823"/>
      <c r="CY61" s="828"/>
      <c r="CZ61" s="821"/>
      <c r="DA61" s="822"/>
      <c r="DB61" s="803"/>
      <c r="DC61" s="823"/>
      <c r="DD61" s="828"/>
      <c r="DE61" s="821"/>
      <c r="DF61" s="822"/>
      <c r="DG61" s="803"/>
      <c r="DH61" s="823"/>
      <c r="DI61" s="828"/>
      <c r="DJ61" s="821"/>
      <c r="DK61" s="822"/>
      <c r="DL61" s="803"/>
      <c r="DM61" s="823"/>
      <c r="DN61" s="828"/>
      <c r="DO61" s="821"/>
      <c r="DP61" s="822"/>
      <c r="DQ61" s="803"/>
      <c r="DR61" s="823"/>
      <c r="DS61" s="828"/>
      <c r="DT61" s="821"/>
      <c r="DU61" s="822"/>
    </row>
    <row r="62" spans="2:125" x14ac:dyDescent="0.25">
      <c r="B62" s="837"/>
      <c r="C62" s="828"/>
      <c r="D62" s="821"/>
      <c r="E62" s="822"/>
      <c r="F62" s="838"/>
      <c r="G62" s="838"/>
      <c r="H62" s="828"/>
      <c r="I62" s="821"/>
      <c r="J62" s="822"/>
      <c r="K62" s="838"/>
      <c r="L62" s="838"/>
      <c r="M62" s="828"/>
      <c r="N62" s="821"/>
      <c r="O62" s="822"/>
      <c r="P62" s="838"/>
      <c r="Q62" s="838"/>
      <c r="R62" s="828"/>
      <c r="S62" s="821"/>
      <c r="T62" s="822"/>
      <c r="U62" s="827"/>
      <c r="V62" s="838"/>
      <c r="W62" s="828"/>
      <c r="X62" s="821"/>
      <c r="Y62" s="822"/>
      <c r="Z62" s="838"/>
      <c r="AA62" s="838"/>
      <c r="AB62" s="828"/>
      <c r="AC62" s="821"/>
      <c r="AD62" s="822"/>
      <c r="AE62" s="803"/>
      <c r="AF62" s="838"/>
      <c r="AG62" s="828"/>
      <c r="AH62" s="821"/>
      <c r="AI62" s="822"/>
      <c r="AJ62" s="803"/>
      <c r="AK62" s="838"/>
      <c r="AL62" s="828"/>
      <c r="AM62" s="821"/>
      <c r="AN62" s="822"/>
      <c r="AO62" s="803"/>
      <c r="AP62" s="838"/>
      <c r="AQ62" s="828"/>
      <c r="AR62" s="821"/>
      <c r="AS62" s="822"/>
      <c r="AT62" s="803"/>
      <c r="AU62" s="838"/>
      <c r="AV62" s="828"/>
      <c r="AW62" s="821"/>
      <c r="AX62" s="822"/>
      <c r="AY62" s="803"/>
      <c r="AZ62" s="838"/>
      <c r="BA62" s="828"/>
      <c r="BB62" s="821"/>
      <c r="BC62" s="822"/>
      <c r="BD62" s="803"/>
      <c r="BE62" s="838"/>
      <c r="BF62" s="828"/>
      <c r="BG62" s="821"/>
      <c r="BH62" s="822"/>
      <c r="BI62" s="803"/>
      <c r="BJ62" s="838"/>
      <c r="BK62" s="828"/>
      <c r="BL62" s="821"/>
      <c r="BM62" s="822"/>
      <c r="BN62" s="803"/>
      <c r="BO62" s="838"/>
      <c r="BP62" s="828"/>
      <c r="BQ62" s="821"/>
      <c r="BR62" s="822"/>
      <c r="BS62" s="803"/>
      <c r="BT62" s="803"/>
      <c r="BU62" s="828"/>
      <c r="BV62" s="821"/>
      <c r="BW62" s="822"/>
      <c r="BX62" s="803"/>
      <c r="BY62" s="824"/>
      <c r="BZ62" s="828"/>
      <c r="CA62" s="821"/>
      <c r="CB62" s="822"/>
      <c r="CC62" s="803"/>
      <c r="CD62" s="824"/>
      <c r="CE62" s="828"/>
      <c r="CF62" s="821"/>
      <c r="CG62" s="822"/>
      <c r="CH62" s="803"/>
      <c r="CI62" s="824"/>
      <c r="CJ62" s="828"/>
      <c r="CK62" s="821"/>
      <c r="CL62" s="822"/>
      <c r="CM62" s="803"/>
      <c r="CN62" s="823"/>
      <c r="CO62" s="828"/>
      <c r="CP62" s="821"/>
      <c r="CQ62" s="822"/>
      <c r="CR62" s="803"/>
      <c r="CS62" s="823"/>
      <c r="CT62" s="828"/>
      <c r="CU62" s="821"/>
      <c r="CV62" s="822"/>
      <c r="CW62" s="803"/>
      <c r="CX62" s="823"/>
      <c r="CY62" s="828"/>
      <c r="CZ62" s="821"/>
      <c r="DA62" s="822"/>
      <c r="DB62" s="803"/>
      <c r="DC62" s="823"/>
      <c r="DD62" s="828"/>
      <c r="DE62" s="821"/>
      <c r="DF62" s="822"/>
      <c r="DG62" s="803"/>
      <c r="DH62" s="823"/>
      <c r="DI62" s="828"/>
      <c r="DJ62" s="821"/>
      <c r="DK62" s="822"/>
      <c r="DL62" s="803"/>
      <c r="DM62" s="823"/>
      <c r="DN62" s="828"/>
      <c r="DO62" s="821"/>
      <c r="DP62" s="822"/>
      <c r="DQ62" s="803"/>
      <c r="DR62" s="823"/>
      <c r="DS62" s="828"/>
      <c r="DT62" s="821"/>
      <c r="DU62" s="822"/>
    </row>
    <row r="63" spans="2:125" x14ac:dyDescent="0.25">
      <c r="B63" s="837"/>
      <c r="C63" s="828"/>
      <c r="D63" s="821"/>
      <c r="E63" s="822"/>
      <c r="F63" s="838"/>
      <c r="G63" s="838"/>
      <c r="H63" s="828"/>
      <c r="I63" s="821"/>
      <c r="J63" s="822"/>
      <c r="K63" s="838"/>
      <c r="L63" s="838"/>
      <c r="M63" s="828"/>
      <c r="N63" s="821"/>
      <c r="O63" s="822"/>
      <c r="P63" s="838"/>
      <c r="Q63" s="838"/>
      <c r="R63" s="828"/>
      <c r="S63" s="821"/>
      <c r="T63" s="822"/>
      <c r="U63" s="827"/>
      <c r="V63" s="838"/>
      <c r="W63" s="828"/>
      <c r="X63" s="821"/>
      <c r="Y63" s="822"/>
      <c r="Z63" s="838"/>
      <c r="AA63" s="838"/>
      <c r="AB63" s="828"/>
      <c r="AC63" s="821"/>
      <c r="AD63" s="822"/>
      <c r="AE63" s="803"/>
      <c r="AF63" s="838"/>
      <c r="AG63" s="828"/>
      <c r="AH63" s="821"/>
      <c r="AI63" s="822"/>
      <c r="AJ63" s="803"/>
      <c r="AK63" s="838"/>
      <c r="AL63" s="828"/>
      <c r="AM63" s="821"/>
      <c r="AN63" s="822"/>
      <c r="AO63" s="803"/>
      <c r="AP63" s="838"/>
      <c r="AQ63" s="828"/>
      <c r="AR63" s="821"/>
      <c r="AS63" s="822"/>
      <c r="AT63" s="803"/>
      <c r="AU63" s="838"/>
      <c r="AV63" s="828"/>
      <c r="AW63" s="821"/>
      <c r="AX63" s="822"/>
      <c r="AY63" s="803"/>
      <c r="AZ63" s="838"/>
      <c r="BA63" s="828"/>
      <c r="BB63" s="821"/>
      <c r="BC63" s="822"/>
      <c r="BD63" s="803"/>
      <c r="BE63" s="838"/>
      <c r="BF63" s="828"/>
      <c r="BG63" s="821"/>
      <c r="BH63" s="822"/>
      <c r="BI63" s="803"/>
      <c r="BJ63" s="838"/>
      <c r="BK63" s="828"/>
      <c r="BL63" s="821"/>
      <c r="BM63" s="822"/>
      <c r="BN63" s="803"/>
      <c r="BO63" s="838"/>
      <c r="BP63" s="828"/>
      <c r="BQ63" s="821"/>
      <c r="BR63" s="822"/>
      <c r="BS63" s="803"/>
      <c r="BT63" s="803"/>
      <c r="BU63" s="828"/>
      <c r="BV63" s="821"/>
      <c r="BW63" s="822"/>
      <c r="BX63" s="803"/>
      <c r="BY63" s="824"/>
      <c r="BZ63" s="828"/>
      <c r="CA63" s="821"/>
      <c r="CB63" s="822"/>
      <c r="CC63" s="803"/>
      <c r="CD63" s="824"/>
      <c r="CE63" s="828"/>
      <c r="CF63" s="821"/>
      <c r="CG63" s="822"/>
      <c r="CH63" s="803"/>
      <c r="CI63" s="824"/>
      <c r="CJ63" s="828"/>
      <c r="CK63" s="821"/>
      <c r="CL63" s="822"/>
      <c r="CM63" s="803"/>
      <c r="CN63" s="823"/>
      <c r="CO63" s="828"/>
      <c r="CP63" s="821"/>
      <c r="CQ63" s="822"/>
      <c r="CR63" s="803"/>
      <c r="CS63" s="823"/>
      <c r="CT63" s="828"/>
      <c r="CU63" s="821"/>
      <c r="CV63" s="822"/>
      <c r="CW63" s="803"/>
      <c r="CX63" s="823"/>
      <c r="CY63" s="828"/>
      <c r="CZ63" s="821"/>
      <c r="DA63" s="822"/>
      <c r="DB63" s="803"/>
      <c r="DC63" s="823"/>
      <c r="DD63" s="828"/>
      <c r="DE63" s="821"/>
      <c r="DF63" s="822"/>
      <c r="DG63" s="803"/>
      <c r="DH63" s="823"/>
      <c r="DI63" s="828"/>
      <c r="DJ63" s="821"/>
      <c r="DK63" s="822"/>
      <c r="DL63" s="803"/>
      <c r="DM63" s="823"/>
      <c r="DN63" s="828"/>
      <c r="DO63" s="821"/>
      <c r="DP63" s="822"/>
      <c r="DQ63" s="803"/>
      <c r="DR63" s="823"/>
      <c r="DS63" s="828"/>
      <c r="DT63" s="821"/>
      <c r="DU63" s="822"/>
    </row>
    <row r="64" spans="2:125" x14ac:dyDescent="0.25">
      <c r="B64" s="837"/>
      <c r="C64" s="828"/>
      <c r="D64" s="821"/>
      <c r="E64" s="822"/>
      <c r="F64" s="838"/>
      <c r="G64" s="838"/>
      <c r="H64" s="828"/>
      <c r="I64" s="821"/>
      <c r="J64" s="822"/>
      <c r="K64" s="838"/>
      <c r="L64" s="838"/>
      <c r="M64" s="828"/>
      <c r="N64" s="821"/>
      <c r="O64" s="822"/>
      <c r="P64" s="838"/>
      <c r="Q64" s="838"/>
      <c r="R64" s="828"/>
      <c r="S64" s="821"/>
      <c r="T64" s="822"/>
      <c r="U64" s="827"/>
      <c r="V64" s="838"/>
      <c r="W64" s="828"/>
      <c r="X64" s="821"/>
      <c r="Y64" s="822"/>
      <c r="Z64" s="838"/>
      <c r="AA64" s="838"/>
      <c r="AB64" s="828"/>
      <c r="AC64" s="821"/>
      <c r="AD64" s="822"/>
      <c r="AE64" s="803"/>
      <c r="AF64" s="838"/>
      <c r="AG64" s="828"/>
      <c r="AH64" s="821"/>
      <c r="AI64" s="822"/>
      <c r="AJ64" s="803"/>
      <c r="AK64" s="838"/>
      <c r="AL64" s="828"/>
      <c r="AM64" s="821"/>
      <c r="AN64" s="822"/>
      <c r="AO64" s="803"/>
      <c r="AP64" s="838"/>
      <c r="AQ64" s="828"/>
      <c r="AR64" s="821"/>
      <c r="AS64" s="822"/>
      <c r="AT64" s="803"/>
      <c r="AU64" s="838"/>
      <c r="AV64" s="828"/>
      <c r="AW64" s="821"/>
      <c r="AX64" s="822"/>
      <c r="AY64" s="803"/>
      <c r="AZ64" s="838"/>
      <c r="BA64" s="828"/>
      <c r="BB64" s="821"/>
      <c r="BC64" s="822"/>
      <c r="BD64" s="803"/>
      <c r="BE64" s="838"/>
      <c r="BF64" s="828"/>
      <c r="BG64" s="821"/>
      <c r="BH64" s="822"/>
      <c r="BI64" s="803"/>
      <c r="BJ64" s="838"/>
      <c r="BK64" s="828"/>
      <c r="BL64" s="821"/>
      <c r="BM64" s="822"/>
      <c r="BN64" s="803"/>
      <c r="BO64" s="838"/>
      <c r="BP64" s="828"/>
      <c r="BQ64" s="821"/>
      <c r="BR64" s="822"/>
      <c r="BS64" s="803"/>
      <c r="BT64" s="803"/>
      <c r="BU64" s="828"/>
      <c r="BV64" s="821"/>
      <c r="BW64" s="822"/>
      <c r="BX64" s="803"/>
      <c r="BY64" s="824"/>
      <c r="BZ64" s="828"/>
      <c r="CA64" s="821"/>
      <c r="CB64" s="822"/>
      <c r="CC64" s="803"/>
      <c r="CD64" s="824"/>
      <c r="CE64" s="828"/>
      <c r="CF64" s="821"/>
      <c r="CG64" s="822"/>
      <c r="CH64" s="803"/>
      <c r="CI64" s="824"/>
      <c r="CJ64" s="828"/>
      <c r="CK64" s="821"/>
      <c r="CL64" s="822"/>
      <c r="CM64" s="803"/>
      <c r="CN64" s="823"/>
      <c r="CO64" s="828"/>
      <c r="CP64" s="821"/>
      <c r="CQ64" s="822"/>
      <c r="CR64" s="803"/>
      <c r="CS64" s="823"/>
      <c r="CT64" s="828"/>
      <c r="CU64" s="821"/>
      <c r="CV64" s="822"/>
      <c r="CW64" s="803"/>
      <c r="CX64" s="823"/>
      <c r="CY64" s="828"/>
      <c r="CZ64" s="821"/>
      <c r="DA64" s="822"/>
      <c r="DB64" s="803"/>
      <c r="DC64" s="823"/>
      <c r="DD64" s="828"/>
      <c r="DE64" s="821"/>
      <c r="DF64" s="822"/>
      <c r="DG64" s="803"/>
      <c r="DH64" s="823"/>
      <c r="DI64" s="828"/>
      <c r="DJ64" s="821"/>
      <c r="DK64" s="822"/>
      <c r="DL64" s="803"/>
      <c r="DM64" s="823"/>
      <c r="DN64" s="828"/>
      <c r="DO64" s="821"/>
      <c r="DP64" s="822"/>
      <c r="DQ64" s="803"/>
      <c r="DR64" s="823"/>
      <c r="DS64" s="828"/>
      <c r="DT64" s="821"/>
      <c r="DU64" s="822"/>
    </row>
    <row r="65" spans="2:125" x14ac:dyDescent="0.25">
      <c r="B65" s="837"/>
      <c r="C65" s="828"/>
      <c r="D65" s="821"/>
      <c r="E65" s="822"/>
      <c r="F65" s="838"/>
      <c r="G65" s="838"/>
      <c r="H65" s="828"/>
      <c r="I65" s="821"/>
      <c r="J65" s="822"/>
      <c r="K65" s="838"/>
      <c r="L65" s="838"/>
      <c r="M65" s="828"/>
      <c r="N65" s="821"/>
      <c r="O65" s="822"/>
      <c r="P65" s="838"/>
      <c r="Q65" s="838"/>
      <c r="R65" s="828"/>
      <c r="S65" s="821"/>
      <c r="T65" s="822"/>
      <c r="U65" s="827"/>
      <c r="V65" s="838"/>
      <c r="W65" s="828"/>
      <c r="X65" s="821"/>
      <c r="Y65" s="822"/>
      <c r="Z65" s="838"/>
      <c r="AA65" s="838"/>
      <c r="AB65" s="828"/>
      <c r="AC65" s="821"/>
      <c r="AD65" s="822"/>
      <c r="AE65" s="803"/>
      <c r="AF65" s="838"/>
      <c r="AG65" s="828"/>
      <c r="AH65" s="821"/>
      <c r="AI65" s="822"/>
      <c r="AJ65" s="803"/>
      <c r="AK65" s="838"/>
      <c r="AL65" s="828"/>
      <c r="AM65" s="821"/>
      <c r="AN65" s="822"/>
      <c r="AO65" s="803"/>
      <c r="AP65" s="838"/>
      <c r="AQ65" s="828"/>
      <c r="AR65" s="821"/>
      <c r="AS65" s="822"/>
      <c r="AT65" s="803"/>
      <c r="AU65" s="838"/>
      <c r="AV65" s="828"/>
      <c r="AW65" s="821"/>
      <c r="AX65" s="822"/>
      <c r="AY65" s="803"/>
      <c r="AZ65" s="838"/>
      <c r="BA65" s="828"/>
      <c r="BB65" s="821"/>
      <c r="BC65" s="822"/>
      <c r="BD65" s="803"/>
      <c r="BE65" s="838"/>
      <c r="BF65" s="828"/>
      <c r="BG65" s="821"/>
      <c r="BH65" s="822"/>
      <c r="BI65" s="803"/>
      <c r="BJ65" s="838"/>
      <c r="BK65" s="828"/>
      <c r="BL65" s="821"/>
      <c r="BM65" s="822"/>
      <c r="BN65" s="803"/>
      <c r="BO65" s="838"/>
      <c r="BP65" s="828"/>
      <c r="BQ65" s="821"/>
      <c r="BR65" s="822"/>
      <c r="BS65" s="803"/>
      <c r="BT65" s="803"/>
      <c r="BU65" s="828"/>
      <c r="BV65" s="821"/>
      <c r="BW65" s="822"/>
      <c r="BX65" s="803"/>
      <c r="BY65" s="824"/>
      <c r="BZ65" s="828"/>
      <c r="CA65" s="821"/>
      <c r="CB65" s="822"/>
      <c r="CC65" s="803"/>
      <c r="CD65" s="824"/>
      <c r="CE65" s="828"/>
      <c r="CF65" s="821"/>
      <c r="CG65" s="822"/>
      <c r="CH65" s="803"/>
      <c r="CI65" s="824"/>
      <c r="CJ65" s="828"/>
      <c r="CK65" s="821"/>
      <c r="CL65" s="822"/>
      <c r="CM65" s="803"/>
      <c r="CN65" s="823"/>
      <c r="CO65" s="828"/>
      <c r="CP65" s="821"/>
      <c r="CQ65" s="822"/>
      <c r="CR65" s="803"/>
      <c r="CS65" s="823"/>
      <c r="CT65" s="828"/>
      <c r="CU65" s="821"/>
      <c r="CV65" s="822"/>
      <c r="CW65" s="803"/>
      <c r="CX65" s="823"/>
      <c r="CY65" s="828"/>
      <c r="CZ65" s="821"/>
      <c r="DA65" s="822"/>
      <c r="DB65" s="803"/>
      <c r="DC65" s="823"/>
      <c r="DD65" s="828"/>
      <c r="DE65" s="821"/>
      <c r="DF65" s="822"/>
      <c r="DG65" s="803"/>
      <c r="DH65" s="823"/>
      <c r="DI65" s="828"/>
      <c r="DJ65" s="821"/>
      <c r="DK65" s="822"/>
      <c r="DL65" s="803"/>
      <c r="DM65" s="823"/>
      <c r="DN65" s="828"/>
      <c r="DO65" s="821"/>
      <c r="DP65" s="822"/>
      <c r="DQ65" s="803"/>
      <c r="DR65" s="823"/>
      <c r="DS65" s="828"/>
      <c r="DT65" s="821"/>
      <c r="DU65" s="822"/>
    </row>
    <row r="66" spans="2:125" x14ac:dyDescent="0.25">
      <c r="B66" s="837"/>
      <c r="C66" s="828"/>
      <c r="D66" s="821"/>
      <c r="E66" s="822"/>
      <c r="F66" s="838"/>
      <c r="G66" s="838"/>
      <c r="H66" s="828"/>
      <c r="I66" s="821"/>
      <c r="J66" s="822"/>
      <c r="K66" s="838"/>
      <c r="L66" s="838"/>
      <c r="M66" s="828"/>
      <c r="N66" s="821"/>
      <c r="O66" s="822"/>
      <c r="P66" s="838"/>
      <c r="Q66" s="838"/>
      <c r="R66" s="828"/>
      <c r="S66" s="821"/>
      <c r="T66" s="822"/>
      <c r="U66" s="827"/>
      <c r="V66" s="838"/>
      <c r="W66" s="828"/>
      <c r="X66" s="821"/>
      <c r="Y66" s="822"/>
      <c r="Z66" s="838"/>
      <c r="AA66" s="838"/>
      <c r="AB66" s="828"/>
      <c r="AC66" s="821"/>
      <c r="AD66" s="822"/>
      <c r="AE66" s="803"/>
      <c r="AF66" s="838"/>
      <c r="AG66" s="828"/>
      <c r="AH66" s="821"/>
      <c r="AI66" s="822"/>
      <c r="AJ66" s="803"/>
      <c r="AK66" s="838"/>
      <c r="AL66" s="828"/>
      <c r="AM66" s="821"/>
      <c r="AN66" s="822"/>
      <c r="AO66" s="803"/>
      <c r="AP66" s="838"/>
      <c r="AQ66" s="828"/>
      <c r="AR66" s="821"/>
      <c r="AS66" s="822"/>
      <c r="AT66" s="803"/>
      <c r="AU66" s="838"/>
      <c r="AV66" s="828"/>
      <c r="AW66" s="821"/>
      <c r="AX66" s="822"/>
      <c r="AY66" s="803"/>
      <c r="AZ66" s="838"/>
      <c r="BA66" s="828"/>
      <c r="BB66" s="821"/>
      <c r="BC66" s="822"/>
      <c r="BD66" s="803"/>
      <c r="BE66" s="838"/>
      <c r="BF66" s="828"/>
      <c r="BG66" s="821"/>
      <c r="BH66" s="822"/>
      <c r="BI66" s="803"/>
      <c r="BJ66" s="838"/>
      <c r="BK66" s="828"/>
      <c r="BL66" s="821"/>
      <c r="BM66" s="822"/>
      <c r="BN66" s="803"/>
      <c r="BO66" s="838"/>
      <c r="BP66" s="828"/>
      <c r="BQ66" s="821"/>
      <c r="BR66" s="822"/>
      <c r="BS66" s="803"/>
      <c r="BT66" s="803"/>
      <c r="BU66" s="828"/>
      <c r="BV66" s="821"/>
      <c r="BW66" s="822"/>
      <c r="BX66" s="803"/>
      <c r="BY66" s="824"/>
      <c r="BZ66" s="828"/>
      <c r="CA66" s="821"/>
      <c r="CB66" s="822"/>
      <c r="CC66" s="803"/>
      <c r="CD66" s="824"/>
      <c r="CE66" s="828"/>
      <c r="CF66" s="821"/>
      <c r="CG66" s="822"/>
      <c r="CH66" s="803"/>
      <c r="CI66" s="824"/>
      <c r="CJ66" s="828"/>
      <c r="CK66" s="821"/>
      <c r="CL66" s="822"/>
      <c r="CM66" s="803"/>
      <c r="CN66" s="823"/>
      <c r="CO66" s="828"/>
      <c r="CP66" s="821"/>
      <c r="CQ66" s="822"/>
      <c r="CR66" s="803"/>
      <c r="CS66" s="823"/>
      <c r="CT66" s="828"/>
      <c r="CU66" s="821"/>
      <c r="CV66" s="822"/>
      <c r="CW66" s="803"/>
      <c r="CX66" s="823"/>
      <c r="CY66" s="828"/>
      <c r="CZ66" s="821"/>
      <c r="DA66" s="822"/>
      <c r="DB66" s="803"/>
      <c r="DC66" s="823"/>
      <c r="DD66" s="828"/>
      <c r="DE66" s="821"/>
      <c r="DF66" s="822"/>
      <c r="DG66" s="803"/>
      <c r="DH66" s="823"/>
      <c r="DI66" s="828"/>
      <c r="DJ66" s="821"/>
      <c r="DK66" s="822"/>
      <c r="DL66" s="803"/>
      <c r="DM66" s="823"/>
      <c r="DN66" s="828"/>
      <c r="DO66" s="821"/>
      <c r="DP66" s="822"/>
      <c r="DQ66" s="803"/>
      <c r="DR66" s="823"/>
      <c r="DS66" s="828"/>
      <c r="DT66" s="821"/>
      <c r="DU66" s="822"/>
    </row>
    <row r="67" spans="2:125" x14ac:dyDescent="0.25">
      <c r="B67" s="837"/>
      <c r="C67" s="828"/>
      <c r="D67" s="821"/>
      <c r="E67" s="822"/>
      <c r="F67" s="838"/>
      <c r="G67" s="838"/>
      <c r="H67" s="828"/>
      <c r="I67" s="821"/>
      <c r="J67" s="822"/>
      <c r="K67" s="838"/>
      <c r="L67" s="838"/>
      <c r="M67" s="828"/>
      <c r="N67" s="821"/>
      <c r="O67" s="822"/>
      <c r="P67" s="838"/>
      <c r="Q67" s="838"/>
      <c r="R67" s="828"/>
      <c r="S67" s="821"/>
      <c r="T67" s="822"/>
      <c r="U67" s="827"/>
      <c r="V67" s="838"/>
      <c r="W67" s="828"/>
      <c r="X67" s="821"/>
      <c r="Y67" s="822"/>
      <c r="Z67" s="838"/>
      <c r="AA67" s="838"/>
      <c r="AB67" s="828"/>
      <c r="AC67" s="821"/>
      <c r="AD67" s="822"/>
      <c r="AE67" s="803"/>
      <c r="AF67" s="838"/>
      <c r="AG67" s="828"/>
      <c r="AH67" s="821"/>
      <c r="AI67" s="822"/>
      <c r="AJ67" s="803"/>
      <c r="AK67" s="838"/>
      <c r="AL67" s="828"/>
      <c r="AM67" s="821"/>
      <c r="AN67" s="822"/>
      <c r="AO67" s="803"/>
      <c r="AP67" s="838"/>
      <c r="AQ67" s="828"/>
      <c r="AR67" s="821"/>
      <c r="AS67" s="822"/>
      <c r="AT67" s="803"/>
      <c r="AU67" s="838"/>
      <c r="AV67" s="828"/>
      <c r="AW67" s="821"/>
      <c r="AX67" s="822"/>
      <c r="AY67" s="803"/>
      <c r="AZ67" s="838"/>
      <c r="BA67" s="828"/>
      <c r="BB67" s="821"/>
      <c r="BC67" s="822"/>
      <c r="BD67" s="803"/>
      <c r="BE67" s="838"/>
      <c r="BF67" s="828"/>
      <c r="BG67" s="821"/>
      <c r="BH67" s="822"/>
      <c r="BI67" s="803"/>
      <c r="BJ67" s="838"/>
      <c r="BK67" s="828"/>
      <c r="BL67" s="821"/>
      <c r="BM67" s="822"/>
      <c r="BN67" s="803"/>
      <c r="BO67" s="838"/>
      <c r="BP67" s="828"/>
      <c r="BQ67" s="821"/>
      <c r="BR67" s="822"/>
      <c r="BS67" s="803"/>
      <c r="BT67" s="803"/>
      <c r="BU67" s="828"/>
      <c r="BV67" s="821"/>
      <c r="BW67" s="822"/>
      <c r="BX67" s="803"/>
      <c r="BY67" s="824"/>
      <c r="BZ67" s="828"/>
      <c r="CA67" s="821"/>
      <c r="CB67" s="822"/>
      <c r="CC67" s="803"/>
      <c r="CD67" s="824"/>
      <c r="CE67" s="828"/>
      <c r="CF67" s="821"/>
      <c r="CG67" s="822"/>
      <c r="CH67" s="803"/>
      <c r="CI67" s="824"/>
      <c r="CJ67" s="828"/>
      <c r="CK67" s="821"/>
      <c r="CL67" s="822"/>
      <c r="CM67" s="803"/>
      <c r="CN67" s="823"/>
      <c r="CO67" s="828"/>
      <c r="CP67" s="821"/>
      <c r="CQ67" s="822"/>
      <c r="CR67" s="803"/>
      <c r="CS67" s="823"/>
      <c r="CT67" s="828"/>
      <c r="CU67" s="821"/>
      <c r="CV67" s="822"/>
      <c r="CW67" s="803"/>
      <c r="CX67" s="823"/>
      <c r="CY67" s="828"/>
      <c r="CZ67" s="821"/>
      <c r="DA67" s="822"/>
      <c r="DB67" s="803"/>
      <c r="DC67" s="823"/>
      <c r="DD67" s="828"/>
      <c r="DE67" s="821"/>
      <c r="DF67" s="822"/>
      <c r="DG67" s="803"/>
      <c r="DH67" s="823"/>
      <c r="DI67" s="828"/>
      <c r="DJ67" s="821"/>
      <c r="DK67" s="822"/>
      <c r="DL67" s="803"/>
      <c r="DM67" s="823"/>
      <c r="DN67" s="828"/>
      <c r="DO67" s="821"/>
      <c r="DP67" s="822"/>
      <c r="DQ67" s="803"/>
      <c r="DR67" s="823"/>
      <c r="DS67" s="828"/>
      <c r="DT67" s="821"/>
      <c r="DU67" s="822"/>
    </row>
    <row r="68" spans="2:125" x14ac:dyDescent="0.25">
      <c r="B68" s="837"/>
      <c r="C68" s="828"/>
      <c r="D68" s="821"/>
      <c r="E68" s="822"/>
      <c r="F68" s="838"/>
      <c r="G68" s="838"/>
      <c r="H68" s="828"/>
      <c r="I68" s="821"/>
      <c r="J68" s="822"/>
      <c r="K68" s="838"/>
      <c r="L68" s="838"/>
      <c r="M68" s="828"/>
      <c r="N68" s="821"/>
      <c r="O68" s="822"/>
      <c r="P68" s="976"/>
      <c r="Q68" s="976"/>
      <c r="R68" s="828"/>
      <c r="S68" s="821"/>
      <c r="T68" s="822"/>
      <c r="U68" s="827"/>
      <c r="V68" s="838"/>
      <c r="W68" s="828"/>
      <c r="X68" s="821"/>
      <c r="Y68" s="822"/>
      <c r="Z68" s="838"/>
      <c r="AA68" s="838"/>
      <c r="AB68" s="828"/>
      <c r="AC68" s="821"/>
      <c r="AD68" s="822"/>
      <c r="AE68" s="803"/>
      <c r="AF68" s="838"/>
      <c r="AG68" s="828"/>
      <c r="AH68" s="821"/>
      <c r="AI68" s="822"/>
      <c r="AJ68" s="803"/>
      <c r="AK68" s="838"/>
      <c r="AL68" s="828"/>
      <c r="AM68" s="821"/>
      <c r="AN68" s="822"/>
      <c r="AO68" s="803"/>
      <c r="AP68" s="838"/>
      <c r="AQ68" s="828"/>
      <c r="AR68" s="821"/>
      <c r="AS68" s="822"/>
      <c r="AT68" s="803"/>
      <c r="AU68" s="838"/>
      <c r="AV68" s="828"/>
      <c r="AW68" s="821"/>
      <c r="AX68" s="822"/>
      <c r="AY68" s="803"/>
      <c r="AZ68" s="838"/>
      <c r="BA68" s="828"/>
      <c r="BB68" s="821"/>
      <c r="BC68" s="822"/>
      <c r="BD68" s="803"/>
      <c r="BE68" s="838"/>
      <c r="BF68" s="828"/>
      <c r="BG68" s="821"/>
      <c r="BH68" s="822"/>
      <c r="BI68" s="803"/>
      <c r="BJ68" s="838"/>
      <c r="BK68" s="828"/>
      <c r="BL68" s="821"/>
      <c r="BM68" s="822"/>
      <c r="BN68" s="803"/>
      <c r="BO68" s="838"/>
      <c r="BP68" s="828"/>
      <c r="BQ68" s="821"/>
      <c r="BR68" s="822"/>
      <c r="BS68" s="803"/>
      <c r="BT68" s="803"/>
      <c r="BU68" s="828"/>
      <c r="BV68" s="821"/>
      <c r="BW68" s="822"/>
      <c r="BX68" s="803"/>
      <c r="BY68" s="824"/>
      <c r="BZ68" s="828"/>
      <c r="CA68" s="821"/>
      <c r="CB68" s="822"/>
      <c r="CC68" s="803"/>
      <c r="CD68" s="824"/>
      <c r="CE68" s="828"/>
      <c r="CF68" s="821"/>
      <c r="CG68" s="822"/>
      <c r="CH68" s="803"/>
      <c r="CI68" s="824"/>
      <c r="CJ68" s="828"/>
      <c r="CK68" s="821"/>
      <c r="CL68" s="822"/>
      <c r="CM68" s="803"/>
      <c r="CN68" s="823"/>
      <c r="CO68" s="828"/>
      <c r="CP68" s="821"/>
      <c r="CQ68" s="822"/>
      <c r="CR68" s="803"/>
      <c r="CS68" s="823"/>
      <c r="CT68" s="828"/>
      <c r="CU68" s="821"/>
      <c r="CV68" s="822"/>
      <c r="CW68" s="803"/>
      <c r="CX68" s="823"/>
      <c r="CY68" s="828"/>
      <c r="CZ68" s="821"/>
      <c r="DA68" s="822"/>
      <c r="DB68" s="803"/>
      <c r="DC68" s="823"/>
      <c r="DD68" s="828"/>
      <c r="DE68" s="821"/>
      <c r="DF68" s="822"/>
      <c r="DG68" s="803"/>
      <c r="DH68" s="823"/>
      <c r="DI68" s="828"/>
      <c r="DJ68" s="821"/>
      <c r="DK68" s="822"/>
      <c r="DL68" s="803"/>
      <c r="DM68" s="823"/>
      <c r="DN68" s="828"/>
      <c r="DO68" s="821"/>
      <c r="DP68" s="822"/>
      <c r="DQ68" s="803"/>
      <c r="DR68" s="823"/>
      <c r="DS68" s="828"/>
      <c r="DT68" s="821"/>
      <c r="DU68" s="822"/>
    </row>
    <row r="69" spans="2:125" x14ac:dyDescent="0.25">
      <c r="B69" s="837"/>
      <c r="C69" s="828"/>
      <c r="D69" s="821"/>
      <c r="E69" s="822"/>
      <c r="F69" s="838"/>
      <c r="G69" s="838"/>
      <c r="H69" s="828"/>
      <c r="I69" s="821"/>
      <c r="J69" s="822"/>
      <c r="K69" s="838"/>
      <c r="L69" s="838"/>
      <c r="M69" s="828"/>
      <c r="N69" s="821"/>
      <c r="O69" s="822"/>
      <c r="P69" s="976"/>
      <c r="Q69" s="976"/>
      <c r="R69" s="828"/>
      <c r="S69" s="821"/>
      <c r="T69" s="822"/>
      <c r="U69" s="827"/>
      <c r="V69" s="838"/>
      <c r="W69" s="828"/>
      <c r="X69" s="821"/>
      <c r="Y69" s="822"/>
      <c r="Z69" s="838"/>
      <c r="AA69" s="838"/>
      <c r="AB69" s="828"/>
      <c r="AC69" s="821"/>
      <c r="AD69" s="822"/>
      <c r="AE69" s="803"/>
      <c r="AF69" s="838"/>
      <c r="AG69" s="828"/>
      <c r="AH69" s="821"/>
      <c r="AI69" s="822"/>
      <c r="AJ69" s="803"/>
      <c r="AK69" s="838"/>
      <c r="AL69" s="828"/>
      <c r="AM69" s="821"/>
      <c r="AN69" s="822"/>
      <c r="AO69" s="803"/>
      <c r="AP69" s="838"/>
      <c r="AQ69" s="828"/>
      <c r="AR69" s="821"/>
      <c r="AS69" s="822"/>
      <c r="AT69" s="803"/>
      <c r="AU69" s="838"/>
      <c r="AV69" s="828"/>
      <c r="AW69" s="821"/>
      <c r="AX69" s="822"/>
      <c r="AY69" s="803"/>
      <c r="AZ69" s="838"/>
      <c r="BA69" s="828"/>
      <c r="BB69" s="821"/>
      <c r="BC69" s="822"/>
      <c r="BD69" s="803"/>
      <c r="BE69" s="838"/>
      <c r="BF69" s="828"/>
      <c r="BG69" s="821"/>
      <c r="BH69" s="822"/>
      <c r="BI69" s="803"/>
      <c r="BJ69" s="838"/>
      <c r="BK69" s="828"/>
      <c r="BL69" s="821"/>
      <c r="BM69" s="822"/>
      <c r="BN69" s="803"/>
      <c r="BO69" s="838"/>
      <c r="BP69" s="828"/>
      <c r="BQ69" s="821"/>
      <c r="BR69" s="822"/>
      <c r="BS69" s="803"/>
      <c r="BT69" s="803"/>
      <c r="BU69" s="828"/>
      <c r="BV69" s="821"/>
      <c r="BW69" s="822"/>
      <c r="BX69" s="803"/>
      <c r="BY69" s="824"/>
      <c r="BZ69" s="828"/>
      <c r="CA69" s="821"/>
      <c r="CB69" s="822"/>
      <c r="CC69" s="803"/>
      <c r="CD69" s="824"/>
      <c r="CE69" s="828"/>
      <c r="CF69" s="821"/>
      <c r="CG69" s="822"/>
      <c r="CH69" s="803"/>
      <c r="CI69" s="824"/>
      <c r="CJ69" s="828"/>
      <c r="CK69" s="821"/>
      <c r="CL69" s="822"/>
      <c r="CM69" s="803"/>
      <c r="CN69" s="823"/>
      <c r="CO69" s="828"/>
      <c r="CP69" s="821"/>
      <c r="CQ69" s="822"/>
      <c r="CR69" s="803"/>
      <c r="CS69" s="823"/>
      <c r="CT69" s="828"/>
      <c r="CU69" s="821"/>
      <c r="CV69" s="822"/>
      <c r="CW69" s="803"/>
      <c r="CX69" s="823"/>
      <c r="CY69" s="828"/>
      <c r="CZ69" s="821"/>
      <c r="DA69" s="822"/>
      <c r="DB69" s="803"/>
      <c r="DC69" s="823"/>
      <c r="DD69" s="828"/>
      <c r="DE69" s="821"/>
      <c r="DF69" s="822"/>
      <c r="DG69" s="803"/>
      <c r="DH69" s="823"/>
      <c r="DI69" s="828"/>
      <c r="DJ69" s="821"/>
      <c r="DK69" s="822"/>
      <c r="DL69" s="803"/>
      <c r="DM69" s="823"/>
      <c r="DN69" s="828"/>
      <c r="DO69" s="821"/>
      <c r="DP69" s="822"/>
      <c r="DQ69" s="803"/>
      <c r="DR69" s="823"/>
      <c r="DS69" s="828"/>
      <c r="DT69" s="821"/>
      <c r="DU69" s="822"/>
    </row>
    <row r="70" spans="2:125" x14ac:dyDescent="0.25">
      <c r="B70" s="837"/>
      <c r="C70" s="828"/>
      <c r="D70" s="821"/>
      <c r="E70" s="822"/>
      <c r="F70" s="838"/>
      <c r="G70" s="838"/>
      <c r="H70" s="828"/>
      <c r="I70" s="821"/>
      <c r="J70" s="822"/>
      <c r="K70" s="838"/>
      <c r="L70" s="838"/>
      <c r="M70" s="828"/>
      <c r="N70" s="821"/>
      <c r="O70" s="822"/>
      <c r="P70" s="976"/>
      <c r="Q70" s="976"/>
      <c r="R70" s="828"/>
      <c r="S70" s="821"/>
      <c r="T70" s="822"/>
      <c r="U70" s="827"/>
      <c r="V70" s="838"/>
      <c r="W70" s="828"/>
      <c r="X70" s="821"/>
      <c r="Y70" s="822"/>
      <c r="Z70" s="838"/>
      <c r="AA70" s="838"/>
      <c r="AB70" s="828"/>
      <c r="AC70" s="821"/>
      <c r="AD70" s="822"/>
      <c r="AE70" s="803"/>
      <c r="AF70" s="838"/>
      <c r="AG70" s="828"/>
      <c r="AH70" s="821"/>
      <c r="AI70" s="822"/>
      <c r="AJ70" s="803"/>
      <c r="AK70" s="838"/>
      <c r="AL70" s="828"/>
      <c r="AM70" s="821"/>
      <c r="AN70" s="822"/>
      <c r="AO70" s="803"/>
      <c r="AP70" s="838"/>
      <c r="AQ70" s="828"/>
      <c r="AR70" s="821"/>
      <c r="AS70" s="822"/>
      <c r="AT70" s="803"/>
      <c r="AU70" s="838"/>
      <c r="AV70" s="828"/>
      <c r="AW70" s="821"/>
      <c r="AX70" s="822"/>
      <c r="AY70" s="803"/>
      <c r="AZ70" s="838"/>
      <c r="BA70" s="828"/>
      <c r="BB70" s="821"/>
      <c r="BC70" s="822"/>
      <c r="BD70" s="803"/>
      <c r="BE70" s="838"/>
      <c r="BF70" s="828"/>
      <c r="BG70" s="821"/>
      <c r="BH70" s="822"/>
      <c r="BI70" s="803"/>
      <c r="BJ70" s="838"/>
      <c r="BK70" s="828"/>
      <c r="BL70" s="821"/>
      <c r="BM70" s="822"/>
      <c r="BN70" s="803"/>
      <c r="BO70" s="838"/>
      <c r="BP70" s="828"/>
      <c r="BQ70" s="821"/>
      <c r="BR70" s="822"/>
      <c r="BS70" s="803"/>
      <c r="BT70" s="803"/>
      <c r="BU70" s="828"/>
      <c r="BV70" s="821"/>
      <c r="BW70" s="822"/>
      <c r="BX70" s="803"/>
      <c r="BY70" s="824"/>
      <c r="BZ70" s="828"/>
      <c r="CA70" s="821"/>
      <c r="CB70" s="822"/>
      <c r="CC70" s="803"/>
      <c r="CD70" s="824"/>
      <c r="CE70" s="828"/>
      <c r="CF70" s="821"/>
      <c r="CG70" s="822"/>
      <c r="CH70" s="803"/>
      <c r="CI70" s="824"/>
      <c r="CJ70" s="828"/>
      <c r="CK70" s="821"/>
      <c r="CL70" s="822"/>
      <c r="CM70" s="803"/>
      <c r="CN70" s="823"/>
      <c r="CO70" s="828"/>
      <c r="CP70" s="821"/>
      <c r="CQ70" s="822"/>
      <c r="CR70" s="803"/>
      <c r="CS70" s="823"/>
      <c r="CT70" s="828"/>
      <c r="CU70" s="821"/>
      <c r="CV70" s="822"/>
      <c r="CW70" s="803"/>
      <c r="CX70" s="823"/>
      <c r="CY70" s="828"/>
      <c r="CZ70" s="821"/>
      <c r="DA70" s="822"/>
      <c r="DB70" s="803"/>
      <c r="DC70" s="823"/>
      <c r="DD70" s="828"/>
      <c r="DE70" s="821"/>
      <c r="DF70" s="822"/>
      <c r="DG70" s="803"/>
      <c r="DH70" s="823"/>
      <c r="DI70" s="828"/>
      <c r="DJ70" s="821"/>
      <c r="DK70" s="822"/>
      <c r="DL70" s="803"/>
      <c r="DM70" s="823"/>
      <c r="DN70" s="828"/>
      <c r="DO70" s="821"/>
      <c r="DP70" s="822"/>
      <c r="DQ70" s="803"/>
      <c r="DR70" s="823"/>
      <c r="DS70" s="828"/>
      <c r="DT70" s="821"/>
      <c r="DU70" s="822"/>
    </row>
    <row r="71" spans="2:125" x14ac:dyDescent="0.25">
      <c r="B71" s="837"/>
      <c r="C71" s="839"/>
      <c r="D71" s="839"/>
      <c r="E71" s="839"/>
      <c r="F71" s="838"/>
      <c r="G71" s="838"/>
      <c r="H71" s="828"/>
      <c r="I71" s="821"/>
      <c r="J71" s="822"/>
      <c r="K71" s="838"/>
      <c r="L71" s="838"/>
      <c r="M71" s="828"/>
      <c r="N71" s="821"/>
      <c r="O71" s="822"/>
      <c r="P71" s="976"/>
      <c r="Q71" s="976"/>
      <c r="R71" s="828"/>
      <c r="S71" s="821"/>
      <c r="T71" s="822"/>
      <c r="U71" s="827"/>
      <c r="V71" s="838"/>
      <c r="W71" s="828"/>
      <c r="X71" s="821"/>
      <c r="Y71" s="822"/>
      <c r="Z71" s="838"/>
      <c r="AA71" s="838"/>
      <c r="AB71" s="828"/>
      <c r="AC71" s="821"/>
      <c r="AD71" s="822"/>
      <c r="AE71" s="803"/>
      <c r="AF71" s="838"/>
      <c r="AG71" s="828"/>
      <c r="AH71" s="821"/>
      <c r="AI71" s="822"/>
      <c r="AJ71" s="803"/>
      <c r="AK71" s="838"/>
      <c r="AL71" s="828"/>
      <c r="AM71" s="821"/>
      <c r="AN71" s="822"/>
      <c r="AO71" s="803"/>
      <c r="AP71" s="838"/>
      <c r="AQ71" s="828"/>
      <c r="AR71" s="821"/>
      <c r="AS71" s="822"/>
      <c r="AT71" s="803"/>
      <c r="AU71" s="838"/>
      <c r="AV71" s="828"/>
      <c r="AW71" s="821"/>
      <c r="AX71" s="822"/>
      <c r="AY71" s="803"/>
      <c r="AZ71" s="838"/>
      <c r="BA71" s="828"/>
      <c r="BB71" s="821"/>
      <c r="BC71" s="822"/>
      <c r="BD71" s="803"/>
      <c r="BE71" s="838"/>
      <c r="BF71" s="828"/>
      <c r="BG71" s="821"/>
      <c r="BH71" s="822"/>
      <c r="BI71" s="803"/>
      <c r="BJ71" s="838"/>
      <c r="BK71" s="828"/>
      <c r="BL71" s="821"/>
      <c r="BM71" s="822"/>
      <c r="BN71" s="803"/>
      <c r="BO71" s="838"/>
      <c r="BP71" s="828"/>
      <c r="BQ71" s="821"/>
      <c r="BR71" s="822"/>
      <c r="BS71" s="803"/>
      <c r="BT71" s="803"/>
      <c r="BU71" s="828"/>
      <c r="BV71" s="821"/>
      <c r="BW71" s="822"/>
      <c r="BX71" s="803"/>
      <c r="BY71" s="824"/>
      <c r="BZ71" s="828"/>
      <c r="CA71" s="821"/>
      <c r="CB71" s="822"/>
      <c r="CC71" s="803"/>
      <c r="CD71" s="824"/>
      <c r="CE71" s="828"/>
      <c r="CF71" s="821"/>
      <c r="CG71" s="822"/>
      <c r="CH71" s="803"/>
      <c r="CI71" s="824"/>
      <c r="CJ71" s="828"/>
      <c r="CK71" s="821"/>
      <c r="CL71" s="822"/>
      <c r="CM71" s="803"/>
      <c r="CN71" s="823"/>
      <c r="CO71" s="828"/>
      <c r="CP71" s="821"/>
      <c r="CQ71" s="822"/>
      <c r="CR71" s="803"/>
      <c r="CS71" s="823"/>
      <c r="CT71" s="828"/>
      <c r="CU71" s="821"/>
      <c r="CV71" s="822"/>
      <c r="CW71" s="803"/>
      <c r="CX71" s="823"/>
      <c r="CY71" s="828"/>
      <c r="CZ71" s="821"/>
      <c r="DA71" s="822"/>
      <c r="DB71" s="803"/>
      <c r="DC71" s="823"/>
      <c r="DD71" s="828"/>
      <c r="DE71" s="821"/>
      <c r="DF71" s="822"/>
      <c r="DG71" s="803"/>
      <c r="DH71" s="823"/>
      <c r="DI71" s="828"/>
      <c r="DJ71" s="821"/>
      <c r="DK71" s="822"/>
      <c r="DL71" s="803"/>
      <c r="DM71" s="823"/>
      <c r="DN71" s="828"/>
      <c r="DO71" s="821"/>
      <c r="DP71" s="822"/>
      <c r="DQ71" s="803"/>
      <c r="DR71" s="823"/>
      <c r="DS71" s="828"/>
      <c r="DT71" s="821"/>
      <c r="DU71" s="822"/>
    </row>
    <row r="72" spans="2:125" x14ac:dyDescent="0.25">
      <c r="B72" s="803"/>
      <c r="C72" s="839"/>
      <c r="D72" s="839"/>
      <c r="E72" s="839"/>
      <c r="F72" s="823"/>
      <c r="G72" s="823"/>
      <c r="H72" s="828"/>
      <c r="I72" s="821"/>
      <c r="J72" s="835"/>
      <c r="K72" s="823"/>
      <c r="L72" s="823"/>
      <c r="M72" s="835"/>
      <c r="N72" s="835"/>
      <c r="O72" s="835"/>
      <c r="P72" s="976"/>
      <c r="Q72" s="976"/>
      <c r="R72" s="823"/>
      <c r="S72" s="823"/>
      <c r="T72" s="823"/>
      <c r="U72" s="840"/>
      <c r="V72" s="823"/>
      <c r="W72" s="828"/>
      <c r="X72" s="821"/>
      <c r="Y72" s="839"/>
      <c r="Z72" s="823"/>
      <c r="AA72" s="823"/>
      <c r="AB72" s="828"/>
      <c r="AC72" s="821"/>
      <c r="AD72" s="839"/>
      <c r="AE72" s="803"/>
      <c r="AF72" s="823"/>
      <c r="AG72" s="839"/>
      <c r="AH72" s="839"/>
      <c r="AI72" s="839"/>
      <c r="AJ72" s="803"/>
      <c r="AK72" s="803"/>
      <c r="AL72" s="841"/>
      <c r="AM72" s="841"/>
      <c r="AN72" s="841"/>
      <c r="AO72" s="803"/>
      <c r="AP72" s="803"/>
      <c r="AQ72" s="841"/>
      <c r="AR72" s="841"/>
      <c r="AS72" s="841"/>
      <c r="AT72" s="803"/>
      <c r="AU72" s="803"/>
      <c r="AV72" s="841"/>
      <c r="AW72" s="841"/>
      <c r="AX72" s="841"/>
      <c r="AY72" s="803"/>
      <c r="AZ72" s="803"/>
      <c r="BA72" s="835"/>
      <c r="BB72" s="835"/>
      <c r="BC72" s="841"/>
      <c r="BD72" s="803"/>
      <c r="BE72" s="803"/>
      <c r="BF72" s="841"/>
      <c r="BG72" s="841"/>
      <c r="BH72" s="841"/>
      <c r="BI72" s="803"/>
      <c r="BJ72" s="803"/>
      <c r="BK72" s="841"/>
      <c r="BL72" s="841"/>
      <c r="BM72" s="841"/>
      <c r="BN72" s="803"/>
      <c r="BO72" s="841"/>
      <c r="BP72" s="841"/>
      <c r="BQ72" s="841"/>
      <c r="BR72" s="841"/>
      <c r="BS72" s="803"/>
      <c r="BT72" s="803"/>
      <c r="BU72" s="841"/>
      <c r="BV72" s="841"/>
      <c r="BW72" s="841"/>
      <c r="BX72" s="803"/>
      <c r="BY72" s="803"/>
      <c r="BZ72" s="841"/>
      <c r="CA72" s="841"/>
      <c r="CB72" s="841"/>
      <c r="CC72" s="803"/>
      <c r="CD72" s="803"/>
      <c r="CE72" s="841"/>
      <c r="CF72" s="841"/>
      <c r="CG72" s="841"/>
      <c r="CH72" s="803"/>
      <c r="CI72" s="803"/>
      <c r="CJ72" s="841"/>
      <c r="CK72" s="841"/>
      <c r="CL72" s="841"/>
      <c r="CM72" s="803"/>
      <c r="CN72" s="803"/>
      <c r="CO72" s="841"/>
      <c r="CP72" s="841"/>
      <c r="CQ72" s="841"/>
      <c r="CR72" s="803"/>
      <c r="CS72" s="803"/>
      <c r="CT72" s="841"/>
      <c r="CU72" s="841"/>
      <c r="CV72" s="841"/>
      <c r="CW72" s="803"/>
      <c r="CX72" s="803"/>
      <c r="CY72" s="841"/>
      <c r="CZ72" s="841"/>
      <c r="DA72" s="841"/>
      <c r="DB72" s="803"/>
      <c r="DC72" s="803"/>
      <c r="DD72" s="841"/>
      <c r="DE72" s="841"/>
      <c r="DF72" s="841"/>
      <c r="DG72" s="803"/>
      <c r="DH72" s="803"/>
      <c r="DI72" s="841"/>
      <c r="DJ72" s="841"/>
      <c r="DK72" s="841"/>
      <c r="DL72" s="803"/>
      <c r="DM72" s="803"/>
      <c r="DN72" s="841"/>
      <c r="DO72" s="841"/>
      <c r="DP72" s="841"/>
      <c r="DQ72" s="803"/>
      <c r="DR72" s="803"/>
      <c r="DS72" s="841"/>
      <c r="DT72" s="841"/>
      <c r="DU72" s="841"/>
    </row>
    <row r="73" spans="2:125" x14ac:dyDescent="0.25">
      <c r="B73" s="803"/>
      <c r="C73" s="839"/>
      <c r="D73" s="839"/>
      <c r="E73" s="839"/>
      <c r="F73" s="823"/>
      <c r="G73" s="823"/>
      <c r="H73" s="828"/>
      <c r="I73" s="821"/>
      <c r="J73" s="835"/>
      <c r="K73" s="823"/>
      <c r="L73" s="823"/>
      <c r="M73" s="835"/>
      <c r="N73" s="835"/>
      <c r="O73" s="835"/>
      <c r="P73" s="976"/>
      <c r="Q73" s="976"/>
      <c r="R73" s="823"/>
      <c r="S73" s="823"/>
      <c r="T73" s="823"/>
      <c r="U73" s="840"/>
      <c r="V73" s="823"/>
      <c r="W73" s="828"/>
      <c r="X73" s="821"/>
      <c r="Y73" s="823"/>
      <c r="Z73" s="823"/>
      <c r="AA73" s="823"/>
      <c r="AB73" s="839"/>
      <c r="AC73" s="839"/>
      <c r="AD73" s="839"/>
      <c r="AE73" s="803"/>
      <c r="AF73" s="823"/>
      <c r="AG73" s="839"/>
      <c r="AH73" s="839"/>
      <c r="AI73" s="839"/>
      <c r="AJ73" s="803"/>
      <c r="AK73" s="803"/>
      <c r="AL73" s="841"/>
      <c r="AM73" s="841"/>
      <c r="AN73" s="841"/>
      <c r="AO73" s="803"/>
      <c r="AP73" s="803"/>
      <c r="AQ73" s="841"/>
      <c r="AR73" s="841"/>
      <c r="AS73" s="841"/>
      <c r="AT73" s="803"/>
      <c r="AU73" s="803"/>
      <c r="AV73" s="841"/>
      <c r="AW73" s="841"/>
      <c r="AX73" s="841"/>
      <c r="AY73" s="803"/>
      <c r="AZ73" s="803"/>
      <c r="BA73" s="841"/>
      <c r="BB73" s="841"/>
      <c r="BC73" s="841"/>
      <c r="BD73" s="803"/>
      <c r="BE73" s="803"/>
      <c r="BF73" s="841"/>
      <c r="BG73" s="841"/>
      <c r="BH73" s="841"/>
      <c r="BI73" s="803"/>
      <c r="BJ73" s="803"/>
      <c r="BK73" s="841"/>
      <c r="BL73" s="841"/>
      <c r="BM73" s="841"/>
      <c r="BN73" s="803"/>
      <c r="BO73" s="841"/>
      <c r="BP73" s="841"/>
      <c r="BQ73" s="841"/>
      <c r="BR73" s="841"/>
      <c r="BS73" s="803"/>
      <c r="BT73" s="803"/>
      <c r="BU73" s="841"/>
      <c r="BV73" s="841"/>
      <c r="BW73" s="841"/>
      <c r="BX73" s="803"/>
      <c r="BY73" s="803"/>
      <c r="BZ73" s="841"/>
      <c r="CA73" s="841"/>
      <c r="CB73" s="841"/>
      <c r="CC73" s="803"/>
      <c r="CD73" s="803"/>
      <c r="CE73" s="841"/>
      <c r="CF73" s="841"/>
      <c r="CG73" s="841"/>
      <c r="CH73" s="803"/>
      <c r="CI73" s="803"/>
      <c r="CJ73" s="841"/>
      <c r="CK73" s="841"/>
      <c r="CL73" s="841"/>
      <c r="CM73" s="803"/>
      <c r="CN73" s="803"/>
      <c r="CO73" s="841"/>
      <c r="CP73" s="841"/>
      <c r="CQ73" s="841"/>
      <c r="CR73" s="803"/>
      <c r="CS73" s="803"/>
      <c r="CT73" s="841"/>
      <c r="CU73" s="841"/>
      <c r="CV73" s="841"/>
      <c r="CW73" s="803"/>
      <c r="CX73" s="803"/>
      <c r="CY73" s="841"/>
      <c r="CZ73" s="841"/>
      <c r="DA73" s="841"/>
      <c r="DB73" s="803"/>
      <c r="DC73" s="803"/>
      <c r="DD73" s="841"/>
      <c r="DE73" s="841"/>
      <c r="DF73" s="841"/>
      <c r="DG73" s="803"/>
      <c r="DH73" s="803"/>
      <c r="DI73" s="841"/>
      <c r="DJ73" s="841"/>
      <c r="DK73" s="841"/>
      <c r="DL73" s="803"/>
      <c r="DM73" s="803"/>
      <c r="DN73" s="841"/>
      <c r="DO73" s="841"/>
      <c r="DP73" s="841"/>
      <c r="DQ73" s="803"/>
      <c r="DR73" s="803"/>
      <c r="DS73" s="841"/>
      <c r="DT73" s="841"/>
      <c r="DU73" s="841"/>
    </row>
    <row r="74" spans="2:125" x14ac:dyDescent="0.25">
      <c r="B74" s="803"/>
      <c r="C74" s="839"/>
      <c r="D74" s="839"/>
      <c r="E74" s="839"/>
      <c r="F74" s="823"/>
      <c r="G74" s="823"/>
      <c r="H74" s="828"/>
      <c r="I74" s="821"/>
      <c r="J74" s="835"/>
      <c r="K74" s="823"/>
      <c r="L74" s="823"/>
      <c r="M74" s="839"/>
      <c r="N74" s="839"/>
      <c r="O74" s="839"/>
      <c r="P74" s="976"/>
      <c r="Q74" s="976"/>
      <c r="R74" s="839"/>
      <c r="S74" s="839"/>
      <c r="T74" s="839"/>
      <c r="U74" s="840"/>
      <c r="V74" s="823"/>
      <c r="W74" s="828"/>
      <c r="X74" s="821"/>
      <c r="Y74" s="839"/>
      <c r="Z74" s="803"/>
      <c r="AA74" s="823"/>
      <c r="AB74" s="839"/>
      <c r="AC74" s="839"/>
      <c r="AD74" s="839"/>
      <c r="AE74" s="803"/>
      <c r="AF74" s="803"/>
      <c r="AG74" s="841"/>
      <c r="AH74" s="841"/>
      <c r="AI74" s="841"/>
      <c r="AJ74" s="803"/>
      <c r="AK74" s="803"/>
      <c r="AL74" s="841"/>
      <c r="AM74" s="841"/>
      <c r="AN74" s="841"/>
      <c r="AO74" s="803"/>
      <c r="AP74" s="803"/>
      <c r="AQ74" s="841"/>
      <c r="AR74" s="841"/>
      <c r="AS74" s="841"/>
      <c r="AT74" s="803"/>
      <c r="AU74" s="803"/>
      <c r="AV74" s="841"/>
      <c r="AW74" s="841"/>
      <c r="AX74" s="841"/>
      <c r="AY74" s="803"/>
      <c r="AZ74" s="803"/>
      <c r="BA74" s="841"/>
      <c r="BB74" s="841"/>
      <c r="BC74" s="841"/>
      <c r="BD74" s="803"/>
      <c r="BE74" s="803"/>
      <c r="BF74" s="841"/>
      <c r="BG74" s="841"/>
      <c r="BH74" s="841"/>
      <c r="BI74" s="841"/>
      <c r="BJ74" s="841"/>
      <c r="BK74" s="841"/>
      <c r="BL74" s="841"/>
      <c r="BM74" s="841"/>
      <c r="BN74" s="841"/>
      <c r="BO74" s="803"/>
      <c r="BP74" s="841"/>
      <c r="BQ74" s="841"/>
      <c r="BR74" s="841"/>
      <c r="BS74" s="803"/>
      <c r="BT74" s="803"/>
      <c r="BU74" s="841"/>
      <c r="BV74" s="841"/>
      <c r="BW74" s="841"/>
      <c r="BX74" s="803"/>
      <c r="BY74" s="803"/>
      <c r="BZ74" s="841"/>
      <c r="CA74" s="841"/>
      <c r="CB74" s="841"/>
      <c r="CC74" s="803"/>
      <c r="CD74" s="803"/>
      <c r="CE74" s="841"/>
      <c r="CF74" s="841"/>
      <c r="CG74" s="841"/>
      <c r="CH74" s="803"/>
      <c r="CI74" s="803"/>
      <c r="CJ74" s="841"/>
      <c r="CK74" s="841"/>
      <c r="CL74" s="841"/>
      <c r="CM74" s="803"/>
      <c r="CN74" s="803"/>
      <c r="CO74" s="841"/>
      <c r="CP74" s="841"/>
      <c r="CQ74" s="841"/>
      <c r="CR74" s="803"/>
      <c r="CS74" s="803"/>
      <c r="CT74" s="841"/>
      <c r="CU74" s="841"/>
      <c r="CV74" s="841"/>
      <c r="CW74" s="803"/>
      <c r="CX74" s="803"/>
      <c r="CY74" s="841"/>
      <c r="CZ74" s="841"/>
      <c r="DA74" s="841"/>
      <c r="DB74" s="803"/>
      <c r="DC74" s="803"/>
      <c r="DD74" s="841"/>
      <c r="DE74" s="841"/>
      <c r="DF74" s="841"/>
      <c r="DG74" s="803"/>
      <c r="DH74" s="803"/>
      <c r="DI74" s="841"/>
      <c r="DJ74" s="841"/>
      <c r="DK74" s="841"/>
      <c r="DL74" s="803"/>
      <c r="DM74" s="803"/>
      <c r="DN74" s="841"/>
      <c r="DO74" s="841"/>
      <c r="DP74" s="841"/>
      <c r="DQ74" s="803"/>
      <c r="DR74" s="803"/>
      <c r="DS74" s="841"/>
      <c r="DT74" s="841"/>
      <c r="DU74" s="841"/>
    </row>
    <row r="75" spans="2:125" x14ac:dyDescent="0.25">
      <c r="B75" s="803"/>
      <c r="C75" s="839"/>
      <c r="D75" s="839"/>
      <c r="E75" s="839"/>
      <c r="F75" s="823"/>
      <c r="G75" s="823"/>
      <c r="H75" s="835"/>
      <c r="I75" s="835"/>
      <c r="J75" s="835"/>
      <c r="K75" s="823"/>
      <c r="L75" s="823"/>
      <c r="M75" s="839"/>
      <c r="N75" s="839"/>
      <c r="O75" s="839"/>
      <c r="P75" s="976"/>
      <c r="Q75" s="976"/>
      <c r="R75" s="839"/>
      <c r="S75" s="839"/>
      <c r="T75" s="839"/>
      <c r="U75" s="840"/>
      <c r="V75" s="823"/>
      <c r="W75" s="839"/>
      <c r="X75" s="839"/>
      <c r="Y75" s="839"/>
      <c r="Z75" s="803"/>
      <c r="AA75" s="823"/>
      <c r="AB75" s="839"/>
      <c r="AC75" s="839"/>
      <c r="AD75" s="839"/>
      <c r="AE75" s="803"/>
      <c r="AF75" s="803"/>
      <c r="AG75" s="841"/>
      <c r="AH75" s="841"/>
      <c r="AI75" s="841"/>
      <c r="AJ75" s="803"/>
      <c r="AK75" s="803"/>
      <c r="AL75" s="841"/>
      <c r="AM75" s="841"/>
      <c r="AN75" s="841"/>
      <c r="AO75" s="803"/>
      <c r="AP75" s="803"/>
      <c r="AQ75" s="841"/>
      <c r="AR75" s="841"/>
      <c r="AS75" s="841"/>
      <c r="AT75" s="803"/>
      <c r="AU75" s="803"/>
      <c r="AV75" s="841"/>
      <c r="AW75" s="841"/>
      <c r="AX75" s="841"/>
      <c r="AY75" s="803"/>
      <c r="AZ75" s="803"/>
      <c r="BA75" s="841"/>
      <c r="BB75" s="841"/>
      <c r="BC75" s="841"/>
      <c r="BD75" s="803"/>
      <c r="BE75" s="803"/>
      <c r="BF75" s="841"/>
      <c r="BG75" s="841"/>
      <c r="BH75" s="841"/>
      <c r="BI75" s="841"/>
      <c r="BJ75" s="841"/>
      <c r="BK75" s="841"/>
      <c r="BL75" s="841"/>
      <c r="BM75" s="841"/>
      <c r="BN75" s="841"/>
      <c r="BO75" s="803"/>
      <c r="BP75" s="841"/>
      <c r="BQ75" s="841"/>
      <c r="BR75" s="841"/>
      <c r="BS75" s="803"/>
      <c r="BT75" s="803"/>
      <c r="BU75" s="841"/>
      <c r="BV75" s="841"/>
      <c r="BW75" s="841"/>
      <c r="BX75" s="803"/>
      <c r="BY75" s="803"/>
      <c r="BZ75" s="841"/>
      <c r="CA75" s="841"/>
      <c r="CB75" s="841"/>
      <c r="CC75" s="803"/>
      <c r="CD75" s="803"/>
      <c r="CE75" s="841"/>
      <c r="CF75" s="841"/>
      <c r="CG75" s="841"/>
      <c r="CH75" s="803"/>
      <c r="CI75" s="803"/>
      <c r="CJ75" s="841"/>
      <c r="CK75" s="841"/>
      <c r="CL75" s="841"/>
      <c r="CM75" s="803"/>
      <c r="CN75" s="803"/>
      <c r="CO75" s="841"/>
      <c r="CP75" s="841"/>
      <c r="CQ75" s="841"/>
      <c r="CR75" s="803"/>
      <c r="CS75" s="803"/>
      <c r="CT75" s="841"/>
      <c r="CU75" s="841"/>
      <c r="CV75" s="841"/>
      <c r="CW75" s="803"/>
      <c r="CX75" s="803"/>
      <c r="CY75" s="841"/>
      <c r="CZ75" s="841"/>
      <c r="DA75" s="841"/>
      <c r="DB75" s="803"/>
      <c r="DC75" s="803"/>
      <c r="DD75" s="841"/>
      <c r="DE75" s="841"/>
      <c r="DF75" s="841"/>
      <c r="DG75" s="803"/>
      <c r="DH75" s="803"/>
      <c r="DI75" s="841"/>
      <c r="DJ75" s="841"/>
      <c r="DK75" s="841"/>
      <c r="DL75" s="803"/>
      <c r="DM75" s="803"/>
      <c r="DN75" s="841"/>
      <c r="DO75" s="841"/>
      <c r="DP75" s="841"/>
      <c r="DQ75" s="803"/>
      <c r="DR75" s="803"/>
      <c r="DS75" s="841"/>
      <c r="DT75" s="841"/>
      <c r="DU75" s="841"/>
    </row>
    <row r="76" spans="2:125" x14ac:dyDescent="0.25">
      <c r="B76" s="803"/>
      <c r="C76" s="839"/>
      <c r="D76" s="839"/>
      <c r="E76" s="839"/>
      <c r="F76" s="823"/>
      <c r="G76" s="823"/>
      <c r="H76" s="835"/>
      <c r="I76" s="835"/>
      <c r="J76" s="835"/>
      <c r="K76" s="823"/>
      <c r="L76" s="823"/>
      <c r="M76" s="839"/>
      <c r="N76" s="839"/>
      <c r="O76" s="839"/>
      <c r="P76" s="976"/>
      <c r="Q76" s="976"/>
      <c r="R76" s="839"/>
      <c r="S76" s="839"/>
      <c r="T76" s="839"/>
      <c r="U76" s="840"/>
      <c r="V76" s="823"/>
      <c r="W76" s="823"/>
      <c r="X76" s="823"/>
      <c r="Y76" s="839"/>
      <c r="Z76" s="803"/>
      <c r="AA76" s="823"/>
      <c r="AB76" s="839"/>
      <c r="AC76" s="839"/>
      <c r="AD76" s="839"/>
      <c r="AE76" s="803"/>
      <c r="AF76" s="803"/>
      <c r="AG76" s="841"/>
      <c r="AH76" s="841"/>
      <c r="AI76" s="841"/>
      <c r="AJ76" s="803"/>
      <c r="AK76" s="803"/>
      <c r="AL76" s="841"/>
      <c r="AM76" s="841"/>
      <c r="AN76" s="841"/>
      <c r="AO76" s="803"/>
      <c r="AP76" s="803"/>
      <c r="AQ76" s="841"/>
      <c r="AR76" s="841"/>
      <c r="AS76" s="841"/>
      <c r="AT76" s="803"/>
      <c r="AU76" s="803"/>
      <c r="AV76" s="841"/>
      <c r="AW76" s="841"/>
      <c r="AX76" s="841"/>
      <c r="AY76" s="803"/>
      <c r="AZ76" s="803"/>
      <c r="BA76" s="841"/>
      <c r="BB76" s="841"/>
      <c r="BC76" s="841"/>
      <c r="BD76" s="803"/>
      <c r="BE76" s="803"/>
      <c r="BF76" s="841"/>
      <c r="BG76" s="841"/>
      <c r="BH76" s="841"/>
      <c r="BI76" s="841"/>
      <c r="BJ76" s="841"/>
      <c r="BK76" s="841"/>
      <c r="BL76" s="841"/>
      <c r="BM76" s="841"/>
      <c r="BN76" s="841"/>
      <c r="BO76" s="803"/>
      <c r="BP76" s="841"/>
      <c r="BQ76" s="841"/>
      <c r="BR76" s="841"/>
      <c r="BS76" s="803"/>
      <c r="BT76" s="803"/>
      <c r="BU76" s="841"/>
      <c r="BV76" s="841"/>
      <c r="BW76" s="841"/>
      <c r="BX76" s="803"/>
      <c r="BY76" s="803"/>
      <c r="BZ76" s="841"/>
      <c r="CA76" s="841"/>
      <c r="CB76" s="841"/>
      <c r="CC76" s="803"/>
      <c r="CD76" s="803"/>
      <c r="CE76" s="841"/>
      <c r="CF76" s="841"/>
      <c r="CG76" s="841"/>
      <c r="CH76" s="803"/>
      <c r="CI76" s="803"/>
      <c r="CJ76" s="841"/>
      <c r="CK76" s="841"/>
      <c r="CL76" s="841"/>
      <c r="CM76" s="803"/>
      <c r="CN76" s="803"/>
      <c r="CO76" s="841"/>
      <c r="CP76" s="841"/>
      <c r="CQ76" s="841"/>
      <c r="CR76" s="803"/>
      <c r="CS76" s="803"/>
      <c r="CT76" s="841"/>
      <c r="CU76" s="841"/>
      <c r="CV76" s="841"/>
      <c r="CW76" s="803"/>
      <c r="CX76" s="803"/>
      <c r="CY76" s="841"/>
      <c r="CZ76" s="841"/>
      <c r="DA76" s="841"/>
      <c r="DB76" s="803"/>
      <c r="DC76" s="803"/>
      <c r="DD76" s="841"/>
      <c r="DE76" s="841"/>
      <c r="DF76" s="841"/>
      <c r="DG76" s="803"/>
      <c r="DH76" s="803"/>
      <c r="DI76" s="841"/>
      <c r="DJ76" s="841"/>
      <c r="DK76" s="841"/>
      <c r="DL76" s="803"/>
      <c r="DM76" s="803"/>
      <c r="DN76" s="841"/>
      <c r="DO76" s="841"/>
      <c r="DP76" s="841"/>
      <c r="DQ76" s="803"/>
      <c r="DR76" s="803"/>
      <c r="DS76" s="841"/>
      <c r="DT76" s="841"/>
      <c r="DU76" s="841"/>
    </row>
    <row r="77" spans="2:125" x14ac:dyDescent="0.25">
      <c r="B77" s="803"/>
      <c r="C77" s="839"/>
      <c r="D77" s="839"/>
      <c r="E77" s="839"/>
      <c r="F77" s="823"/>
      <c r="G77" s="823"/>
      <c r="H77" s="835"/>
      <c r="I77" s="835"/>
      <c r="J77" s="835"/>
      <c r="K77" s="823"/>
      <c r="L77" s="823"/>
      <c r="M77" s="839"/>
      <c r="N77" s="839"/>
      <c r="O77" s="839"/>
      <c r="P77" s="976"/>
      <c r="Q77" s="976"/>
      <c r="R77" s="839"/>
      <c r="S77" s="839"/>
      <c r="T77" s="839"/>
      <c r="U77" s="840"/>
      <c r="V77" s="823"/>
      <c r="W77" s="839"/>
      <c r="X77" s="839"/>
      <c r="Y77" s="839"/>
      <c r="Z77" s="803"/>
      <c r="AA77" s="823"/>
      <c r="AB77" s="839"/>
      <c r="AC77" s="839"/>
      <c r="AD77" s="839"/>
      <c r="AE77" s="803"/>
      <c r="AF77" s="803"/>
      <c r="AG77" s="841"/>
      <c r="AH77" s="841"/>
      <c r="AI77" s="841"/>
      <c r="AJ77" s="803"/>
      <c r="AK77" s="803"/>
      <c r="AL77" s="841"/>
      <c r="AM77" s="841"/>
      <c r="AN77" s="841"/>
      <c r="AO77" s="803"/>
      <c r="AP77" s="803"/>
      <c r="AQ77" s="841"/>
      <c r="AR77" s="841"/>
      <c r="AS77" s="841"/>
      <c r="AT77" s="803"/>
      <c r="AU77" s="803"/>
      <c r="AV77" s="841"/>
      <c r="AW77" s="841"/>
      <c r="AX77" s="841"/>
      <c r="AY77" s="803"/>
      <c r="AZ77" s="803"/>
      <c r="BA77" s="841"/>
      <c r="BB77" s="841"/>
      <c r="BC77" s="841"/>
      <c r="BD77" s="803"/>
      <c r="BE77" s="803"/>
      <c r="BF77" s="841"/>
      <c r="BG77" s="841"/>
      <c r="BH77" s="841"/>
      <c r="BI77" s="841"/>
      <c r="BJ77" s="841"/>
      <c r="BK77" s="841"/>
      <c r="BL77" s="841"/>
      <c r="BM77" s="841"/>
      <c r="BN77" s="841"/>
      <c r="BO77" s="803"/>
      <c r="BP77" s="841"/>
      <c r="BQ77" s="841"/>
      <c r="BR77" s="841"/>
      <c r="BS77" s="803"/>
      <c r="BT77" s="803"/>
      <c r="BU77" s="841"/>
      <c r="BV77" s="841"/>
      <c r="BW77" s="841"/>
      <c r="BX77" s="803"/>
      <c r="BY77" s="803"/>
      <c r="BZ77" s="841"/>
      <c r="CA77" s="841"/>
      <c r="CB77" s="841"/>
      <c r="CC77" s="803"/>
      <c r="CD77" s="803"/>
      <c r="CE77" s="841"/>
      <c r="CF77" s="841"/>
      <c r="CG77" s="841"/>
      <c r="CH77" s="803"/>
      <c r="CI77" s="803"/>
      <c r="CJ77" s="841"/>
      <c r="CK77" s="841"/>
      <c r="CL77" s="841"/>
      <c r="CM77" s="803"/>
      <c r="CN77" s="803"/>
      <c r="CO77" s="841"/>
      <c r="CP77" s="841"/>
      <c r="CQ77" s="841"/>
      <c r="CR77" s="803"/>
      <c r="CS77" s="803"/>
      <c r="CT77" s="841"/>
      <c r="CU77" s="841"/>
      <c r="CV77" s="841"/>
      <c r="CW77" s="803"/>
      <c r="CX77" s="803"/>
      <c r="CY77" s="841"/>
      <c r="CZ77" s="841"/>
      <c r="DA77" s="841"/>
      <c r="DB77" s="803"/>
      <c r="DC77" s="803"/>
      <c r="DD77" s="841"/>
      <c r="DE77" s="841"/>
      <c r="DF77" s="841"/>
      <c r="DG77" s="803"/>
      <c r="DH77" s="803"/>
      <c r="DI77" s="841"/>
      <c r="DJ77" s="841"/>
      <c r="DK77" s="841"/>
      <c r="DL77" s="803"/>
      <c r="DM77" s="803"/>
      <c r="DN77" s="841"/>
      <c r="DO77" s="841"/>
      <c r="DP77" s="841"/>
      <c r="DQ77" s="803"/>
      <c r="DR77" s="803"/>
      <c r="DS77" s="841"/>
      <c r="DT77" s="841"/>
      <c r="DU77" s="841"/>
    </row>
    <row r="78" spans="2:125" x14ac:dyDescent="0.25">
      <c r="B78" s="803"/>
      <c r="C78" s="839"/>
      <c r="D78" s="839"/>
      <c r="E78" s="839"/>
      <c r="F78" s="823"/>
      <c r="G78" s="823"/>
      <c r="H78" s="835"/>
      <c r="I78" s="835"/>
      <c r="J78" s="835"/>
      <c r="K78" s="823"/>
      <c r="L78" s="823"/>
      <c r="M78" s="839"/>
      <c r="N78" s="839"/>
      <c r="O78" s="839"/>
      <c r="P78" s="976"/>
      <c r="Q78" s="976"/>
      <c r="R78" s="839"/>
      <c r="S78" s="839"/>
      <c r="T78" s="839"/>
      <c r="U78" s="840"/>
      <c r="V78" s="823"/>
      <c r="W78" s="839"/>
      <c r="X78" s="839"/>
      <c r="Y78" s="839"/>
      <c r="Z78" s="803"/>
      <c r="AA78" s="823"/>
      <c r="AB78" s="839"/>
      <c r="AC78" s="839"/>
      <c r="AD78" s="839"/>
      <c r="AE78" s="803"/>
      <c r="AF78" s="803"/>
      <c r="AG78" s="841"/>
      <c r="AH78" s="841"/>
      <c r="AI78" s="841"/>
      <c r="AJ78" s="803"/>
      <c r="AK78" s="803"/>
      <c r="AL78" s="841"/>
      <c r="AM78" s="841"/>
      <c r="AN78" s="841"/>
      <c r="AO78" s="803"/>
      <c r="AP78" s="803"/>
      <c r="AQ78" s="841"/>
      <c r="AR78" s="841"/>
      <c r="AS78" s="841"/>
      <c r="AT78" s="803"/>
      <c r="AU78" s="803"/>
      <c r="AV78" s="841"/>
      <c r="AW78" s="841"/>
      <c r="AX78" s="841"/>
      <c r="AY78" s="803"/>
      <c r="AZ78" s="803"/>
      <c r="BA78" s="841"/>
      <c r="BB78" s="841"/>
      <c r="BC78" s="841"/>
      <c r="BD78" s="803"/>
      <c r="BE78" s="803"/>
      <c r="BF78" s="841"/>
      <c r="BG78" s="841"/>
      <c r="BH78" s="841"/>
      <c r="BI78" s="841"/>
      <c r="BJ78" s="841"/>
      <c r="BK78" s="841"/>
      <c r="BL78" s="841"/>
      <c r="BM78" s="841"/>
      <c r="BN78" s="841"/>
      <c r="BO78" s="803"/>
      <c r="BP78" s="841"/>
      <c r="BQ78" s="841"/>
      <c r="BR78" s="841"/>
      <c r="BS78" s="803"/>
      <c r="BT78" s="803"/>
      <c r="BU78" s="841"/>
      <c r="BV78" s="841"/>
      <c r="BW78" s="841"/>
      <c r="BX78" s="803"/>
      <c r="BY78" s="803"/>
      <c r="BZ78" s="841"/>
      <c r="CA78" s="841"/>
      <c r="CB78" s="841"/>
      <c r="CC78" s="803"/>
      <c r="CD78" s="803"/>
      <c r="CE78" s="841"/>
      <c r="CF78" s="841"/>
      <c r="CG78" s="841"/>
      <c r="CH78" s="803"/>
      <c r="CI78" s="803"/>
      <c r="CJ78" s="841"/>
      <c r="CK78" s="841"/>
      <c r="CL78" s="841"/>
      <c r="CM78" s="803"/>
      <c r="CN78" s="803"/>
      <c r="CO78" s="841"/>
      <c r="CP78" s="841"/>
      <c r="CQ78" s="841"/>
      <c r="CR78" s="803"/>
      <c r="CS78" s="803"/>
      <c r="CT78" s="841"/>
      <c r="CU78" s="841"/>
      <c r="CV78" s="841"/>
      <c r="CW78" s="803"/>
      <c r="CX78" s="803"/>
      <c r="CY78" s="841"/>
      <c r="CZ78" s="841"/>
      <c r="DA78" s="841"/>
      <c r="DB78" s="803"/>
      <c r="DC78" s="803"/>
      <c r="DD78" s="841"/>
      <c r="DE78" s="841"/>
      <c r="DF78" s="841"/>
      <c r="DG78" s="803"/>
      <c r="DH78" s="803"/>
      <c r="DI78" s="841"/>
      <c r="DJ78" s="841"/>
      <c r="DK78" s="841"/>
      <c r="DL78" s="803"/>
      <c r="DM78" s="803"/>
      <c r="DN78" s="841"/>
      <c r="DO78" s="841"/>
      <c r="DP78" s="841"/>
      <c r="DQ78" s="803"/>
      <c r="DR78" s="803"/>
      <c r="DS78" s="841"/>
      <c r="DT78" s="841"/>
      <c r="DU78" s="841"/>
    </row>
    <row r="79" spans="2:125" x14ac:dyDescent="0.25">
      <c r="B79" s="803"/>
      <c r="C79" s="839"/>
      <c r="D79" s="839"/>
      <c r="E79" s="839"/>
      <c r="F79" s="823"/>
      <c r="G79" s="823"/>
      <c r="H79" s="835"/>
      <c r="I79" s="835"/>
      <c r="J79" s="835"/>
      <c r="K79" s="823"/>
      <c r="L79" s="823"/>
      <c r="M79" s="839"/>
      <c r="N79" s="839"/>
      <c r="O79" s="839"/>
      <c r="P79" s="976"/>
      <c r="Q79" s="976"/>
      <c r="R79" s="839"/>
      <c r="S79" s="839"/>
      <c r="T79" s="839"/>
      <c r="U79" s="840"/>
      <c r="V79" s="823"/>
      <c r="W79" s="839"/>
      <c r="X79" s="839"/>
      <c r="Y79" s="839"/>
      <c r="Z79" s="803"/>
      <c r="AA79" s="823"/>
      <c r="AB79" s="839"/>
      <c r="AC79" s="839"/>
      <c r="AD79" s="839"/>
      <c r="AE79" s="803"/>
      <c r="AF79" s="803"/>
      <c r="AG79" s="841"/>
      <c r="AH79" s="841"/>
      <c r="AI79" s="841"/>
      <c r="AJ79" s="803"/>
      <c r="AK79" s="803"/>
      <c r="AL79" s="841"/>
      <c r="AM79" s="841"/>
      <c r="AN79" s="841"/>
      <c r="AO79" s="803"/>
      <c r="AP79" s="803"/>
      <c r="AQ79" s="841"/>
      <c r="AR79" s="841"/>
      <c r="AS79" s="841"/>
      <c r="AT79" s="803"/>
      <c r="AU79" s="803"/>
      <c r="AV79" s="841"/>
      <c r="AW79" s="841"/>
      <c r="AX79" s="841"/>
      <c r="AY79" s="803"/>
      <c r="AZ79" s="803"/>
      <c r="BA79" s="841"/>
      <c r="BB79" s="841"/>
      <c r="BC79" s="841"/>
      <c r="BD79" s="803"/>
      <c r="BE79" s="803"/>
      <c r="BF79" s="841"/>
      <c r="BG79" s="841"/>
      <c r="BH79" s="841"/>
      <c r="BI79" s="841"/>
      <c r="BJ79" s="841"/>
      <c r="BK79" s="841"/>
      <c r="BL79" s="841"/>
      <c r="BM79" s="841"/>
      <c r="BN79" s="841"/>
      <c r="BO79" s="803"/>
      <c r="BP79" s="841"/>
      <c r="BQ79" s="841"/>
      <c r="BR79" s="841"/>
      <c r="BS79" s="803"/>
      <c r="BT79" s="803"/>
      <c r="BU79" s="841"/>
      <c r="BV79" s="841"/>
      <c r="BW79" s="841"/>
      <c r="BX79" s="803"/>
      <c r="BY79" s="803"/>
      <c r="BZ79" s="841"/>
      <c r="CA79" s="841"/>
      <c r="CB79" s="841"/>
      <c r="CC79" s="803"/>
      <c r="CD79" s="803"/>
      <c r="CE79" s="841"/>
      <c r="CF79" s="841"/>
      <c r="CG79" s="841"/>
      <c r="CH79" s="803"/>
      <c r="CI79" s="803"/>
      <c r="CJ79" s="841"/>
      <c r="CK79" s="841"/>
      <c r="CL79" s="841"/>
      <c r="CM79" s="803"/>
      <c r="CN79" s="803"/>
      <c r="CO79" s="841"/>
      <c r="CP79" s="841"/>
      <c r="CQ79" s="841"/>
      <c r="CR79" s="803"/>
      <c r="CS79" s="803"/>
      <c r="CT79" s="841"/>
      <c r="CU79" s="841"/>
      <c r="CV79" s="841"/>
      <c r="CW79" s="803"/>
      <c r="CX79" s="803"/>
      <c r="CY79" s="841"/>
      <c r="CZ79" s="841"/>
      <c r="DA79" s="841"/>
      <c r="DB79" s="803"/>
      <c r="DC79" s="803"/>
      <c r="DD79" s="841"/>
      <c r="DE79" s="841"/>
      <c r="DF79" s="841"/>
      <c r="DG79" s="803"/>
      <c r="DH79" s="803"/>
      <c r="DI79" s="841"/>
      <c r="DJ79" s="841"/>
      <c r="DK79" s="841"/>
      <c r="DL79" s="803"/>
      <c r="DM79" s="803"/>
      <c r="DN79" s="841"/>
      <c r="DO79" s="841"/>
      <c r="DP79" s="841"/>
      <c r="DQ79" s="803"/>
      <c r="DR79" s="803"/>
      <c r="DS79" s="841"/>
      <c r="DT79" s="841"/>
      <c r="DU79" s="841"/>
    </row>
    <row r="80" spans="2:125" x14ac:dyDescent="0.25">
      <c r="B80" s="803"/>
      <c r="C80" s="839"/>
      <c r="D80" s="839"/>
      <c r="E80" s="839"/>
      <c r="F80" s="803"/>
      <c r="G80" s="803"/>
      <c r="H80" s="835"/>
      <c r="I80" s="835"/>
      <c r="J80" s="835"/>
      <c r="K80" s="803"/>
      <c r="L80" s="803"/>
      <c r="M80" s="841"/>
      <c r="N80" s="841"/>
      <c r="O80" s="841"/>
      <c r="P80" s="976"/>
      <c r="Q80" s="976"/>
      <c r="R80" s="841"/>
      <c r="S80" s="841"/>
      <c r="T80" s="841"/>
      <c r="U80" s="806"/>
      <c r="V80" s="803"/>
      <c r="W80" s="839"/>
      <c r="X80" s="839"/>
      <c r="Y80" s="841"/>
      <c r="Z80" s="803"/>
      <c r="AA80" s="803"/>
      <c r="AB80" s="839"/>
      <c r="AC80" s="839"/>
      <c r="AD80" s="841"/>
      <c r="AE80" s="803"/>
      <c r="AF80" s="803"/>
      <c r="AG80" s="841"/>
      <c r="AH80" s="841"/>
      <c r="AI80" s="841"/>
      <c r="AJ80" s="803"/>
      <c r="AK80" s="803"/>
      <c r="AL80" s="841"/>
      <c r="AM80" s="841"/>
      <c r="AN80" s="841"/>
      <c r="AO80" s="803"/>
      <c r="AP80" s="803"/>
      <c r="AQ80" s="841"/>
      <c r="AR80" s="841"/>
      <c r="AS80" s="841"/>
      <c r="AT80" s="803"/>
      <c r="AU80" s="803"/>
      <c r="AV80" s="841"/>
      <c r="AW80" s="841"/>
      <c r="AX80" s="841"/>
      <c r="AY80" s="803"/>
      <c r="AZ80" s="803"/>
      <c r="BA80" s="841"/>
      <c r="BB80" s="841"/>
      <c r="BC80" s="841"/>
      <c r="BD80" s="803"/>
      <c r="BE80" s="803"/>
      <c r="BF80" s="841"/>
      <c r="BG80" s="841"/>
      <c r="BH80" s="841"/>
      <c r="BI80" s="841"/>
      <c r="BJ80" s="841"/>
      <c r="BK80" s="841"/>
      <c r="BL80" s="841"/>
      <c r="BM80" s="841"/>
      <c r="BN80" s="841"/>
      <c r="BO80" s="803"/>
      <c r="BP80" s="841"/>
      <c r="BQ80" s="841"/>
      <c r="BR80" s="841"/>
      <c r="BS80" s="803"/>
      <c r="BT80" s="803"/>
      <c r="BU80" s="841"/>
      <c r="BV80" s="841"/>
      <c r="BW80" s="841"/>
      <c r="BX80" s="803"/>
      <c r="BY80" s="803"/>
      <c r="BZ80" s="841"/>
      <c r="CA80" s="841"/>
      <c r="CB80" s="841"/>
      <c r="CC80" s="803"/>
      <c r="CD80" s="803"/>
      <c r="CE80" s="841"/>
      <c r="CF80" s="841"/>
      <c r="CG80" s="841"/>
      <c r="CH80" s="803"/>
      <c r="CI80" s="803"/>
      <c r="CJ80" s="841"/>
      <c r="CK80" s="841"/>
      <c r="CL80" s="841"/>
      <c r="CM80" s="803"/>
      <c r="CN80" s="803"/>
      <c r="CO80" s="841"/>
      <c r="CP80" s="841"/>
      <c r="CQ80" s="841"/>
      <c r="CR80" s="803"/>
      <c r="CS80" s="803"/>
      <c r="CT80" s="841"/>
      <c r="CU80" s="841"/>
      <c r="CV80" s="841"/>
      <c r="CW80" s="803"/>
      <c r="CX80" s="803"/>
      <c r="CY80" s="841"/>
      <c r="CZ80" s="841"/>
      <c r="DA80" s="841"/>
      <c r="DB80" s="803"/>
      <c r="DC80" s="803"/>
      <c r="DD80" s="841"/>
      <c r="DE80" s="841"/>
      <c r="DF80" s="841"/>
      <c r="DG80" s="803"/>
      <c r="DH80" s="803"/>
      <c r="DI80" s="841"/>
      <c r="DJ80" s="841"/>
      <c r="DK80" s="841"/>
      <c r="DL80" s="803"/>
      <c r="DM80" s="803"/>
      <c r="DN80" s="841"/>
      <c r="DO80" s="841"/>
      <c r="DP80" s="841"/>
      <c r="DQ80" s="803"/>
      <c r="DR80" s="803"/>
      <c r="DS80" s="841"/>
      <c r="DT80" s="841"/>
      <c r="DU80" s="841"/>
    </row>
    <row r="81" spans="2:125" x14ac:dyDescent="0.25">
      <c r="B81" s="803"/>
      <c r="C81" s="839"/>
      <c r="D81" s="839"/>
      <c r="E81" s="839"/>
      <c r="F81" s="803"/>
      <c r="G81" s="803"/>
      <c r="H81" s="835"/>
      <c r="I81" s="835"/>
      <c r="J81" s="835"/>
      <c r="K81" s="803"/>
      <c r="L81" s="803"/>
      <c r="M81" s="841"/>
      <c r="N81" s="841"/>
      <c r="O81" s="841"/>
      <c r="P81" s="976"/>
      <c r="Q81" s="976"/>
      <c r="R81" s="841"/>
      <c r="S81" s="841"/>
      <c r="T81" s="841"/>
      <c r="U81" s="806"/>
      <c r="V81" s="803"/>
      <c r="W81" s="839"/>
      <c r="X81" s="839"/>
      <c r="Y81" s="841"/>
      <c r="Z81" s="803"/>
      <c r="AA81" s="803"/>
      <c r="AB81" s="841"/>
      <c r="AC81" s="841"/>
      <c r="AD81" s="841"/>
      <c r="AE81" s="803"/>
      <c r="AF81" s="803"/>
      <c r="AG81" s="841"/>
      <c r="AH81" s="841"/>
      <c r="AI81" s="841"/>
      <c r="AJ81" s="803"/>
      <c r="AK81" s="803"/>
      <c r="AL81" s="841"/>
      <c r="AM81" s="841"/>
      <c r="AN81" s="841"/>
      <c r="AO81" s="803"/>
      <c r="AP81" s="803"/>
      <c r="AQ81" s="841"/>
      <c r="AR81" s="841"/>
      <c r="AS81" s="841"/>
      <c r="AT81" s="803"/>
      <c r="AU81" s="803"/>
      <c r="AV81" s="841"/>
      <c r="AW81" s="841"/>
      <c r="AX81" s="841"/>
      <c r="AY81" s="803"/>
      <c r="AZ81" s="803"/>
      <c r="BA81" s="841"/>
      <c r="BB81" s="841"/>
      <c r="BC81" s="841"/>
      <c r="BD81" s="803"/>
      <c r="BE81" s="803"/>
      <c r="BF81" s="841"/>
      <c r="BG81" s="841"/>
      <c r="BH81" s="841"/>
      <c r="BI81" s="841"/>
      <c r="BJ81" s="841"/>
      <c r="BK81" s="841"/>
      <c r="BL81" s="841"/>
      <c r="BM81" s="841"/>
      <c r="BN81" s="841"/>
      <c r="BO81" s="803"/>
      <c r="BP81" s="841"/>
      <c r="BQ81" s="841"/>
      <c r="BR81" s="841"/>
      <c r="BS81" s="803"/>
      <c r="BT81" s="803"/>
      <c r="BU81" s="841"/>
      <c r="BV81" s="841"/>
      <c r="BW81" s="841"/>
      <c r="BX81" s="803"/>
      <c r="BY81" s="803"/>
      <c r="BZ81" s="841"/>
      <c r="CA81" s="841"/>
      <c r="CB81" s="841"/>
      <c r="CC81" s="803"/>
      <c r="CD81" s="803"/>
      <c r="CE81" s="841"/>
      <c r="CF81" s="841"/>
      <c r="CG81" s="841"/>
      <c r="CH81" s="803"/>
      <c r="CI81" s="803"/>
      <c r="CJ81" s="841"/>
      <c r="CK81" s="841"/>
      <c r="CL81" s="841"/>
      <c r="CM81" s="803"/>
      <c r="CN81" s="803"/>
      <c r="CO81" s="841"/>
      <c r="CP81" s="841"/>
      <c r="CQ81" s="841"/>
      <c r="CR81" s="803"/>
      <c r="CS81" s="803"/>
      <c r="CT81" s="841"/>
      <c r="CU81" s="841"/>
      <c r="CV81" s="841"/>
      <c r="CW81" s="803"/>
      <c r="CX81" s="803"/>
      <c r="CY81" s="841"/>
      <c r="CZ81" s="841"/>
      <c r="DA81" s="841"/>
      <c r="DB81" s="803"/>
      <c r="DC81" s="803"/>
      <c r="DD81" s="841"/>
      <c r="DE81" s="841"/>
      <c r="DF81" s="841"/>
      <c r="DG81" s="803"/>
      <c r="DH81" s="803"/>
      <c r="DI81" s="841"/>
      <c r="DJ81" s="841"/>
      <c r="DK81" s="841"/>
      <c r="DL81" s="803"/>
      <c r="DM81" s="803"/>
      <c r="DN81" s="841"/>
      <c r="DO81" s="841"/>
      <c r="DP81" s="841"/>
      <c r="DQ81" s="803"/>
      <c r="DR81" s="803"/>
      <c r="DS81" s="841"/>
      <c r="DT81" s="841"/>
      <c r="DU81" s="841"/>
    </row>
    <row r="82" spans="2:125" x14ac:dyDescent="0.25">
      <c r="H82" s="835"/>
      <c r="I82" s="835"/>
      <c r="J82" s="841"/>
      <c r="K82" s="803"/>
      <c r="L82" s="803"/>
      <c r="M82" s="841"/>
      <c r="N82" s="841"/>
      <c r="O82" s="841"/>
      <c r="P82" s="976"/>
      <c r="Q82" s="976"/>
      <c r="R82" s="841"/>
      <c r="S82" s="841"/>
      <c r="T82" s="841"/>
      <c r="U82" s="806"/>
      <c r="V82" s="803"/>
      <c r="W82" s="839"/>
      <c r="X82" s="839"/>
      <c r="Y82" s="841"/>
      <c r="Z82" s="803"/>
      <c r="AA82" s="803"/>
      <c r="AB82" s="841"/>
      <c r="AC82" s="841"/>
      <c r="AD82" s="841"/>
      <c r="AE82" s="803"/>
      <c r="AF82" s="803"/>
      <c r="AG82" s="841"/>
      <c r="AH82" s="841"/>
      <c r="AI82" s="841"/>
      <c r="AJ82" s="803"/>
      <c r="AK82" s="803"/>
      <c r="AL82" s="841"/>
      <c r="AM82" s="841"/>
      <c r="AN82" s="841"/>
      <c r="AO82" s="803"/>
      <c r="AP82" s="803"/>
      <c r="AQ82" s="841"/>
      <c r="AR82" s="841"/>
      <c r="AS82" s="841"/>
      <c r="AT82" s="803"/>
      <c r="AU82" s="803"/>
      <c r="AV82" s="841"/>
      <c r="AW82" s="841"/>
      <c r="AX82" s="841"/>
      <c r="AY82" s="803"/>
      <c r="AZ82" s="803"/>
      <c r="BA82" s="841"/>
      <c r="BB82" s="841"/>
      <c r="BC82" s="841"/>
      <c r="BD82" s="803"/>
      <c r="BE82" s="803"/>
      <c r="BF82" s="841"/>
      <c r="BG82" s="841"/>
      <c r="BH82" s="841"/>
      <c r="BI82" s="841"/>
      <c r="BJ82" s="841"/>
      <c r="BK82" s="841"/>
      <c r="BL82" s="841"/>
      <c r="BM82" s="841"/>
      <c r="BN82" s="841"/>
      <c r="BO82" s="803"/>
      <c r="BP82" s="841"/>
      <c r="BQ82" s="841"/>
      <c r="BR82" s="841"/>
      <c r="BS82" s="803"/>
      <c r="BT82" s="803"/>
      <c r="BU82" s="841"/>
      <c r="BV82" s="841"/>
      <c r="BW82" s="841"/>
      <c r="BX82" s="803"/>
      <c r="BY82" s="803"/>
      <c r="BZ82" s="841"/>
      <c r="CA82" s="841"/>
      <c r="CB82" s="841"/>
      <c r="CC82" s="803"/>
      <c r="CD82" s="803"/>
      <c r="CE82" s="841"/>
      <c r="CF82" s="841"/>
      <c r="CG82" s="841"/>
      <c r="CH82" s="803"/>
      <c r="CI82" s="803"/>
      <c r="CJ82" s="841"/>
      <c r="CK82" s="841"/>
      <c r="CL82" s="841"/>
      <c r="CM82" s="803"/>
      <c r="CN82" s="803"/>
      <c r="CO82" s="841"/>
      <c r="CP82" s="841"/>
      <c r="CQ82" s="841"/>
      <c r="CR82" s="803"/>
      <c r="CS82" s="803"/>
      <c r="CT82" s="841"/>
      <c r="CU82" s="841"/>
      <c r="CV82" s="841"/>
      <c r="CW82" s="803"/>
      <c r="CX82" s="803"/>
      <c r="CY82" s="841"/>
      <c r="CZ82" s="841"/>
      <c r="DA82" s="841"/>
      <c r="DB82" s="803"/>
      <c r="DC82" s="803"/>
      <c r="DD82" s="841"/>
      <c r="DE82" s="841"/>
      <c r="DF82" s="841"/>
      <c r="DG82" s="803"/>
      <c r="DH82" s="803"/>
      <c r="DI82" s="841"/>
      <c r="DJ82" s="841"/>
      <c r="DK82" s="841"/>
      <c r="DL82" s="803"/>
      <c r="DM82" s="803"/>
      <c r="DN82" s="841"/>
      <c r="DO82" s="841"/>
      <c r="DP82" s="841"/>
      <c r="DQ82" s="803"/>
      <c r="DR82" s="803"/>
    </row>
    <row r="83" spans="2:125" x14ac:dyDescent="0.25">
      <c r="H83" s="835"/>
      <c r="I83" s="835"/>
      <c r="J83" s="841"/>
      <c r="K83" s="803"/>
      <c r="L83" s="803"/>
      <c r="M83" s="841"/>
      <c r="N83" s="841"/>
      <c r="O83" s="841"/>
      <c r="P83" s="976"/>
      <c r="Q83" s="976"/>
      <c r="R83" s="841"/>
      <c r="S83" s="841"/>
      <c r="T83" s="841"/>
      <c r="U83" s="806"/>
      <c r="V83" s="803"/>
      <c r="W83" s="841"/>
      <c r="X83" s="841"/>
      <c r="Y83" s="841"/>
      <c r="Z83" s="803"/>
      <c r="AA83" s="803"/>
      <c r="AB83" s="841"/>
      <c r="AC83" s="841"/>
      <c r="AD83" s="841"/>
      <c r="AE83" s="803"/>
      <c r="AF83" s="803"/>
      <c r="AG83" s="841"/>
      <c r="AH83" s="841"/>
      <c r="AI83" s="841"/>
      <c r="AJ83" s="803"/>
      <c r="AK83" s="803"/>
      <c r="AL83" s="841"/>
      <c r="AM83" s="841"/>
      <c r="AN83" s="841"/>
      <c r="AO83" s="803"/>
      <c r="AP83" s="803"/>
      <c r="AQ83" s="841"/>
      <c r="AR83" s="841"/>
      <c r="AS83" s="841"/>
      <c r="AT83" s="803"/>
      <c r="AU83" s="803"/>
      <c r="AV83" s="841"/>
      <c r="AW83" s="841"/>
      <c r="AX83" s="841"/>
      <c r="AY83" s="803"/>
      <c r="AZ83" s="803"/>
      <c r="BA83" s="841"/>
      <c r="BB83" s="841"/>
      <c r="BC83" s="841"/>
      <c r="BD83" s="803"/>
      <c r="BE83" s="803"/>
      <c r="BF83" s="841"/>
      <c r="BG83" s="841"/>
      <c r="BH83" s="841"/>
      <c r="BI83" s="841"/>
      <c r="BJ83" s="841"/>
      <c r="BK83" s="841"/>
      <c r="BL83" s="841"/>
      <c r="BM83" s="841"/>
      <c r="BN83" s="841"/>
      <c r="BO83" s="803"/>
      <c r="BP83" s="841"/>
      <c r="BQ83" s="841"/>
      <c r="BR83" s="841"/>
      <c r="BS83" s="803"/>
      <c r="BT83" s="803"/>
      <c r="BU83" s="841"/>
      <c r="BV83" s="841"/>
      <c r="BW83" s="841"/>
      <c r="BX83" s="803"/>
      <c r="BY83" s="803"/>
      <c r="BZ83" s="841"/>
      <c r="CA83" s="841"/>
      <c r="CB83" s="841"/>
      <c r="CC83" s="803"/>
      <c r="CD83" s="803"/>
      <c r="CE83" s="841"/>
      <c r="CF83" s="841"/>
      <c r="CG83" s="841"/>
      <c r="CH83" s="803"/>
      <c r="CI83" s="803"/>
      <c r="CJ83" s="841"/>
      <c r="CK83" s="841"/>
      <c r="CL83" s="841"/>
      <c r="CM83" s="803"/>
      <c r="CN83" s="803"/>
      <c r="CO83" s="841"/>
      <c r="CP83" s="841"/>
      <c r="CQ83" s="841"/>
      <c r="CR83" s="803"/>
      <c r="CS83" s="841"/>
      <c r="CT83" s="841"/>
      <c r="CU83" s="841"/>
      <c r="CV83" s="841"/>
      <c r="CW83" s="803"/>
      <c r="CX83" s="841"/>
      <c r="CY83" s="841"/>
      <c r="CZ83" s="841"/>
      <c r="DA83" s="841"/>
      <c r="DB83" s="803"/>
      <c r="DC83" s="841"/>
      <c r="DD83" s="841"/>
      <c r="DE83" s="841"/>
      <c r="DF83" s="841"/>
      <c r="DG83" s="803"/>
      <c r="DH83" s="841"/>
      <c r="DI83" s="841"/>
      <c r="DJ83" s="841"/>
      <c r="DK83" s="841"/>
      <c r="DL83" s="803"/>
      <c r="DM83" s="841"/>
      <c r="DN83" s="841"/>
      <c r="DO83" s="841"/>
      <c r="DP83" s="841"/>
      <c r="DQ83" s="803"/>
      <c r="DR83" s="841"/>
    </row>
    <row r="84" spans="2:125" x14ac:dyDescent="0.25">
      <c r="H84" s="841"/>
      <c r="I84" s="841"/>
      <c r="J84" s="841"/>
      <c r="K84" s="803"/>
      <c r="L84" s="803"/>
      <c r="M84" s="841"/>
      <c r="N84" s="841"/>
      <c r="O84" s="841"/>
      <c r="P84" s="976"/>
      <c r="Q84" s="976"/>
      <c r="R84" s="841"/>
      <c r="S84" s="841"/>
      <c r="T84" s="841"/>
      <c r="U84" s="806"/>
      <c r="V84" s="803"/>
      <c r="W84" s="841"/>
      <c r="X84" s="841"/>
      <c r="Y84" s="841"/>
      <c r="Z84" s="803"/>
      <c r="AA84" s="803"/>
      <c r="AB84" s="841"/>
      <c r="AC84" s="841"/>
      <c r="AD84" s="841"/>
      <c r="AE84" s="803"/>
      <c r="AF84" s="803"/>
      <c r="AG84" s="841"/>
      <c r="AH84" s="841"/>
      <c r="AI84" s="841"/>
      <c r="AJ84" s="803"/>
      <c r="AK84" s="803"/>
      <c r="AL84" s="841"/>
      <c r="AM84" s="841"/>
      <c r="AN84" s="841"/>
      <c r="AO84" s="803"/>
      <c r="AP84" s="803"/>
      <c r="AQ84" s="841"/>
      <c r="AR84" s="841"/>
      <c r="AS84" s="841"/>
      <c r="AT84" s="803"/>
      <c r="AU84" s="803"/>
      <c r="AV84" s="841"/>
      <c r="AW84" s="841"/>
      <c r="AX84" s="841"/>
      <c r="AY84" s="803"/>
      <c r="AZ84" s="803"/>
      <c r="BA84" s="841"/>
      <c r="BB84" s="841"/>
      <c r="BC84" s="841"/>
      <c r="BD84" s="803"/>
      <c r="BE84" s="803"/>
      <c r="BF84" s="841"/>
      <c r="BG84" s="841"/>
      <c r="BH84" s="841"/>
      <c r="BI84" s="841"/>
      <c r="BJ84" s="841"/>
      <c r="BK84" s="841"/>
      <c r="BL84" s="841"/>
      <c r="BM84" s="841"/>
      <c r="BN84" s="841"/>
      <c r="BO84" s="803"/>
      <c r="BP84" s="841"/>
      <c r="BQ84" s="841"/>
      <c r="BR84" s="841"/>
      <c r="BS84" s="803"/>
      <c r="BT84" s="803"/>
      <c r="BU84" s="841"/>
      <c r="BV84" s="841"/>
      <c r="BW84" s="841"/>
      <c r="BX84" s="803"/>
      <c r="BY84" s="803"/>
      <c r="BZ84" s="841"/>
      <c r="CA84" s="841"/>
      <c r="CB84" s="841"/>
      <c r="CC84" s="803"/>
      <c r="CD84" s="803"/>
      <c r="CE84" s="841"/>
      <c r="CF84" s="841"/>
      <c r="CG84" s="841"/>
      <c r="CH84" s="803"/>
      <c r="CI84" s="803"/>
      <c r="CJ84" s="841"/>
      <c r="CK84" s="841"/>
      <c r="CL84" s="841"/>
      <c r="CM84" s="803"/>
      <c r="CN84" s="841"/>
      <c r="CO84" s="841"/>
      <c r="CP84" s="841"/>
      <c r="CQ84" s="841"/>
      <c r="CR84" s="803"/>
      <c r="CS84" s="841"/>
      <c r="CT84" s="841"/>
      <c r="CU84" s="841"/>
      <c r="CV84" s="841"/>
      <c r="CW84" s="803"/>
      <c r="CX84" s="841"/>
      <c r="CY84" s="841"/>
      <c r="CZ84" s="841"/>
      <c r="DA84" s="841"/>
      <c r="DB84" s="803"/>
      <c r="DC84" s="841"/>
      <c r="DD84" s="841"/>
      <c r="DE84" s="841"/>
      <c r="DF84" s="841"/>
      <c r="DG84" s="803"/>
      <c r="DH84" s="841"/>
      <c r="DI84" s="841"/>
      <c r="DJ84" s="841"/>
      <c r="DK84" s="841"/>
      <c r="DL84" s="803"/>
      <c r="DM84" s="841"/>
      <c r="DN84" s="841"/>
      <c r="DO84" s="841"/>
      <c r="DP84" s="841"/>
      <c r="DQ84" s="803"/>
      <c r="DR84" s="841"/>
    </row>
    <row r="85" spans="2:125" x14ac:dyDescent="0.25">
      <c r="H85" s="841"/>
      <c r="I85" s="841"/>
      <c r="J85" s="841"/>
      <c r="K85" s="803"/>
      <c r="L85" s="803"/>
      <c r="M85" s="841"/>
      <c r="N85" s="841"/>
      <c r="O85" s="841"/>
      <c r="P85" s="976"/>
      <c r="Q85" s="976"/>
      <c r="R85" s="841"/>
      <c r="S85" s="841"/>
      <c r="T85" s="841"/>
      <c r="U85" s="806"/>
      <c r="V85" s="803"/>
      <c r="W85" s="841"/>
      <c r="X85" s="841"/>
      <c r="Y85" s="841"/>
      <c r="Z85" s="803"/>
      <c r="AA85" s="803"/>
      <c r="AB85" s="841"/>
      <c r="AC85" s="841"/>
      <c r="AD85" s="841"/>
      <c r="AE85" s="803"/>
      <c r="AF85" s="803"/>
      <c r="AG85" s="841"/>
      <c r="AH85" s="841"/>
      <c r="AI85" s="841"/>
      <c r="AJ85" s="803"/>
      <c r="AK85" s="803"/>
      <c r="AL85" s="841"/>
      <c r="AM85" s="841"/>
      <c r="AN85" s="841"/>
      <c r="AO85" s="803"/>
      <c r="AP85" s="803"/>
      <c r="AQ85" s="841"/>
      <c r="AR85" s="841"/>
      <c r="AS85" s="841"/>
      <c r="AT85" s="803"/>
      <c r="AU85" s="803"/>
      <c r="AV85" s="841"/>
      <c r="AW85" s="841"/>
      <c r="AX85" s="841"/>
      <c r="AY85" s="803"/>
      <c r="AZ85" s="803"/>
      <c r="BA85" s="841"/>
      <c r="BB85" s="841"/>
      <c r="BC85" s="841"/>
      <c r="BD85" s="803"/>
      <c r="BE85" s="803"/>
      <c r="BF85" s="841"/>
      <c r="BG85" s="841"/>
      <c r="BH85" s="841"/>
      <c r="BI85" s="841"/>
      <c r="BJ85" s="841"/>
      <c r="BK85" s="841"/>
      <c r="BL85" s="841"/>
      <c r="BM85" s="841"/>
      <c r="BN85" s="841"/>
      <c r="BO85" s="803"/>
      <c r="BP85" s="841"/>
      <c r="BQ85" s="841"/>
      <c r="BR85" s="841"/>
      <c r="BS85" s="803"/>
      <c r="BT85" s="803"/>
      <c r="BU85" s="841"/>
      <c r="BV85" s="841"/>
      <c r="BW85" s="841"/>
      <c r="BX85" s="803"/>
      <c r="BY85" s="803"/>
      <c r="BZ85" s="841"/>
      <c r="CA85" s="841"/>
      <c r="CB85" s="841"/>
      <c r="CC85" s="803"/>
      <c r="CD85" s="803"/>
      <c r="CE85" s="841"/>
      <c r="CF85" s="841"/>
      <c r="CG85" s="841"/>
      <c r="CH85" s="803"/>
      <c r="CI85" s="803"/>
      <c r="CJ85" s="841"/>
      <c r="CK85" s="841"/>
      <c r="CL85" s="841"/>
      <c r="CM85" s="803"/>
      <c r="CN85" s="841"/>
      <c r="CO85" s="841"/>
      <c r="CP85" s="841"/>
      <c r="CQ85" s="841"/>
      <c r="CR85" s="803"/>
      <c r="CS85" s="841"/>
      <c r="CT85" s="841"/>
      <c r="CU85" s="841"/>
      <c r="CV85" s="841"/>
      <c r="CW85" s="803"/>
      <c r="CX85" s="841"/>
      <c r="CY85" s="841"/>
      <c r="CZ85" s="841"/>
      <c r="DA85" s="841"/>
      <c r="DB85" s="803"/>
      <c r="DC85" s="841"/>
      <c r="DD85" s="841"/>
      <c r="DE85" s="841"/>
      <c r="DF85" s="841"/>
      <c r="DG85" s="803"/>
      <c r="DH85" s="841"/>
      <c r="DI85" s="841"/>
      <c r="DJ85" s="841"/>
      <c r="DK85" s="841"/>
      <c r="DL85" s="803"/>
      <c r="DM85" s="841"/>
      <c r="DN85" s="841"/>
      <c r="DO85" s="841"/>
      <c r="DP85" s="841"/>
      <c r="DQ85" s="803"/>
      <c r="DR85" s="841"/>
    </row>
    <row r="86" spans="2:125" x14ac:dyDescent="0.25">
      <c r="H86" s="841"/>
      <c r="I86" s="841"/>
      <c r="J86" s="841"/>
      <c r="K86" s="803"/>
      <c r="L86" s="803"/>
      <c r="M86" s="841"/>
      <c r="N86" s="841"/>
      <c r="O86" s="841"/>
      <c r="P86" s="976"/>
      <c r="Q86" s="976"/>
      <c r="R86" s="841"/>
      <c r="S86" s="841"/>
      <c r="T86" s="841"/>
      <c r="U86" s="806"/>
      <c r="V86" s="803"/>
      <c r="W86" s="841"/>
      <c r="X86" s="841"/>
      <c r="Y86" s="841"/>
      <c r="Z86" s="803"/>
      <c r="AA86" s="803"/>
      <c r="AB86" s="841"/>
      <c r="AC86" s="841"/>
      <c r="AD86" s="841"/>
      <c r="AE86" s="803"/>
      <c r="AF86" s="803"/>
      <c r="AG86" s="841"/>
      <c r="AH86" s="841"/>
      <c r="AI86" s="841"/>
      <c r="AJ86" s="803"/>
      <c r="AK86" s="803"/>
      <c r="AL86" s="841"/>
      <c r="AM86" s="841"/>
      <c r="AN86" s="841"/>
      <c r="AO86" s="803"/>
      <c r="AP86" s="803"/>
      <c r="AQ86" s="841"/>
      <c r="AR86" s="841"/>
      <c r="AS86" s="841"/>
      <c r="AT86" s="803"/>
      <c r="AU86" s="803"/>
      <c r="AV86" s="841"/>
      <c r="AW86" s="841"/>
      <c r="AX86" s="841"/>
      <c r="AY86" s="803"/>
      <c r="AZ86" s="803"/>
      <c r="BA86" s="841"/>
      <c r="BB86" s="841"/>
      <c r="BC86" s="841"/>
      <c r="BD86" s="803"/>
      <c r="BE86" s="803"/>
      <c r="BF86" s="841"/>
      <c r="BG86" s="841"/>
      <c r="BH86" s="841"/>
      <c r="BI86" s="841"/>
      <c r="BJ86" s="841"/>
      <c r="BK86" s="841"/>
      <c r="BL86" s="841"/>
      <c r="BM86" s="841"/>
      <c r="BN86" s="841"/>
      <c r="BO86" s="803"/>
      <c r="BP86" s="841"/>
      <c r="BQ86" s="841"/>
      <c r="BR86" s="841"/>
      <c r="BS86" s="803"/>
      <c r="BT86" s="803"/>
      <c r="BU86" s="841"/>
      <c r="BV86" s="841"/>
      <c r="BW86" s="841"/>
      <c r="BX86" s="803"/>
      <c r="BY86" s="803"/>
      <c r="BZ86" s="841"/>
      <c r="CA86" s="841"/>
      <c r="CB86" s="841"/>
      <c r="CC86" s="803"/>
      <c r="CD86" s="803"/>
      <c r="CE86" s="841"/>
      <c r="CF86" s="841"/>
      <c r="CG86" s="841"/>
      <c r="CH86" s="803"/>
      <c r="CI86" s="803"/>
      <c r="CJ86" s="841"/>
      <c r="CK86" s="841"/>
      <c r="CL86" s="841"/>
      <c r="CM86" s="803"/>
      <c r="CN86" s="841"/>
      <c r="CO86" s="841"/>
      <c r="CP86" s="841"/>
      <c r="CQ86" s="841"/>
      <c r="CR86" s="803"/>
      <c r="CS86" s="841"/>
      <c r="CT86" s="841"/>
      <c r="CU86" s="841"/>
      <c r="CV86" s="841"/>
      <c r="CW86" s="803"/>
      <c r="CX86" s="841"/>
      <c r="CY86" s="841"/>
      <c r="CZ86" s="841"/>
      <c r="DA86" s="841"/>
      <c r="DB86" s="803"/>
      <c r="DC86" s="841"/>
      <c r="DD86" s="841"/>
      <c r="DE86" s="841"/>
      <c r="DF86" s="841"/>
      <c r="DG86" s="803"/>
      <c r="DH86" s="841"/>
      <c r="DI86" s="841"/>
      <c r="DJ86" s="841"/>
      <c r="DK86" s="841"/>
      <c r="DL86" s="803"/>
      <c r="DM86" s="841"/>
      <c r="DN86" s="841"/>
      <c r="DO86" s="841"/>
      <c r="DP86" s="841"/>
      <c r="DQ86" s="803"/>
      <c r="DR86" s="841"/>
    </row>
    <row r="87" spans="2:125" x14ac:dyDescent="0.25">
      <c r="H87" s="841"/>
      <c r="I87" s="841"/>
      <c r="J87" s="841"/>
      <c r="K87" s="803"/>
      <c r="L87" s="803"/>
      <c r="M87" s="841"/>
      <c r="N87" s="841"/>
      <c r="O87" s="841"/>
      <c r="P87" s="976"/>
      <c r="Q87" s="976"/>
      <c r="R87" s="841"/>
      <c r="S87" s="841"/>
      <c r="T87" s="841"/>
      <c r="U87" s="806"/>
      <c r="V87" s="803"/>
      <c r="W87" s="841"/>
      <c r="X87" s="841"/>
      <c r="Y87" s="841"/>
      <c r="Z87" s="803"/>
      <c r="AA87" s="803"/>
      <c r="AB87" s="841"/>
      <c r="AC87" s="841"/>
      <c r="AD87" s="841"/>
      <c r="AE87" s="803"/>
      <c r="AF87" s="803"/>
      <c r="AG87" s="841"/>
      <c r="AH87" s="841"/>
      <c r="AI87" s="841"/>
      <c r="AJ87" s="803"/>
      <c r="AK87" s="803"/>
      <c r="AL87" s="841"/>
      <c r="AM87" s="841"/>
      <c r="AN87" s="841"/>
      <c r="AO87" s="803"/>
      <c r="AP87" s="803"/>
      <c r="AQ87" s="841"/>
      <c r="AR87" s="841"/>
      <c r="AS87" s="841"/>
      <c r="AT87" s="803"/>
      <c r="AU87" s="803"/>
      <c r="AV87" s="841"/>
      <c r="AW87" s="841"/>
      <c r="AX87" s="841"/>
      <c r="AY87" s="803"/>
      <c r="AZ87" s="803"/>
      <c r="BA87" s="841"/>
      <c r="BB87" s="841"/>
      <c r="BC87" s="841"/>
      <c r="BD87" s="803"/>
      <c r="BE87" s="803"/>
      <c r="BF87" s="841"/>
      <c r="BG87" s="841"/>
      <c r="BH87" s="841"/>
      <c r="BI87" s="841"/>
      <c r="BJ87" s="841"/>
      <c r="BK87" s="841"/>
      <c r="BL87" s="841"/>
      <c r="BM87" s="841"/>
      <c r="BN87" s="841"/>
      <c r="BO87" s="803"/>
      <c r="BP87" s="841"/>
      <c r="BQ87" s="841"/>
      <c r="BR87" s="841"/>
      <c r="BS87" s="803"/>
      <c r="BT87" s="803"/>
      <c r="BU87" s="841"/>
      <c r="BV87" s="841"/>
      <c r="BW87" s="841"/>
      <c r="BX87" s="803"/>
      <c r="BY87" s="803"/>
      <c r="BZ87" s="841"/>
      <c r="CA87" s="841"/>
      <c r="CB87" s="841"/>
      <c r="CC87" s="803"/>
      <c r="CD87" s="803"/>
      <c r="CE87" s="841"/>
      <c r="CF87" s="841"/>
      <c r="CG87" s="841"/>
      <c r="CH87" s="803"/>
      <c r="CI87" s="803"/>
      <c r="CJ87" s="841"/>
      <c r="CK87" s="841"/>
      <c r="CL87" s="841"/>
      <c r="CM87" s="803"/>
      <c r="CN87" s="841"/>
      <c r="CO87" s="841"/>
      <c r="CP87" s="841"/>
      <c r="CQ87" s="841"/>
      <c r="CR87" s="803"/>
      <c r="CS87" s="841"/>
      <c r="CT87" s="841"/>
      <c r="CU87" s="841"/>
      <c r="CV87" s="841"/>
      <c r="CW87" s="803"/>
      <c r="CX87" s="841"/>
      <c r="CY87" s="841"/>
      <c r="CZ87" s="841"/>
      <c r="DA87" s="841"/>
      <c r="DB87" s="803"/>
      <c r="DC87" s="841"/>
      <c r="DD87" s="841"/>
      <c r="DE87" s="841"/>
      <c r="DF87" s="841"/>
      <c r="DG87" s="803"/>
      <c r="DH87" s="841"/>
      <c r="DI87" s="841"/>
      <c r="DJ87" s="841"/>
      <c r="DK87" s="841"/>
      <c r="DL87" s="803"/>
      <c r="DM87" s="841"/>
      <c r="DN87" s="841"/>
      <c r="DO87" s="841"/>
      <c r="DP87" s="841"/>
      <c r="DQ87" s="803"/>
      <c r="DR87" s="841"/>
    </row>
    <row r="88" spans="2:125" x14ac:dyDescent="0.25">
      <c r="H88" s="841"/>
      <c r="I88" s="841"/>
      <c r="J88" s="841"/>
      <c r="K88" s="803"/>
      <c r="L88" s="803"/>
      <c r="M88" s="841"/>
      <c r="N88" s="841"/>
      <c r="O88" s="841"/>
      <c r="P88" s="976"/>
      <c r="Q88" s="976"/>
      <c r="R88" s="841"/>
      <c r="S88" s="841"/>
      <c r="T88" s="841"/>
      <c r="U88" s="806"/>
      <c r="V88" s="803"/>
      <c r="W88" s="841"/>
      <c r="X88" s="841"/>
      <c r="Y88" s="841"/>
      <c r="Z88" s="803"/>
      <c r="AA88" s="803"/>
      <c r="AB88" s="841"/>
      <c r="AC88" s="841"/>
      <c r="AD88" s="841"/>
      <c r="AE88" s="803"/>
      <c r="AF88" s="803"/>
      <c r="AG88" s="841"/>
      <c r="AH88" s="841"/>
      <c r="AI88" s="841"/>
      <c r="AJ88" s="803"/>
      <c r="AK88" s="803"/>
      <c r="AL88" s="841"/>
      <c r="AM88" s="841"/>
      <c r="AN88" s="841"/>
      <c r="AO88" s="803"/>
      <c r="AP88" s="803"/>
      <c r="AQ88" s="841"/>
      <c r="AR88" s="841"/>
      <c r="AS88" s="841"/>
      <c r="AT88" s="803"/>
      <c r="AU88" s="803"/>
      <c r="AV88" s="841"/>
      <c r="AW88" s="841"/>
      <c r="AX88" s="841"/>
      <c r="AY88" s="803"/>
      <c r="AZ88" s="803"/>
      <c r="BA88" s="841"/>
      <c r="BB88" s="841"/>
      <c r="BC88" s="841"/>
      <c r="BD88" s="803"/>
      <c r="BE88" s="803"/>
      <c r="BF88" s="841"/>
      <c r="BG88" s="841"/>
      <c r="BH88" s="841"/>
      <c r="BI88" s="841"/>
      <c r="BJ88" s="841"/>
      <c r="BK88" s="841"/>
      <c r="BL88" s="841"/>
      <c r="BM88" s="841"/>
      <c r="BN88" s="841"/>
      <c r="BO88" s="803"/>
      <c r="BP88" s="841"/>
      <c r="BQ88" s="841"/>
      <c r="BR88" s="841"/>
      <c r="BS88" s="803"/>
      <c r="BT88" s="803"/>
      <c r="BU88" s="841"/>
      <c r="BV88" s="841"/>
      <c r="BW88" s="841"/>
      <c r="BX88" s="803"/>
      <c r="BY88" s="803"/>
      <c r="BZ88" s="841"/>
      <c r="CA88" s="841"/>
      <c r="CB88" s="841"/>
      <c r="CC88" s="803"/>
      <c r="CD88" s="803"/>
      <c r="CE88" s="841"/>
      <c r="CF88" s="841"/>
      <c r="CG88" s="841"/>
      <c r="CH88" s="803"/>
      <c r="CI88" s="803"/>
      <c r="CJ88" s="841"/>
      <c r="CK88" s="841"/>
      <c r="CL88" s="841"/>
      <c r="CM88" s="803"/>
      <c r="CN88" s="841"/>
      <c r="CO88" s="841"/>
      <c r="CP88" s="841"/>
      <c r="CQ88" s="841"/>
      <c r="CR88" s="803"/>
      <c r="CS88" s="841"/>
      <c r="CT88" s="841"/>
      <c r="CU88" s="841"/>
      <c r="CV88" s="841"/>
      <c r="CW88" s="803"/>
      <c r="CX88" s="841"/>
      <c r="CY88" s="841"/>
      <c r="CZ88" s="841"/>
      <c r="DA88" s="841"/>
      <c r="DB88" s="803"/>
      <c r="DC88" s="841"/>
      <c r="DD88" s="841"/>
      <c r="DE88" s="841"/>
      <c r="DF88" s="841"/>
      <c r="DG88" s="803"/>
      <c r="DH88" s="841"/>
      <c r="DI88" s="841"/>
      <c r="DJ88" s="841"/>
      <c r="DK88" s="841"/>
      <c r="DL88" s="803"/>
      <c r="DM88" s="841"/>
      <c r="DN88" s="841"/>
      <c r="DO88" s="841"/>
      <c r="DP88" s="841"/>
      <c r="DQ88" s="803"/>
      <c r="DR88" s="841"/>
    </row>
    <row r="89" spans="2:125" x14ac:dyDescent="0.25">
      <c r="H89" s="841"/>
      <c r="I89" s="841"/>
      <c r="J89" s="841"/>
      <c r="K89" s="803"/>
      <c r="L89" s="803"/>
      <c r="M89" s="841"/>
      <c r="N89" s="841"/>
      <c r="O89" s="841"/>
      <c r="P89" s="976"/>
      <c r="Q89" s="976"/>
      <c r="R89" s="841"/>
      <c r="S89" s="841"/>
      <c r="T89" s="841"/>
      <c r="U89" s="806"/>
      <c r="V89" s="803"/>
      <c r="W89" s="841"/>
      <c r="X89" s="841"/>
      <c r="Y89" s="841"/>
      <c r="Z89" s="803"/>
      <c r="AA89" s="803"/>
      <c r="AB89" s="841"/>
      <c r="AC89" s="841"/>
      <c r="AD89" s="841"/>
      <c r="AE89" s="803"/>
      <c r="AF89" s="803"/>
      <c r="AG89" s="841"/>
      <c r="AH89" s="841"/>
      <c r="AI89" s="841"/>
      <c r="AJ89" s="803"/>
      <c r="AK89" s="803"/>
      <c r="AL89" s="841"/>
      <c r="AM89" s="841"/>
      <c r="AN89" s="841"/>
      <c r="AO89" s="803"/>
      <c r="AP89" s="803"/>
      <c r="AQ89" s="841"/>
      <c r="AR89" s="841"/>
      <c r="AS89" s="841"/>
      <c r="AT89" s="803"/>
      <c r="AU89" s="803"/>
      <c r="AV89" s="841"/>
      <c r="AW89" s="841"/>
      <c r="AX89" s="841"/>
      <c r="AY89" s="803"/>
      <c r="AZ89" s="803"/>
      <c r="BA89" s="841"/>
      <c r="BB89" s="841"/>
      <c r="BC89" s="841"/>
      <c r="BD89" s="803"/>
      <c r="BE89" s="803"/>
      <c r="BF89" s="841"/>
      <c r="BG89" s="841"/>
      <c r="BH89" s="841"/>
      <c r="BI89" s="841"/>
      <c r="BJ89" s="841"/>
      <c r="BK89" s="841"/>
      <c r="BL89" s="841"/>
      <c r="BM89" s="841"/>
      <c r="BN89" s="841"/>
      <c r="BO89" s="803"/>
      <c r="BP89" s="841"/>
      <c r="BQ89" s="841"/>
      <c r="BR89" s="841"/>
      <c r="BS89" s="803"/>
      <c r="BT89" s="803"/>
      <c r="BU89" s="841"/>
      <c r="BV89" s="841"/>
      <c r="BW89" s="841"/>
      <c r="BX89" s="803"/>
      <c r="BY89" s="803"/>
      <c r="BZ89" s="841"/>
      <c r="CA89" s="841"/>
      <c r="CB89" s="841"/>
      <c r="CC89" s="803"/>
      <c r="CD89" s="803"/>
      <c r="CE89" s="841"/>
      <c r="CF89" s="841"/>
      <c r="CG89" s="841"/>
      <c r="CH89" s="803"/>
      <c r="CI89" s="803"/>
      <c r="CJ89" s="841"/>
      <c r="CK89" s="841"/>
      <c r="CL89" s="841"/>
      <c r="CM89" s="803"/>
      <c r="CN89" s="841"/>
      <c r="CO89" s="841"/>
      <c r="CP89" s="841"/>
      <c r="CQ89" s="841"/>
      <c r="CR89" s="803"/>
      <c r="CS89" s="841"/>
      <c r="CT89" s="841"/>
      <c r="CU89" s="841"/>
      <c r="CV89" s="841"/>
      <c r="CW89" s="803"/>
      <c r="CX89" s="841"/>
      <c r="CY89" s="841"/>
      <c r="CZ89" s="841"/>
      <c r="DA89" s="841"/>
      <c r="DB89" s="803"/>
      <c r="DC89" s="841"/>
      <c r="DD89" s="841"/>
      <c r="DE89" s="841"/>
      <c r="DF89" s="841"/>
      <c r="DG89" s="803"/>
      <c r="DH89" s="841"/>
      <c r="DI89" s="841"/>
      <c r="DJ89" s="841"/>
      <c r="DK89" s="841"/>
      <c r="DL89" s="803"/>
      <c r="DM89" s="841"/>
      <c r="DN89" s="841"/>
      <c r="DO89" s="841"/>
      <c r="DP89" s="841"/>
      <c r="DQ89" s="803"/>
      <c r="DR89" s="841"/>
    </row>
    <row r="90" spans="2:125" x14ac:dyDescent="0.25">
      <c r="H90" s="841"/>
      <c r="I90" s="841"/>
      <c r="J90" s="841"/>
      <c r="K90" s="803"/>
      <c r="L90" s="803"/>
      <c r="M90" s="841"/>
      <c r="N90" s="841"/>
      <c r="O90" s="841"/>
      <c r="P90" s="976"/>
      <c r="Q90" s="976"/>
      <c r="R90" s="841"/>
      <c r="S90" s="841"/>
      <c r="T90" s="841"/>
      <c r="U90" s="806"/>
      <c r="V90" s="803"/>
      <c r="W90" s="841"/>
      <c r="X90" s="841"/>
      <c r="Y90" s="841"/>
      <c r="Z90" s="803"/>
      <c r="AA90" s="803"/>
      <c r="AB90" s="841"/>
      <c r="AC90" s="841"/>
      <c r="AD90" s="841"/>
      <c r="AE90" s="803"/>
      <c r="AF90" s="803"/>
      <c r="AG90" s="841"/>
      <c r="AH90" s="841"/>
      <c r="AI90" s="841"/>
      <c r="AJ90" s="803"/>
      <c r="AK90" s="803"/>
      <c r="AL90" s="841"/>
      <c r="AM90" s="841"/>
      <c r="AN90" s="841"/>
      <c r="AO90" s="803"/>
      <c r="AP90" s="803"/>
      <c r="AQ90" s="841"/>
      <c r="AR90" s="841"/>
      <c r="AS90" s="841"/>
      <c r="AT90" s="803"/>
      <c r="AU90" s="803"/>
      <c r="AV90" s="841"/>
      <c r="AW90" s="841"/>
      <c r="AX90" s="841"/>
      <c r="AY90" s="803"/>
      <c r="AZ90" s="803"/>
      <c r="BA90" s="841"/>
      <c r="BB90" s="841"/>
      <c r="BC90" s="841"/>
      <c r="BD90" s="803"/>
      <c r="BE90" s="803"/>
      <c r="BF90" s="841"/>
      <c r="BG90" s="841"/>
      <c r="BH90" s="841"/>
      <c r="BI90" s="841"/>
      <c r="BJ90" s="841"/>
      <c r="BK90" s="841"/>
      <c r="BL90" s="841"/>
      <c r="BM90" s="841"/>
      <c r="BN90" s="841"/>
      <c r="BO90" s="803"/>
      <c r="BP90" s="841"/>
      <c r="BQ90" s="841"/>
      <c r="BR90" s="841"/>
      <c r="BS90" s="803"/>
      <c r="BT90" s="803"/>
      <c r="BU90" s="841"/>
      <c r="BV90" s="841"/>
      <c r="BW90" s="841"/>
      <c r="BX90" s="803"/>
      <c r="BY90" s="803"/>
      <c r="BZ90" s="841"/>
      <c r="CA90" s="841"/>
      <c r="CB90" s="841"/>
      <c r="CC90" s="803"/>
      <c r="CD90" s="803"/>
      <c r="CE90" s="841"/>
      <c r="CF90" s="841"/>
      <c r="CG90" s="841"/>
      <c r="CH90" s="803"/>
      <c r="CI90" s="803"/>
      <c r="CJ90" s="841"/>
      <c r="CK90" s="841"/>
      <c r="CL90" s="841"/>
      <c r="CM90" s="803"/>
      <c r="CN90" s="841"/>
      <c r="CO90" s="841"/>
      <c r="CP90" s="841"/>
      <c r="CQ90" s="841"/>
      <c r="CR90" s="803"/>
      <c r="CS90" s="841"/>
      <c r="CT90" s="841"/>
      <c r="CU90" s="841"/>
      <c r="CV90" s="841"/>
      <c r="CW90" s="803"/>
      <c r="CX90" s="841"/>
      <c r="CY90" s="841"/>
      <c r="CZ90" s="841"/>
      <c r="DA90" s="841"/>
      <c r="DB90" s="803"/>
      <c r="DC90" s="841"/>
      <c r="DD90" s="841"/>
      <c r="DE90" s="841"/>
      <c r="DF90" s="841"/>
      <c r="DG90" s="803"/>
      <c r="DH90" s="841"/>
      <c r="DI90" s="841"/>
      <c r="DJ90" s="841"/>
      <c r="DK90" s="841"/>
      <c r="DL90" s="803"/>
      <c r="DM90" s="841"/>
      <c r="DN90" s="841"/>
      <c r="DO90" s="841"/>
      <c r="DP90" s="841"/>
      <c r="DQ90" s="803"/>
      <c r="DR90" s="841"/>
    </row>
    <row r="91" spans="2:125" x14ac:dyDescent="0.25">
      <c r="H91" s="841"/>
      <c r="I91" s="841"/>
      <c r="J91" s="841"/>
      <c r="K91" s="803"/>
      <c r="L91" s="803"/>
      <c r="M91" s="841"/>
      <c r="N91" s="841"/>
      <c r="O91" s="841"/>
      <c r="P91" s="976"/>
      <c r="Q91" s="976"/>
      <c r="R91" s="841"/>
      <c r="S91" s="841"/>
      <c r="T91" s="841"/>
      <c r="U91" s="806"/>
      <c r="V91" s="803"/>
      <c r="W91" s="841"/>
      <c r="X91" s="841"/>
      <c r="Y91" s="841"/>
      <c r="Z91" s="803"/>
      <c r="AA91" s="803"/>
      <c r="AB91" s="841"/>
      <c r="AC91" s="841"/>
      <c r="AD91" s="841"/>
      <c r="AE91" s="803"/>
      <c r="AF91" s="803"/>
      <c r="AG91" s="841"/>
      <c r="AH91" s="841"/>
      <c r="AI91" s="841"/>
      <c r="AJ91" s="803"/>
      <c r="AK91" s="803"/>
      <c r="AL91" s="841"/>
      <c r="AM91" s="841"/>
      <c r="AN91" s="841"/>
      <c r="AO91" s="803"/>
      <c r="AP91" s="803"/>
      <c r="AQ91" s="841"/>
      <c r="AR91" s="841"/>
      <c r="AS91" s="841"/>
      <c r="AT91" s="803"/>
      <c r="AU91" s="803"/>
      <c r="AV91" s="841"/>
      <c r="AW91" s="841"/>
      <c r="AX91" s="841"/>
      <c r="AY91" s="803"/>
      <c r="AZ91" s="803"/>
      <c r="BA91" s="841"/>
      <c r="BB91" s="841"/>
      <c r="BC91" s="841"/>
      <c r="BD91" s="803"/>
      <c r="BE91" s="803"/>
      <c r="BF91" s="841"/>
      <c r="BG91" s="841"/>
      <c r="BH91" s="841"/>
      <c r="BI91" s="841"/>
      <c r="BJ91" s="841"/>
      <c r="BK91" s="841"/>
      <c r="BL91" s="841"/>
      <c r="BM91" s="841"/>
      <c r="BN91" s="841"/>
      <c r="BO91" s="803"/>
      <c r="BP91" s="841"/>
      <c r="BQ91" s="841"/>
      <c r="BR91" s="841"/>
      <c r="BS91" s="803"/>
      <c r="BT91" s="803"/>
      <c r="BU91" s="841"/>
      <c r="BV91" s="841"/>
      <c r="BW91" s="841"/>
      <c r="BX91" s="803"/>
      <c r="BY91" s="803"/>
      <c r="BZ91" s="841"/>
      <c r="CA91" s="841"/>
      <c r="CB91" s="841"/>
      <c r="CC91" s="803"/>
      <c r="CD91" s="803"/>
      <c r="CE91" s="841"/>
      <c r="CF91" s="841"/>
      <c r="CG91" s="841"/>
      <c r="CH91" s="803"/>
      <c r="CI91" s="803"/>
      <c r="CJ91" s="841"/>
      <c r="CK91" s="841"/>
      <c r="CL91" s="841"/>
      <c r="CM91" s="803"/>
      <c r="CN91" s="841"/>
      <c r="CO91" s="841"/>
      <c r="CP91" s="841"/>
      <c r="CQ91" s="841"/>
      <c r="CR91" s="803"/>
      <c r="CS91" s="841"/>
      <c r="CT91" s="841"/>
      <c r="CU91" s="841"/>
      <c r="CV91" s="841"/>
      <c r="CW91" s="803"/>
      <c r="CX91" s="841"/>
      <c r="CY91" s="841"/>
      <c r="CZ91" s="841"/>
      <c r="DA91" s="841"/>
      <c r="DB91" s="803"/>
      <c r="DC91" s="841"/>
      <c r="DD91" s="841"/>
      <c r="DE91" s="841"/>
      <c r="DF91" s="841"/>
      <c r="DG91" s="803"/>
      <c r="DH91" s="841"/>
      <c r="DI91" s="841"/>
      <c r="DJ91" s="841"/>
      <c r="DK91" s="841"/>
      <c r="DL91" s="803"/>
      <c r="DM91" s="841"/>
      <c r="DN91" s="841"/>
      <c r="DO91" s="841"/>
      <c r="DP91" s="841"/>
      <c r="DQ91" s="803"/>
      <c r="DR91" s="841"/>
    </row>
    <row r="92" spans="2:125" x14ac:dyDescent="0.25">
      <c r="H92" s="841"/>
      <c r="I92" s="841"/>
      <c r="J92" s="841"/>
      <c r="K92" s="803"/>
      <c r="L92" s="803"/>
      <c r="M92" s="841"/>
      <c r="N92" s="841"/>
      <c r="O92" s="841"/>
      <c r="P92" s="976"/>
      <c r="Q92" s="976"/>
      <c r="R92" s="841"/>
      <c r="S92" s="841"/>
      <c r="T92" s="841"/>
      <c r="U92" s="806"/>
      <c r="V92" s="803"/>
      <c r="W92" s="841"/>
      <c r="X92" s="841"/>
      <c r="Y92" s="841"/>
      <c r="Z92" s="803"/>
      <c r="AA92" s="803"/>
      <c r="AB92" s="841"/>
      <c r="AC92" s="841"/>
      <c r="AD92" s="841"/>
      <c r="AE92" s="803"/>
      <c r="AF92" s="803"/>
      <c r="AG92" s="841"/>
      <c r="AH92" s="841"/>
      <c r="AI92" s="841"/>
      <c r="AJ92" s="803"/>
      <c r="AK92" s="803"/>
      <c r="AL92" s="841"/>
      <c r="AM92" s="841"/>
      <c r="AN92" s="841"/>
      <c r="AO92" s="803"/>
      <c r="AP92" s="803"/>
      <c r="AQ92" s="841"/>
      <c r="AR92" s="841"/>
      <c r="AS92" s="841"/>
      <c r="AT92" s="803"/>
      <c r="AU92" s="803"/>
      <c r="AV92" s="841"/>
      <c r="AW92" s="841"/>
      <c r="AX92" s="841"/>
      <c r="AY92" s="803"/>
      <c r="AZ92" s="803"/>
      <c r="BA92" s="841"/>
      <c r="BB92" s="841"/>
      <c r="BC92" s="841"/>
      <c r="BD92" s="803"/>
      <c r="BE92" s="803"/>
      <c r="BF92" s="841"/>
      <c r="BG92" s="841"/>
      <c r="BH92" s="841"/>
      <c r="BI92" s="841"/>
      <c r="BJ92" s="841"/>
      <c r="BK92" s="841"/>
      <c r="BL92" s="841"/>
      <c r="BM92" s="841"/>
      <c r="BN92" s="841"/>
      <c r="BO92" s="803"/>
      <c r="BP92" s="841"/>
      <c r="BQ92" s="841"/>
      <c r="BR92" s="841"/>
      <c r="BS92" s="803"/>
      <c r="BT92" s="803"/>
      <c r="BU92" s="841"/>
      <c r="BV92" s="841"/>
      <c r="BW92" s="841"/>
      <c r="BX92" s="803"/>
      <c r="BY92" s="803"/>
      <c r="BZ92" s="841"/>
      <c r="CA92" s="841"/>
      <c r="CB92" s="841"/>
      <c r="CC92" s="803"/>
      <c r="CD92" s="803"/>
      <c r="CE92" s="841"/>
      <c r="CF92" s="841"/>
      <c r="CG92" s="841"/>
      <c r="CH92" s="803"/>
      <c r="CI92" s="803"/>
      <c r="CJ92" s="841"/>
      <c r="CK92" s="841"/>
      <c r="CL92" s="841"/>
      <c r="CM92" s="803"/>
      <c r="CN92" s="841"/>
      <c r="CO92" s="841"/>
      <c r="CP92" s="841"/>
      <c r="CQ92" s="841"/>
      <c r="CR92" s="803"/>
      <c r="CS92" s="841"/>
      <c r="CT92" s="841"/>
      <c r="CU92" s="841"/>
      <c r="CV92" s="841"/>
      <c r="CW92" s="803"/>
      <c r="CX92" s="841"/>
      <c r="CY92" s="841"/>
      <c r="CZ92" s="841"/>
      <c r="DA92" s="841"/>
      <c r="DB92" s="803"/>
      <c r="DC92" s="841"/>
      <c r="DD92" s="841"/>
      <c r="DE92" s="841"/>
      <c r="DF92" s="841"/>
      <c r="DG92" s="803"/>
      <c r="DH92" s="841"/>
      <c r="DI92" s="841"/>
      <c r="DJ92" s="841"/>
      <c r="DK92" s="841"/>
      <c r="DL92" s="803"/>
      <c r="DM92" s="841"/>
      <c r="DN92" s="841"/>
      <c r="DO92" s="841"/>
      <c r="DP92" s="841"/>
      <c r="DQ92" s="803"/>
      <c r="DR92" s="841"/>
    </row>
    <row r="93" spans="2:125" x14ac:dyDescent="0.25">
      <c r="H93" s="841"/>
      <c r="I93" s="841"/>
      <c r="J93" s="841"/>
      <c r="K93" s="803"/>
      <c r="L93" s="803"/>
      <c r="M93" s="841"/>
      <c r="N93" s="841"/>
      <c r="O93" s="841"/>
      <c r="P93" s="976"/>
      <c r="Q93" s="976"/>
      <c r="R93" s="841"/>
      <c r="S93" s="841"/>
      <c r="T93" s="841"/>
      <c r="U93" s="806"/>
      <c r="V93" s="803"/>
      <c r="W93" s="841"/>
      <c r="X93" s="841"/>
      <c r="Y93" s="841"/>
      <c r="Z93" s="803"/>
      <c r="AA93" s="803"/>
      <c r="AB93" s="841"/>
      <c r="AC93" s="841"/>
      <c r="AD93" s="841"/>
      <c r="AE93" s="803"/>
      <c r="AF93" s="803"/>
      <c r="AG93" s="841"/>
      <c r="AH93" s="841"/>
      <c r="AI93" s="841"/>
      <c r="AJ93" s="803"/>
      <c r="AK93" s="803"/>
      <c r="AL93" s="841"/>
      <c r="AM93" s="841"/>
      <c r="AN93" s="841"/>
      <c r="AO93" s="803"/>
      <c r="AP93" s="803"/>
      <c r="AQ93" s="841"/>
      <c r="AR93" s="841"/>
      <c r="AS93" s="841"/>
      <c r="AT93" s="803"/>
      <c r="AU93" s="803"/>
      <c r="AV93" s="841"/>
      <c r="AW93" s="841"/>
      <c r="AX93" s="841"/>
      <c r="AY93" s="803"/>
      <c r="AZ93" s="803"/>
      <c r="BA93" s="841"/>
      <c r="BB93" s="841"/>
      <c r="BC93" s="841"/>
      <c r="BD93" s="803"/>
      <c r="BE93" s="803"/>
      <c r="BF93" s="841"/>
      <c r="BG93" s="841"/>
      <c r="BH93" s="841"/>
      <c r="BI93" s="841"/>
      <c r="BJ93" s="841"/>
      <c r="BK93" s="841"/>
      <c r="BL93" s="841"/>
      <c r="BM93" s="841"/>
      <c r="BN93" s="841"/>
      <c r="BO93" s="803"/>
      <c r="BP93" s="841"/>
      <c r="BQ93" s="841"/>
      <c r="BR93" s="841"/>
      <c r="BS93" s="803"/>
      <c r="BT93" s="803"/>
      <c r="BU93" s="841"/>
      <c r="BV93" s="841"/>
      <c r="BW93" s="841"/>
      <c r="BX93" s="803"/>
      <c r="BY93" s="803"/>
      <c r="BZ93" s="841"/>
      <c r="CA93" s="841"/>
      <c r="CB93" s="841"/>
      <c r="CC93" s="803"/>
      <c r="CD93" s="803"/>
      <c r="CE93" s="841"/>
      <c r="CF93" s="841"/>
      <c r="CG93" s="841"/>
      <c r="CH93" s="803"/>
      <c r="CI93" s="803"/>
      <c r="CJ93" s="841"/>
      <c r="CK93" s="841"/>
      <c r="CL93" s="841"/>
      <c r="CM93" s="803"/>
      <c r="CN93" s="841"/>
      <c r="CO93" s="841"/>
      <c r="CP93" s="841"/>
      <c r="CQ93" s="841"/>
      <c r="CR93" s="803"/>
      <c r="CS93" s="841"/>
      <c r="CT93" s="841"/>
      <c r="CU93" s="841"/>
      <c r="CV93" s="841"/>
      <c r="CW93" s="803"/>
      <c r="CX93" s="841"/>
      <c r="CY93" s="841"/>
      <c r="CZ93" s="841"/>
      <c r="DA93" s="841"/>
      <c r="DB93" s="803"/>
      <c r="DC93" s="841"/>
      <c r="DD93" s="841"/>
      <c r="DE93" s="841"/>
      <c r="DF93" s="841"/>
      <c r="DG93" s="803"/>
      <c r="DH93" s="841"/>
      <c r="DI93" s="841"/>
      <c r="DJ93" s="841"/>
      <c r="DK93" s="841"/>
      <c r="DL93" s="803"/>
      <c r="DM93" s="841"/>
      <c r="DN93" s="841"/>
      <c r="DO93" s="841"/>
      <c r="DP93" s="841"/>
      <c r="DQ93" s="803"/>
      <c r="DR93" s="841"/>
    </row>
    <row r="94" spans="2:125" x14ac:dyDescent="0.25">
      <c r="H94" s="841"/>
      <c r="I94" s="841"/>
      <c r="J94" s="841"/>
      <c r="K94" s="803"/>
      <c r="L94" s="803"/>
      <c r="M94" s="841"/>
      <c r="N94" s="841"/>
      <c r="O94" s="841"/>
      <c r="P94" s="976"/>
      <c r="Q94" s="976"/>
      <c r="R94" s="841"/>
      <c r="S94" s="841"/>
      <c r="T94" s="841"/>
      <c r="U94" s="806"/>
      <c r="V94" s="803"/>
      <c r="W94" s="841"/>
      <c r="X94" s="841"/>
      <c r="Y94" s="841"/>
      <c r="Z94" s="803"/>
      <c r="AA94" s="803"/>
      <c r="AB94" s="841"/>
      <c r="AC94" s="841"/>
      <c r="AD94" s="841"/>
      <c r="AE94" s="803"/>
      <c r="AF94" s="803"/>
      <c r="AG94" s="841"/>
      <c r="AH94" s="841"/>
      <c r="AI94" s="841"/>
      <c r="AJ94" s="803"/>
      <c r="AK94" s="803"/>
      <c r="AL94" s="841"/>
      <c r="AM94" s="841"/>
      <c r="AN94" s="841"/>
      <c r="AO94" s="803"/>
      <c r="AP94" s="803"/>
      <c r="AQ94" s="841"/>
      <c r="AR94" s="841"/>
      <c r="AS94" s="841"/>
      <c r="AT94" s="803"/>
      <c r="AU94" s="803"/>
      <c r="AV94" s="841"/>
      <c r="AW94" s="841"/>
      <c r="AX94" s="841"/>
      <c r="AY94" s="803"/>
      <c r="AZ94" s="803"/>
      <c r="BA94" s="841"/>
      <c r="BB94" s="841"/>
      <c r="BC94" s="841"/>
      <c r="BD94" s="803"/>
      <c r="BE94" s="803"/>
      <c r="BF94" s="841"/>
      <c r="BG94" s="841"/>
      <c r="BH94" s="841"/>
      <c r="BI94" s="841"/>
      <c r="BJ94" s="841"/>
      <c r="BK94" s="841"/>
      <c r="BL94" s="841"/>
      <c r="BM94" s="841"/>
      <c r="BN94" s="841"/>
      <c r="BO94" s="803"/>
      <c r="BP94" s="841"/>
      <c r="BQ94" s="841"/>
      <c r="BR94" s="841"/>
      <c r="BS94" s="803"/>
      <c r="BT94" s="803"/>
      <c r="BU94" s="841"/>
      <c r="BV94" s="841"/>
      <c r="BW94" s="841"/>
      <c r="BX94" s="803"/>
      <c r="BY94" s="803"/>
      <c r="BZ94" s="841"/>
      <c r="CA94" s="841"/>
      <c r="CB94" s="841"/>
      <c r="CC94" s="803"/>
      <c r="CD94" s="803"/>
      <c r="CE94" s="841"/>
      <c r="CF94" s="841"/>
      <c r="CG94" s="841"/>
      <c r="CH94" s="803"/>
      <c r="CI94" s="803"/>
      <c r="CJ94" s="841"/>
      <c r="CK94" s="841"/>
      <c r="CL94" s="841"/>
      <c r="CM94" s="803"/>
      <c r="CN94" s="841"/>
      <c r="CO94" s="841"/>
      <c r="CP94" s="841"/>
      <c r="CQ94" s="841"/>
      <c r="CR94" s="803"/>
      <c r="CS94" s="841"/>
      <c r="CT94" s="841"/>
      <c r="CU94" s="841"/>
      <c r="CV94" s="841"/>
      <c r="CW94" s="803"/>
      <c r="CX94" s="841"/>
      <c r="CY94" s="841"/>
      <c r="CZ94" s="841"/>
      <c r="DA94" s="841"/>
      <c r="DB94" s="803"/>
      <c r="DC94" s="841"/>
      <c r="DD94" s="841"/>
      <c r="DE94" s="841"/>
      <c r="DF94" s="841"/>
      <c r="DG94" s="803"/>
      <c r="DH94" s="841"/>
      <c r="DI94" s="841"/>
      <c r="DJ94" s="841"/>
      <c r="DK94" s="841"/>
      <c r="DL94" s="803"/>
      <c r="DM94" s="841"/>
      <c r="DN94" s="841"/>
      <c r="DO94" s="841"/>
      <c r="DP94" s="841"/>
      <c r="DQ94" s="803"/>
      <c r="DR94" s="841"/>
    </row>
    <row r="95" spans="2:125" x14ac:dyDescent="0.25">
      <c r="H95" s="841"/>
      <c r="I95" s="841"/>
      <c r="J95" s="841"/>
      <c r="K95" s="803"/>
      <c r="L95" s="803"/>
      <c r="M95" s="841"/>
      <c r="N95" s="841"/>
      <c r="O95" s="841"/>
      <c r="P95" s="976"/>
      <c r="Q95" s="976"/>
      <c r="R95" s="841"/>
      <c r="S95" s="841"/>
      <c r="T95" s="841"/>
      <c r="U95" s="806"/>
      <c r="V95" s="803"/>
      <c r="W95" s="841"/>
      <c r="X95" s="841"/>
      <c r="Y95" s="841"/>
      <c r="Z95" s="803"/>
      <c r="AA95" s="803"/>
      <c r="AB95" s="841"/>
      <c r="AC95" s="841"/>
      <c r="AD95" s="841"/>
      <c r="AE95" s="803"/>
      <c r="AF95" s="803"/>
      <c r="AG95" s="841"/>
      <c r="AH95" s="841"/>
      <c r="AI95" s="841"/>
      <c r="AJ95" s="803"/>
      <c r="AK95" s="803"/>
      <c r="AL95" s="841"/>
      <c r="AM95" s="841"/>
      <c r="AN95" s="841"/>
      <c r="AO95" s="803"/>
      <c r="AP95" s="803"/>
      <c r="AQ95" s="841"/>
      <c r="AR95" s="841"/>
      <c r="AS95" s="841"/>
      <c r="AT95" s="803"/>
      <c r="AU95" s="803"/>
      <c r="AV95" s="841"/>
      <c r="AW95" s="841"/>
      <c r="AX95" s="841"/>
      <c r="AY95" s="803"/>
      <c r="AZ95" s="803"/>
      <c r="BA95" s="841"/>
      <c r="BB95" s="841"/>
      <c r="BC95" s="841"/>
      <c r="BD95" s="803"/>
      <c r="BE95" s="803"/>
      <c r="BF95" s="841"/>
      <c r="BG95" s="841"/>
      <c r="BH95" s="841"/>
      <c r="BI95" s="841"/>
      <c r="BJ95" s="841"/>
      <c r="BK95" s="841"/>
      <c r="BL95" s="841"/>
      <c r="BM95" s="841"/>
      <c r="BN95" s="841"/>
      <c r="BO95" s="803"/>
      <c r="BP95" s="841"/>
      <c r="BQ95" s="841"/>
      <c r="BR95" s="841"/>
      <c r="BS95" s="803"/>
      <c r="BT95" s="803"/>
      <c r="BU95" s="841"/>
      <c r="BV95" s="841"/>
      <c r="BW95" s="841"/>
      <c r="BX95" s="803"/>
      <c r="BY95" s="803"/>
      <c r="BZ95" s="841"/>
      <c r="CA95" s="841"/>
      <c r="CB95" s="841"/>
      <c r="CC95" s="803"/>
      <c r="CD95" s="803"/>
      <c r="CE95" s="841"/>
      <c r="CF95" s="841"/>
      <c r="CG95" s="841"/>
      <c r="CH95" s="803"/>
      <c r="CI95" s="803"/>
      <c r="CJ95" s="841"/>
      <c r="CK95" s="841"/>
      <c r="CL95" s="841"/>
      <c r="CM95" s="803"/>
      <c r="CN95" s="841"/>
      <c r="CO95" s="841"/>
      <c r="CP95" s="841"/>
      <c r="CQ95" s="841"/>
      <c r="CR95" s="803"/>
      <c r="CS95" s="841"/>
      <c r="CT95" s="841"/>
      <c r="CU95" s="841"/>
      <c r="CV95" s="841"/>
      <c r="CW95" s="803"/>
      <c r="CX95" s="841"/>
      <c r="CY95" s="841"/>
      <c r="CZ95" s="841"/>
      <c r="DA95" s="841"/>
      <c r="DB95" s="803"/>
      <c r="DC95" s="841"/>
      <c r="DD95" s="841"/>
      <c r="DE95" s="841"/>
      <c r="DF95" s="841"/>
      <c r="DG95" s="803"/>
      <c r="DH95" s="841"/>
      <c r="DI95" s="841"/>
      <c r="DJ95" s="841"/>
      <c r="DK95" s="841"/>
      <c r="DL95" s="803"/>
      <c r="DM95" s="841"/>
      <c r="DN95" s="841"/>
      <c r="DO95" s="841"/>
      <c r="DP95" s="841"/>
      <c r="DQ95" s="803"/>
      <c r="DR95" s="841"/>
    </row>
    <row r="96" spans="2:125" x14ac:dyDescent="0.25">
      <c r="H96" s="841"/>
      <c r="I96" s="841"/>
      <c r="J96" s="841"/>
      <c r="K96" s="803"/>
      <c r="L96" s="803"/>
      <c r="M96" s="841"/>
      <c r="N96" s="841"/>
      <c r="O96" s="841"/>
      <c r="P96" s="976"/>
      <c r="Q96" s="976"/>
      <c r="R96" s="841"/>
      <c r="S96" s="841"/>
      <c r="T96" s="841"/>
      <c r="U96" s="806"/>
      <c r="V96" s="803"/>
      <c r="W96" s="841"/>
      <c r="X96" s="841"/>
      <c r="Y96" s="841"/>
      <c r="Z96" s="803"/>
      <c r="AA96" s="803"/>
      <c r="AB96" s="841"/>
      <c r="AC96" s="841"/>
      <c r="AD96" s="841"/>
      <c r="AE96" s="803"/>
      <c r="AF96" s="803"/>
      <c r="AG96" s="841"/>
      <c r="AH96" s="841"/>
      <c r="AI96" s="841"/>
      <c r="AJ96" s="803"/>
      <c r="AK96" s="803"/>
      <c r="AL96" s="841"/>
      <c r="AM96" s="841"/>
      <c r="AN96" s="841"/>
      <c r="AO96" s="803"/>
      <c r="AP96" s="803"/>
      <c r="AQ96" s="841"/>
      <c r="AR96" s="841"/>
      <c r="AS96" s="841"/>
      <c r="AT96" s="803"/>
      <c r="AU96" s="803"/>
      <c r="AV96" s="841"/>
      <c r="AW96" s="841"/>
      <c r="AX96" s="841"/>
      <c r="AY96" s="803"/>
      <c r="AZ96" s="803"/>
      <c r="BA96" s="841"/>
      <c r="BB96" s="841"/>
      <c r="BC96" s="841"/>
      <c r="BD96" s="803"/>
      <c r="BE96" s="803"/>
      <c r="BF96" s="841"/>
      <c r="BG96" s="841"/>
      <c r="BH96" s="841"/>
      <c r="BI96" s="841"/>
      <c r="BJ96" s="841"/>
      <c r="BK96" s="841"/>
      <c r="BL96" s="841"/>
      <c r="BM96" s="841"/>
      <c r="BN96" s="841"/>
      <c r="BO96" s="803"/>
      <c r="BP96" s="841"/>
      <c r="BQ96" s="841"/>
      <c r="BR96" s="841"/>
      <c r="BS96" s="803"/>
      <c r="BT96" s="803"/>
      <c r="BU96" s="841"/>
      <c r="BV96" s="841"/>
      <c r="BW96" s="841"/>
      <c r="BX96" s="803"/>
      <c r="BY96" s="803"/>
      <c r="BZ96" s="841"/>
      <c r="CA96" s="841"/>
      <c r="CB96" s="841"/>
      <c r="CC96" s="803"/>
      <c r="CD96" s="803"/>
      <c r="CE96" s="841"/>
      <c r="CF96" s="841"/>
      <c r="CG96" s="841"/>
      <c r="CH96" s="803"/>
      <c r="CI96" s="803"/>
      <c r="CJ96" s="841"/>
      <c r="CK96" s="841"/>
      <c r="CL96" s="841"/>
      <c r="CM96" s="803"/>
      <c r="CN96" s="841"/>
      <c r="CO96" s="841"/>
      <c r="CP96" s="841"/>
      <c r="CQ96" s="841"/>
      <c r="CR96" s="803"/>
      <c r="CS96" s="841"/>
      <c r="CT96" s="841"/>
      <c r="CU96" s="841"/>
      <c r="CV96" s="841"/>
      <c r="CW96" s="803"/>
      <c r="CX96" s="841"/>
      <c r="CY96" s="841"/>
      <c r="CZ96" s="841"/>
      <c r="DA96" s="841"/>
      <c r="DB96" s="803"/>
      <c r="DC96" s="841"/>
      <c r="DD96" s="841"/>
      <c r="DE96" s="841"/>
      <c r="DF96" s="841"/>
      <c r="DG96" s="803"/>
      <c r="DH96" s="841"/>
      <c r="DI96" s="841"/>
      <c r="DJ96" s="841"/>
      <c r="DK96" s="841"/>
      <c r="DL96" s="803"/>
      <c r="DM96" s="841"/>
      <c r="DN96" s="841"/>
      <c r="DO96" s="841"/>
      <c r="DP96" s="841"/>
      <c r="DQ96" s="803"/>
      <c r="DR96" s="841"/>
    </row>
    <row r="97" spans="8:122" x14ac:dyDescent="0.25">
      <c r="H97" s="841"/>
      <c r="I97" s="841"/>
      <c r="J97" s="841"/>
      <c r="K97" s="803"/>
      <c r="L97" s="803"/>
      <c r="M97" s="841"/>
      <c r="N97" s="841"/>
      <c r="O97" s="841"/>
      <c r="P97" s="976"/>
      <c r="Q97" s="976"/>
      <c r="R97" s="841"/>
      <c r="S97" s="841"/>
      <c r="T97" s="841"/>
      <c r="U97" s="806"/>
      <c r="V97" s="803"/>
      <c r="W97" s="841"/>
      <c r="X97" s="841"/>
      <c r="Y97" s="841"/>
      <c r="Z97" s="803"/>
      <c r="AA97" s="803"/>
      <c r="AB97" s="841"/>
      <c r="AC97" s="841"/>
      <c r="AD97" s="841"/>
      <c r="AE97" s="803"/>
      <c r="AF97" s="803"/>
      <c r="AG97" s="841"/>
      <c r="AH97" s="841"/>
      <c r="AI97" s="841"/>
      <c r="AJ97" s="803"/>
      <c r="AK97" s="803"/>
      <c r="AL97" s="841"/>
      <c r="AM97" s="841"/>
      <c r="AN97" s="841"/>
      <c r="AO97" s="803"/>
      <c r="AP97" s="803"/>
      <c r="AQ97" s="841"/>
      <c r="AR97" s="841"/>
      <c r="AS97" s="841"/>
      <c r="AT97" s="803"/>
      <c r="AU97" s="803"/>
      <c r="AV97" s="841"/>
      <c r="AW97" s="841"/>
      <c r="AX97" s="841"/>
      <c r="AY97" s="803"/>
      <c r="AZ97" s="803"/>
      <c r="BA97" s="841"/>
      <c r="BB97" s="841"/>
      <c r="BC97" s="841"/>
      <c r="BD97" s="803"/>
      <c r="BE97" s="803"/>
      <c r="BF97" s="841"/>
      <c r="BG97" s="841"/>
      <c r="BH97" s="841"/>
      <c r="BI97" s="841"/>
      <c r="BJ97" s="841"/>
      <c r="BK97" s="841"/>
      <c r="BL97" s="841"/>
      <c r="BM97" s="841"/>
      <c r="BN97" s="841"/>
      <c r="BO97" s="803"/>
      <c r="BP97" s="841"/>
      <c r="BQ97" s="841"/>
      <c r="BR97" s="841"/>
      <c r="BS97" s="803"/>
      <c r="BT97" s="803"/>
      <c r="BU97" s="841"/>
      <c r="BV97" s="841"/>
      <c r="BW97" s="841"/>
      <c r="BX97" s="803"/>
      <c r="BY97" s="803"/>
      <c r="BZ97" s="841"/>
      <c r="CA97" s="841"/>
      <c r="CB97" s="841"/>
      <c r="CC97" s="803"/>
      <c r="CD97" s="803"/>
      <c r="CE97" s="841"/>
      <c r="CF97" s="841"/>
      <c r="CG97" s="841"/>
      <c r="CH97" s="803"/>
      <c r="CI97" s="803"/>
      <c r="CJ97" s="841"/>
      <c r="CK97" s="841"/>
      <c r="CL97" s="841"/>
      <c r="CM97" s="803"/>
      <c r="CN97" s="841"/>
      <c r="CO97" s="841"/>
      <c r="CP97" s="841"/>
      <c r="CQ97" s="841"/>
      <c r="CR97" s="803"/>
      <c r="CS97" s="841"/>
      <c r="CT97" s="841"/>
      <c r="CU97" s="841"/>
      <c r="CV97" s="841"/>
      <c r="CW97" s="803"/>
      <c r="CX97" s="841"/>
      <c r="CY97" s="841"/>
      <c r="CZ97" s="841"/>
      <c r="DA97" s="841"/>
      <c r="DB97" s="803"/>
      <c r="DC97" s="841"/>
      <c r="DD97" s="841"/>
      <c r="DE97" s="841"/>
      <c r="DF97" s="841"/>
      <c r="DG97" s="803"/>
      <c r="DH97" s="841"/>
      <c r="DI97" s="841"/>
      <c r="DJ97" s="841"/>
      <c r="DK97" s="841"/>
      <c r="DL97" s="803"/>
      <c r="DM97" s="841"/>
      <c r="DN97" s="841"/>
      <c r="DO97" s="841"/>
      <c r="DP97" s="841"/>
      <c r="DQ97" s="803"/>
      <c r="DR97" s="841"/>
    </row>
    <row r="98" spans="8:122" x14ac:dyDescent="0.25">
      <c r="P98" s="976"/>
      <c r="Q98" s="976"/>
    </row>
    <row r="99" spans="8:122" x14ac:dyDescent="0.25">
      <c r="P99" s="976"/>
      <c r="Q99" s="976"/>
    </row>
    <row r="100" spans="8:122" x14ac:dyDescent="0.25">
      <c r="P100" s="976"/>
      <c r="Q100" s="976"/>
    </row>
    <row r="101" spans="8:122" x14ac:dyDescent="0.25">
      <c r="P101" s="976"/>
      <c r="Q101" s="976"/>
    </row>
    <row r="102" spans="8:122" x14ac:dyDescent="0.25">
      <c r="P102" s="976"/>
      <c r="Q102" s="976"/>
    </row>
    <row r="103" spans="8:122" x14ac:dyDescent="0.25">
      <c r="P103" s="976"/>
      <c r="Q103" s="976"/>
    </row>
    <row r="104" spans="8:122" x14ac:dyDescent="0.25">
      <c r="P104" s="976"/>
      <c r="Q104" s="976"/>
    </row>
    <row r="105" spans="8:122" x14ac:dyDescent="0.25">
      <c r="P105" s="976"/>
      <c r="Q105" s="976"/>
    </row>
    <row r="106" spans="8:122" x14ac:dyDescent="0.25">
      <c r="P106" s="976"/>
      <c r="Q106" s="976"/>
    </row>
    <row r="107" spans="8:122" x14ac:dyDescent="0.25">
      <c r="P107" s="976"/>
      <c r="Q107" s="976"/>
    </row>
    <row r="108" spans="8:122" x14ac:dyDescent="0.25">
      <c r="P108" s="976"/>
      <c r="Q108" s="976"/>
    </row>
    <row r="109" spans="8:122" x14ac:dyDescent="0.25">
      <c r="P109" s="976"/>
      <c r="Q109" s="976"/>
    </row>
    <row r="110" spans="8:122" x14ac:dyDescent="0.25">
      <c r="P110" s="976"/>
      <c r="Q110" s="976"/>
    </row>
    <row r="111" spans="8:122" x14ac:dyDescent="0.25">
      <c r="P111" s="976"/>
      <c r="Q111" s="976"/>
    </row>
    <row r="112" spans="8:122" x14ac:dyDescent="0.25">
      <c r="P112" s="976"/>
      <c r="Q112" s="976"/>
    </row>
    <row r="113" spans="16:17" x14ac:dyDescent="0.25">
      <c r="P113" s="976"/>
      <c r="Q113" s="976"/>
    </row>
    <row r="114" spans="16:17" x14ac:dyDescent="0.25">
      <c r="P114" s="976"/>
      <c r="Q114" s="976"/>
    </row>
    <row r="115" spans="16:17" x14ac:dyDescent="0.25">
      <c r="P115" s="976"/>
      <c r="Q115" s="976"/>
    </row>
    <row r="116" spans="16:17" x14ac:dyDescent="0.25">
      <c r="P116" s="976"/>
      <c r="Q116" s="976"/>
    </row>
    <row r="117" spans="16:17" x14ac:dyDescent="0.25">
      <c r="P117" s="976"/>
      <c r="Q117" s="976"/>
    </row>
    <row r="118" spans="16:17" x14ac:dyDescent="0.25">
      <c r="P118" s="976"/>
      <c r="Q118" s="976"/>
    </row>
    <row r="119" spans="16:17" x14ac:dyDescent="0.25">
      <c r="P119" s="976"/>
      <c r="Q119" s="976"/>
    </row>
    <row r="120" spans="16:17" x14ac:dyDescent="0.25">
      <c r="P120" s="976"/>
      <c r="Q120" s="976"/>
    </row>
    <row r="121" spans="16:17" x14ac:dyDescent="0.25">
      <c r="P121" s="976"/>
      <c r="Q121" s="976"/>
    </row>
    <row r="122" spans="16:17" x14ac:dyDescent="0.25">
      <c r="P122" s="976"/>
      <c r="Q122" s="976"/>
    </row>
    <row r="123" spans="16:17" x14ac:dyDescent="0.25">
      <c r="P123" s="976"/>
      <c r="Q123" s="976"/>
    </row>
    <row r="124" spans="16:17" x14ac:dyDescent="0.25">
      <c r="P124" s="976"/>
      <c r="Q124" s="976"/>
    </row>
    <row r="125" spans="16:17" x14ac:dyDescent="0.25">
      <c r="P125" s="976"/>
      <c r="Q125" s="976"/>
    </row>
    <row r="126" spans="16:17" x14ac:dyDescent="0.25">
      <c r="P126" s="976"/>
      <c r="Q126" s="976"/>
    </row>
    <row r="127" spans="16:17" x14ac:dyDescent="0.25">
      <c r="P127" s="976"/>
      <c r="Q127" s="976"/>
    </row>
    <row r="128" spans="16:17" x14ac:dyDescent="0.25">
      <c r="P128" s="976"/>
      <c r="Q128" s="976"/>
    </row>
    <row r="129" spans="16:17" x14ac:dyDescent="0.25">
      <c r="P129" s="976"/>
      <c r="Q129" s="976"/>
    </row>
    <row r="130" spans="16:17" x14ac:dyDescent="0.25">
      <c r="P130" s="976"/>
      <c r="Q130" s="976"/>
    </row>
    <row r="131" spans="16:17" x14ac:dyDescent="0.25">
      <c r="P131" s="976"/>
      <c r="Q131" s="976"/>
    </row>
    <row r="132" spans="16:17" x14ac:dyDescent="0.25">
      <c r="P132" s="976"/>
      <c r="Q132" s="976"/>
    </row>
    <row r="133" spans="16:17" x14ac:dyDescent="0.25">
      <c r="P133" s="976"/>
      <c r="Q133" s="976"/>
    </row>
    <row r="134" spans="16:17" x14ac:dyDescent="0.25">
      <c r="P134" s="976"/>
      <c r="Q134" s="976"/>
    </row>
    <row r="135" spans="16:17" x14ac:dyDescent="0.25">
      <c r="P135" s="976"/>
      <c r="Q135" s="976"/>
    </row>
    <row r="136" spans="16:17" x14ac:dyDescent="0.25">
      <c r="P136" s="976"/>
      <c r="Q136" s="976"/>
    </row>
    <row r="137" spans="16:17" x14ac:dyDescent="0.25">
      <c r="P137" s="976"/>
      <c r="Q137" s="976"/>
    </row>
    <row r="138" spans="16:17" x14ac:dyDescent="0.25">
      <c r="P138" s="976"/>
      <c r="Q138" s="976"/>
    </row>
    <row r="139" spans="16:17" x14ac:dyDescent="0.25">
      <c r="P139" s="976"/>
      <c r="Q139" s="976"/>
    </row>
    <row r="140" spans="16:17" x14ac:dyDescent="0.25">
      <c r="P140" s="976"/>
      <c r="Q140" s="976"/>
    </row>
    <row r="141" spans="16:17" x14ac:dyDescent="0.25">
      <c r="P141" s="976"/>
      <c r="Q141" s="976"/>
    </row>
    <row r="142" spans="16:17" x14ac:dyDescent="0.25">
      <c r="P142" s="976"/>
      <c r="Q142" s="976"/>
    </row>
    <row r="143" spans="16:17" x14ac:dyDescent="0.25">
      <c r="P143" s="976"/>
      <c r="Q143" s="976"/>
    </row>
    <row r="144" spans="16:17" x14ac:dyDescent="0.25">
      <c r="P144" s="976"/>
      <c r="Q144" s="976"/>
    </row>
    <row r="145" spans="16:17" x14ac:dyDescent="0.25">
      <c r="P145" s="976"/>
      <c r="Q145" s="976"/>
    </row>
    <row r="146" spans="16:17" x14ac:dyDescent="0.25">
      <c r="P146" s="976"/>
      <c r="Q146" s="976"/>
    </row>
    <row r="147" spans="16:17" x14ac:dyDescent="0.25">
      <c r="P147" s="976"/>
      <c r="Q147" s="976"/>
    </row>
    <row r="148" spans="16:17" x14ac:dyDescent="0.25">
      <c r="P148" s="976"/>
      <c r="Q148" s="976"/>
    </row>
    <row r="149" spans="16:17" x14ac:dyDescent="0.25">
      <c r="P149" s="976"/>
      <c r="Q149" s="976"/>
    </row>
    <row r="150" spans="16:17" x14ac:dyDescent="0.25">
      <c r="P150" s="976"/>
      <c r="Q150" s="976"/>
    </row>
    <row r="151" spans="16:17" x14ac:dyDescent="0.25">
      <c r="P151" s="976"/>
      <c r="Q151" s="976"/>
    </row>
    <row r="152" spans="16:17" x14ac:dyDescent="0.25">
      <c r="P152" s="976"/>
      <c r="Q152" s="976"/>
    </row>
    <row r="153" spans="16:17" x14ac:dyDescent="0.25">
      <c r="P153" s="976"/>
      <c r="Q153" s="976"/>
    </row>
    <row r="154" spans="16:17" x14ac:dyDescent="0.25">
      <c r="P154" s="976"/>
      <c r="Q154" s="976"/>
    </row>
    <row r="155" spans="16:17" x14ac:dyDescent="0.25">
      <c r="P155" s="976"/>
      <c r="Q155" s="976"/>
    </row>
    <row r="156" spans="16:17" x14ac:dyDescent="0.25">
      <c r="P156" s="976"/>
      <c r="Q156" s="976"/>
    </row>
    <row r="157" spans="16:17" x14ac:dyDescent="0.25">
      <c r="P157" s="976"/>
      <c r="Q157" s="976"/>
    </row>
    <row r="158" spans="16:17" x14ac:dyDescent="0.25">
      <c r="P158" s="976"/>
      <c r="Q158" s="976"/>
    </row>
    <row r="159" spans="16:17" x14ac:dyDescent="0.25">
      <c r="P159" s="976"/>
      <c r="Q159" s="976"/>
    </row>
    <row r="160" spans="16:17" x14ac:dyDescent="0.25">
      <c r="P160" s="976"/>
      <c r="Q160" s="976"/>
    </row>
    <row r="161" spans="16:17" x14ac:dyDescent="0.25">
      <c r="P161" s="976"/>
      <c r="Q161" s="976"/>
    </row>
    <row r="162" spans="16:17" x14ac:dyDescent="0.25">
      <c r="P162" s="976"/>
      <c r="Q162" s="976"/>
    </row>
    <row r="163" spans="16:17" x14ac:dyDescent="0.25">
      <c r="P163" s="976"/>
      <c r="Q163" s="976"/>
    </row>
    <row r="164" spans="16:17" x14ac:dyDescent="0.25">
      <c r="P164" s="976"/>
      <c r="Q164" s="976"/>
    </row>
    <row r="165" spans="16:17" x14ac:dyDescent="0.25">
      <c r="P165" s="976"/>
      <c r="Q165" s="976"/>
    </row>
    <row r="166" spans="16:17" x14ac:dyDescent="0.25">
      <c r="P166" s="976"/>
      <c r="Q166" s="976"/>
    </row>
    <row r="167" spans="16:17" x14ac:dyDescent="0.25">
      <c r="P167" s="976"/>
      <c r="Q167" s="976"/>
    </row>
    <row r="168" spans="16:17" x14ac:dyDescent="0.25">
      <c r="P168" s="976"/>
      <c r="Q168" s="976"/>
    </row>
    <row r="169" spans="16:17" x14ac:dyDescent="0.25">
      <c r="P169" s="976"/>
      <c r="Q169" s="976"/>
    </row>
    <row r="170" spans="16:17" x14ac:dyDescent="0.25">
      <c r="P170" s="976"/>
      <c r="Q170" s="976"/>
    </row>
    <row r="171" spans="16:17" x14ac:dyDescent="0.25">
      <c r="P171" s="976"/>
      <c r="Q171" s="976"/>
    </row>
    <row r="172" spans="16:17" x14ac:dyDescent="0.25">
      <c r="P172" s="976"/>
      <c r="Q172" s="976"/>
    </row>
    <row r="173" spans="16:17" x14ac:dyDescent="0.25">
      <c r="P173" s="976"/>
      <c r="Q173" s="976"/>
    </row>
    <row r="174" spans="16:17" x14ac:dyDescent="0.25">
      <c r="P174" s="976"/>
      <c r="Q174" s="976"/>
    </row>
    <row r="175" spans="16:17" x14ac:dyDescent="0.25">
      <c r="P175" s="976"/>
      <c r="Q175" s="976"/>
    </row>
    <row r="176" spans="16:17" x14ac:dyDescent="0.25">
      <c r="P176" s="976"/>
      <c r="Q176" s="976"/>
    </row>
    <row r="177" spans="16:17" x14ac:dyDescent="0.25">
      <c r="P177" s="976"/>
      <c r="Q177" s="976"/>
    </row>
    <row r="178" spans="16:17" x14ac:dyDescent="0.25">
      <c r="P178" s="976"/>
      <c r="Q178" s="976"/>
    </row>
    <row r="179" spans="16:17" x14ac:dyDescent="0.25">
      <c r="P179" s="976"/>
      <c r="Q179" s="976"/>
    </row>
    <row r="180" spans="16:17" x14ac:dyDescent="0.25">
      <c r="P180" s="976"/>
      <c r="Q180" s="976"/>
    </row>
    <row r="181" spans="16:17" x14ac:dyDescent="0.25">
      <c r="P181" s="976"/>
      <c r="Q181" s="976"/>
    </row>
    <row r="182" spans="16:17" x14ac:dyDescent="0.25">
      <c r="P182" s="976"/>
      <c r="Q182" s="976"/>
    </row>
    <row r="183" spans="16:17" x14ac:dyDescent="0.25">
      <c r="P183" s="976"/>
      <c r="Q183" s="976"/>
    </row>
    <row r="184" spans="16:17" x14ac:dyDescent="0.25">
      <c r="P184" s="976"/>
      <c r="Q184" s="976"/>
    </row>
    <row r="185" spans="16:17" x14ac:dyDescent="0.25">
      <c r="P185" s="976"/>
      <c r="Q185" s="976"/>
    </row>
    <row r="186" spans="16:17" x14ac:dyDescent="0.25">
      <c r="P186" s="976"/>
      <c r="Q186" s="976"/>
    </row>
    <row r="187" spans="16:17" x14ac:dyDescent="0.25">
      <c r="P187" s="976"/>
      <c r="Q187" s="976"/>
    </row>
    <row r="188" spans="16:17" x14ac:dyDescent="0.25">
      <c r="P188" s="976"/>
      <c r="Q188" s="976"/>
    </row>
    <row r="189" spans="16:17" x14ac:dyDescent="0.25">
      <c r="P189" s="976"/>
      <c r="Q189" s="976"/>
    </row>
    <row r="190" spans="16:17" x14ac:dyDescent="0.25">
      <c r="P190" s="976"/>
      <c r="Q190" s="976"/>
    </row>
    <row r="191" spans="16:17" x14ac:dyDescent="0.25">
      <c r="P191" s="976"/>
      <c r="Q191" s="976"/>
    </row>
    <row r="192" spans="16:17" x14ac:dyDescent="0.25">
      <c r="P192" s="976"/>
      <c r="Q192" s="976"/>
    </row>
    <row r="193" spans="16:17" x14ac:dyDescent="0.25">
      <c r="P193" s="976"/>
      <c r="Q193" s="976"/>
    </row>
    <row r="194" spans="16:17" x14ac:dyDescent="0.25">
      <c r="P194" s="976"/>
      <c r="Q194" s="976"/>
    </row>
    <row r="195" spans="16:17" x14ac:dyDescent="0.25">
      <c r="P195" s="976"/>
      <c r="Q195" s="976"/>
    </row>
    <row r="196" spans="16:17" x14ac:dyDescent="0.25">
      <c r="P196" s="976"/>
      <c r="Q196" s="976"/>
    </row>
    <row r="197" spans="16:17" x14ac:dyDescent="0.25">
      <c r="P197" s="976"/>
      <c r="Q197" s="976"/>
    </row>
    <row r="198" spans="16:17" x14ac:dyDescent="0.25">
      <c r="P198" s="976"/>
      <c r="Q198" s="976"/>
    </row>
    <row r="199" spans="16:17" x14ac:dyDescent="0.25">
      <c r="P199" s="976"/>
      <c r="Q199" s="976"/>
    </row>
    <row r="200" spans="16:17" x14ac:dyDescent="0.25">
      <c r="P200" s="976"/>
      <c r="Q200" s="976"/>
    </row>
    <row r="201" spans="16:17" x14ac:dyDescent="0.25">
      <c r="P201" s="976"/>
      <c r="Q201" s="976"/>
    </row>
    <row r="202" spans="16:17" x14ac:dyDescent="0.25">
      <c r="P202" s="976"/>
      <c r="Q202" s="976"/>
    </row>
    <row r="203" spans="16:17" x14ac:dyDescent="0.25">
      <c r="P203" s="976"/>
      <c r="Q203" s="976"/>
    </row>
    <row r="204" spans="16:17" x14ac:dyDescent="0.25">
      <c r="P204" s="976"/>
      <c r="Q204" s="976"/>
    </row>
    <row r="205" spans="16:17" x14ac:dyDescent="0.25">
      <c r="P205" s="976"/>
      <c r="Q205" s="976"/>
    </row>
    <row r="206" spans="16:17" x14ac:dyDescent="0.25">
      <c r="P206" s="976"/>
      <c r="Q206" s="976"/>
    </row>
    <row r="207" spans="16:17" x14ac:dyDescent="0.25">
      <c r="P207" s="976"/>
      <c r="Q207" s="976"/>
    </row>
    <row r="208" spans="16:17" x14ac:dyDescent="0.25">
      <c r="P208" s="976"/>
      <c r="Q208" s="976"/>
    </row>
    <row r="209" spans="16:17" x14ac:dyDescent="0.25">
      <c r="P209" s="976"/>
      <c r="Q209" s="976"/>
    </row>
    <row r="210" spans="16:17" x14ac:dyDescent="0.25">
      <c r="P210" s="976"/>
      <c r="Q210" s="976"/>
    </row>
    <row r="211" spans="16:17" x14ac:dyDescent="0.25">
      <c r="P211" s="976"/>
      <c r="Q211" s="976"/>
    </row>
    <row r="212" spans="16:17" x14ac:dyDescent="0.25">
      <c r="P212" s="976"/>
      <c r="Q212" s="976"/>
    </row>
    <row r="213" spans="16:17" x14ac:dyDescent="0.25">
      <c r="P213" s="976"/>
      <c r="Q213" s="976"/>
    </row>
  </sheetData>
  <mergeCells count="65">
    <mergeCell ref="B2:B7"/>
    <mergeCell ref="G2:G7"/>
    <mergeCell ref="L2:L7"/>
    <mergeCell ref="DN11:DP11"/>
    <mergeCell ref="DS11:DU11"/>
    <mergeCell ref="DD10:DF10"/>
    <mergeCell ref="DI10:DK10"/>
    <mergeCell ref="DN10:DP10"/>
    <mergeCell ref="DS10:DU10"/>
    <mergeCell ref="DD11:DF11"/>
    <mergeCell ref="DI11:DK11"/>
    <mergeCell ref="BF11:BH11"/>
    <mergeCell ref="BK11:BM11"/>
    <mergeCell ref="BP11:BR11"/>
    <mergeCell ref="BU11:BW11"/>
    <mergeCell ref="BZ11:CB11"/>
    <mergeCell ref="CE11:CG11"/>
    <mergeCell ref="CJ11:CL11"/>
    <mergeCell ref="CO11:CQ11"/>
    <mergeCell ref="CT11:CV11"/>
    <mergeCell ref="CY11:DA11"/>
    <mergeCell ref="CE10:CG10"/>
    <mergeCell ref="CJ10:CL10"/>
    <mergeCell ref="CO10:CQ10"/>
    <mergeCell ref="CT10:CV10"/>
    <mergeCell ref="CY10:DA10"/>
    <mergeCell ref="BF10:BH10"/>
    <mergeCell ref="BK10:BM10"/>
    <mergeCell ref="BP10:BR10"/>
    <mergeCell ref="BU10:BW10"/>
    <mergeCell ref="BZ10:CB10"/>
    <mergeCell ref="C10:E10"/>
    <mergeCell ref="C11:E11"/>
    <mergeCell ref="AG10:AI10"/>
    <mergeCell ref="AG11:AI11"/>
    <mergeCell ref="AB10:AD10"/>
    <mergeCell ref="AB11:AD11"/>
    <mergeCell ref="W11:Y11"/>
    <mergeCell ref="BA10:BC10"/>
    <mergeCell ref="BA11:BC11"/>
    <mergeCell ref="W10:Y10"/>
    <mergeCell ref="M10:O10"/>
    <mergeCell ref="H10:J10"/>
    <mergeCell ref="H11:J11"/>
    <mergeCell ref="M11:O11"/>
    <mergeCell ref="R10:T10"/>
    <mergeCell ref="R11:T11"/>
    <mergeCell ref="AV10:AX10"/>
    <mergeCell ref="AV11:AX11"/>
    <mergeCell ref="AQ10:AS10"/>
    <mergeCell ref="AQ11:AS11"/>
    <mergeCell ref="AL10:AN10"/>
    <mergeCell ref="AL11:AN11"/>
    <mergeCell ref="DN15:DN16"/>
    <mergeCell ref="DS15:DS16"/>
    <mergeCell ref="DI17:DI18"/>
    <mergeCell ref="DS17:DS18"/>
    <mergeCell ref="CT19:CT20"/>
    <mergeCell ref="P68:Q213"/>
    <mergeCell ref="AQ21:AQ22"/>
    <mergeCell ref="DS21:DS22"/>
    <mergeCell ref="CT22:CT23"/>
    <mergeCell ref="BU24:BU25"/>
    <mergeCell ref="DS24:DS25"/>
    <mergeCell ref="CT25:CT26"/>
  </mergeCells>
  <conditionalFormatting sqref="C9:C12">
    <cfRule type="containsBlanks" dxfId="613" priority="169">
      <formula>LEN(TRIM(C9))=0</formula>
    </cfRule>
  </conditionalFormatting>
  <conditionalFormatting sqref="D15:D70">
    <cfRule type="expression" dxfId="612" priority="98">
      <formula>D15&gt;50</formula>
    </cfRule>
  </conditionalFormatting>
  <conditionalFormatting sqref="H9:H12">
    <cfRule type="containsBlanks" dxfId="611" priority="11">
      <formula>LEN(TRIM(H9))=0</formula>
    </cfRule>
  </conditionalFormatting>
  <conditionalFormatting sqref="I15:I83">
    <cfRule type="expression" dxfId="610" priority="19">
      <formula>I15&gt;50</formula>
    </cfRule>
  </conditionalFormatting>
  <conditionalFormatting sqref="J72:J81">
    <cfRule type="expression" dxfId="609" priority="170">
      <formula>J72&gt;50</formula>
    </cfRule>
  </conditionalFormatting>
  <conditionalFormatting sqref="M9:M12">
    <cfRule type="containsBlanks" dxfId="608" priority="14">
      <formula>LEN(TRIM(M9))=0</formula>
    </cfRule>
  </conditionalFormatting>
  <conditionalFormatting sqref="N15:N73">
    <cfRule type="expression" dxfId="607" priority="17">
      <formula>N15&gt;50</formula>
    </cfRule>
  </conditionalFormatting>
  <conditionalFormatting sqref="O72:O73">
    <cfRule type="expression" dxfId="606" priority="167">
      <formula>O72&gt;50</formula>
    </cfRule>
  </conditionalFormatting>
  <conditionalFormatting sqref="R9:R12">
    <cfRule type="containsBlanks" dxfId="605" priority="9">
      <formula>LEN(TRIM(R9))=0</formula>
    </cfRule>
  </conditionalFormatting>
  <conditionalFormatting sqref="S15:S71">
    <cfRule type="expression" dxfId="604" priority="99">
      <formula>S15&gt;50</formula>
    </cfRule>
  </conditionalFormatting>
  <conditionalFormatting sqref="W9:W12">
    <cfRule type="containsBlanks" dxfId="603" priority="7">
      <formula>LEN(TRIM(W9))=0</formula>
    </cfRule>
  </conditionalFormatting>
  <conditionalFormatting sqref="X15:X74">
    <cfRule type="expression" dxfId="602" priority="6">
      <formula>X15&gt;50</formula>
    </cfRule>
  </conditionalFormatting>
  <conditionalFormatting sqref="AB9:AB12">
    <cfRule type="containsBlanks" dxfId="601" priority="41">
      <formula>LEN(TRIM(AB9))=0</formula>
    </cfRule>
  </conditionalFormatting>
  <conditionalFormatting sqref="AC15:AC72">
    <cfRule type="expression" dxfId="600" priority="95">
      <formula>AC15&gt;50</formula>
    </cfRule>
  </conditionalFormatting>
  <conditionalFormatting sqref="AG9:AG12">
    <cfRule type="containsBlanks" dxfId="599" priority="12">
      <formula>LEN(TRIM(AG9))=0</formula>
    </cfRule>
  </conditionalFormatting>
  <conditionalFormatting sqref="AH15:AH71">
    <cfRule type="expression" dxfId="598" priority="48">
      <formula>AH15&gt;50</formula>
    </cfRule>
  </conditionalFormatting>
  <conditionalFormatting sqref="AL9:AL12">
    <cfRule type="containsBlanks" dxfId="597" priority="5">
      <formula>LEN(TRIM(AL9))=0</formula>
    </cfRule>
  </conditionalFormatting>
  <conditionalFormatting sqref="AM15:AM71">
    <cfRule type="expression" dxfId="596" priority="102">
      <formula>AM15&gt;50</formula>
    </cfRule>
  </conditionalFormatting>
  <conditionalFormatting sqref="AQ9:AQ12">
    <cfRule type="containsBlanks" dxfId="595" priority="3">
      <formula>LEN(TRIM(AQ9))=0</formula>
    </cfRule>
  </conditionalFormatting>
  <conditionalFormatting sqref="AR15:AR71">
    <cfRule type="expression" dxfId="594" priority="130">
      <formula>AR15&gt;50</formula>
    </cfRule>
  </conditionalFormatting>
  <conditionalFormatting sqref="AV9:AV12">
    <cfRule type="containsBlanks" dxfId="593" priority="2">
      <formula>LEN(TRIM(AV9))=0</formula>
    </cfRule>
  </conditionalFormatting>
  <conditionalFormatting sqref="AW15:AW72">
    <cfRule type="expression" dxfId="592" priority="104">
      <formula>AW15&gt;50</formula>
    </cfRule>
  </conditionalFormatting>
  <conditionalFormatting sqref="AY16">
    <cfRule type="expression" dxfId="591" priority="154">
      <formula>AY16&gt;50</formula>
    </cfRule>
  </conditionalFormatting>
  <conditionalFormatting sqref="AZ20">
    <cfRule type="expression" dxfId="590" priority="153">
      <formula>AZ20&gt;50</formula>
    </cfRule>
  </conditionalFormatting>
  <conditionalFormatting sqref="AZ26">
    <cfRule type="expression" dxfId="589" priority="152">
      <formula>AZ26&gt;50</formula>
    </cfRule>
  </conditionalFormatting>
  <conditionalFormatting sqref="BA9:BA12">
    <cfRule type="containsBlanks" dxfId="588" priority="1">
      <formula>LEN(TRIM(BA9))=0</formula>
    </cfRule>
  </conditionalFormatting>
  <conditionalFormatting sqref="BB15:BB72">
    <cfRule type="expression" dxfId="587" priority="101">
      <formula>BB15&gt;50</formula>
    </cfRule>
  </conditionalFormatting>
  <conditionalFormatting sqref="BD16">
    <cfRule type="expression" dxfId="586" priority="137">
      <formula>BD16&gt;50</formula>
    </cfRule>
  </conditionalFormatting>
  <conditionalFormatting sqref="BE20">
    <cfRule type="expression" dxfId="585" priority="136">
      <formula>BE20&gt;50</formula>
    </cfRule>
  </conditionalFormatting>
  <conditionalFormatting sqref="BE26">
    <cfRule type="expression" dxfId="584" priority="135">
      <formula>BE26&gt;50</formula>
    </cfRule>
  </conditionalFormatting>
  <conditionalFormatting sqref="BF9:BF12">
    <cfRule type="containsBlanks" dxfId="583" priority="35">
      <formula>LEN(TRIM(BF9))=0</formula>
    </cfRule>
  </conditionalFormatting>
  <conditionalFormatting sqref="BG15:BG71">
    <cfRule type="expression" dxfId="582" priority="129">
      <formula>BG15&gt;50</formula>
    </cfRule>
  </conditionalFormatting>
  <conditionalFormatting sqref="BJ20">
    <cfRule type="expression" dxfId="581" priority="134">
      <formula>BJ20&gt;50</formula>
    </cfRule>
  </conditionalFormatting>
  <conditionalFormatting sqref="BJ26">
    <cfRule type="expression" dxfId="580" priority="133">
      <formula>BJ26&gt;50</formula>
    </cfRule>
  </conditionalFormatting>
  <conditionalFormatting sqref="BK9:BK12">
    <cfRule type="containsBlanks" dxfId="579" priority="34">
      <formula>LEN(TRIM(BK9))=0</formula>
    </cfRule>
  </conditionalFormatting>
  <conditionalFormatting sqref="BL15:BL71">
    <cfRule type="expression" dxfId="578" priority="46">
      <formula>BL15&gt;50</formula>
    </cfRule>
  </conditionalFormatting>
  <conditionalFormatting sqref="BO20">
    <cfRule type="expression" dxfId="577" priority="107">
      <formula>BO20&gt;50</formula>
    </cfRule>
  </conditionalFormatting>
  <conditionalFormatting sqref="BO26">
    <cfRule type="expression" dxfId="576" priority="106">
      <formula>BO26&gt;50</formula>
    </cfRule>
  </conditionalFormatting>
  <conditionalFormatting sqref="BO54">
    <cfRule type="expression" dxfId="575" priority="151">
      <formula>BO54&gt;50</formula>
    </cfRule>
  </conditionalFormatting>
  <conditionalFormatting sqref="BP9:BP12">
    <cfRule type="containsBlanks" dxfId="574" priority="33">
      <formula>LEN(TRIM(BP9))=0</formula>
    </cfRule>
  </conditionalFormatting>
  <conditionalFormatting sqref="BQ15:BQ71">
    <cfRule type="expression" dxfId="573" priority="78">
      <formula>BQ15&gt;50</formula>
    </cfRule>
  </conditionalFormatting>
  <conditionalFormatting sqref="BT20">
    <cfRule type="expression" dxfId="572" priority="132">
      <formula>BT20&gt;50</formula>
    </cfRule>
  </conditionalFormatting>
  <conditionalFormatting sqref="BT26 BT54">
    <cfRule type="expression" dxfId="571" priority="131">
      <formula>BT26&gt;50</formula>
    </cfRule>
  </conditionalFormatting>
  <conditionalFormatting sqref="BU9:BU12">
    <cfRule type="containsBlanks" dxfId="570" priority="32">
      <formula>LEN(TRIM(BU9))=0</formula>
    </cfRule>
  </conditionalFormatting>
  <conditionalFormatting sqref="BV15:BV71">
    <cfRule type="expression" dxfId="569" priority="76">
      <formula>BV15&gt;50</formula>
    </cfRule>
  </conditionalFormatting>
  <conditionalFormatting sqref="BY20">
    <cfRule type="expression" dxfId="568" priority="143">
      <formula>BY20&gt;50</formula>
    </cfRule>
  </conditionalFormatting>
  <conditionalFormatting sqref="BY26">
    <cfRule type="expression" dxfId="567" priority="142">
      <formula>BY26&gt;50</formula>
    </cfRule>
  </conditionalFormatting>
  <conditionalFormatting sqref="BZ9:BZ12">
    <cfRule type="containsBlanks" dxfId="566" priority="31">
      <formula>LEN(TRIM(BZ9))=0</formula>
    </cfRule>
  </conditionalFormatting>
  <conditionalFormatting sqref="CA15:CA71">
    <cfRule type="expression" dxfId="565" priority="74">
      <formula>CA15&gt;50</formula>
    </cfRule>
  </conditionalFormatting>
  <conditionalFormatting sqref="CD20">
    <cfRule type="expression" dxfId="564" priority="149">
      <formula>CD20&gt;50</formula>
    </cfRule>
  </conditionalFormatting>
  <conditionalFormatting sqref="CD26">
    <cfRule type="expression" dxfId="563" priority="148">
      <formula>CD26&gt;50</formula>
    </cfRule>
  </conditionalFormatting>
  <conditionalFormatting sqref="CE9:CE12">
    <cfRule type="containsBlanks" dxfId="562" priority="30">
      <formula>LEN(TRIM(CE9))=0</formula>
    </cfRule>
  </conditionalFormatting>
  <conditionalFormatting sqref="CF15:CF71">
    <cfRule type="expression" dxfId="561" priority="72">
      <formula>CF15&gt;50</formula>
    </cfRule>
  </conditionalFormatting>
  <conditionalFormatting sqref="CI20">
    <cfRule type="expression" dxfId="560" priority="147">
      <formula>CI20&gt;50</formula>
    </cfRule>
  </conditionalFormatting>
  <conditionalFormatting sqref="CI26">
    <cfRule type="expression" dxfId="559" priority="146">
      <formula>CI26&gt;50</formula>
    </cfRule>
  </conditionalFormatting>
  <conditionalFormatting sqref="CJ9:CJ12">
    <cfRule type="containsBlanks" dxfId="558" priority="29">
      <formula>LEN(TRIM(CJ9))=0</formula>
    </cfRule>
  </conditionalFormatting>
  <conditionalFormatting sqref="CK15:CK71">
    <cfRule type="expression" dxfId="557" priority="66">
      <formula>CK15&gt;50</formula>
    </cfRule>
  </conditionalFormatting>
  <conditionalFormatting sqref="CN20">
    <cfRule type="expression" dxfId="556" priority="145">
      <formula>CN20&gt;50</formula>
    </cfRule>
  </conditionalFormatting>
  <conditionalFormatting sqref="CN26">
    <cfRule type="expression" dxfId="555" priority="144">
      <formula>CN26&gt;50</formula>
    </cfRule>
  </conditionalFormatting>
  <conditionalFormatting sqref="CO9:CO12">
    <cfRule type="containsBlanks" dxfId="554" priority="28">
      <formula>LEN(TRIM(CO9))=0</formula>
    </cfRule>
  </conditionalFormatting>
  <conditionalFormatting sqref="CP15:CP71">
    <cfRule type="expression" dxfId="553" priority="64">
      <formula>CP15&gt;50</formula>
    </cfRule>
  </conditionalFormatting>
  <conditionalFormatting sqref="CS20">
    <cfRule type="expression" dxfId="552" priority="125">
      <formula>CS20&gt;50</formula>
    </cfRule>
  </conditionalFormatting>
  <conditionalFormatting sqref="CS26">
    <cfRule type="expression" dxfId="551" priority="124">
      <formula>CS26&gt;50</formula>
    </cfRule>
  </conditionalFormatting>
  <conditionalFormatting sqref="CT9:CT12">
    <cfRule type="containsBlanks" dxfId="550" priority="27">
      <formula>LEN(TRIM(CT9))=0</formula>
    </cfRule>
  </conditionalFormatting>
  <conditionalFormatting sqref="CU15:CU71">
    <cfRule type="expression" dxfId="549" priority="60">
      <formula>CU15&gt;50</formula>
    </cfRule>
  </conditionalFormatting>
  <conditionalFormatting sqref="CX20">
    <cfRule type="expression" dxfId="548" priority="122">
      <formula>CX20&gt;50</formula>
    </cfRule>
  </conditionalFormatting>
  <conditionalFormatting sqref="CX26">
    <cfRule type="expression" dxfId="547" priority="121">
      <formula>CX26&gt;50</formula>
    </cfRule>
  </conditionalFormatting>
  <conditionalFormatting sqref="CY9:CY12">
    <cfRule type="containsBlanks" dxfId="546" priority="26">
      <formula>LEN(TRIM(CY9))=0</formula>
    </cfRule>
  </conditionalFormatting>
  <conditionalFormatting sqref="CZ15:CZ71">
    <cfRule type="expression" dxfId="545" priority="58">
      <formula>CZ15&gt;50</formula>
    </cfRule>
  </conditionalFormatting>
  <conditionalFormatting sqref="DC20">
    <cfRule type="expression" dxfId="544" priority="119">
      <formula>DC20&gt;50</formula>
    </cfRule>
  </conditionalFormatting>
  <conditionalFormatting sqref="DC26">
    <cfRule type="expression" dxfId="543" priority="118">
      <formula>DC26&gt;50</formula>
    </cfRule>
  </conditionalFormatting>
  <conditionalFormatting sqref="DD9:DD12">
    <cfRule type="containsBlanks" dxfId="542" priority="25">
      <formula>LEN(TRIM(DD9))=0</formula>
    </cfRule>
  </conditionalFormatting>
  <conditionalFormatting sqref="DE15:DE71">
    <cfRule type="expression" dxfId="541" priority="54">
      <formula>DE15&gt;50</formula>
    </cfRule>
  </conditionalFormatting>
  <conditionalFormatting sqref="DH20">
    <cfRule type="expression" dxfId="540" priority="116">
      <formula>DH20&gt;50</formula>
    </cfRule>
  </conditionalFormatting>
  <conditionalFormatting sqref="DH26">
    <cfRule type="expression" dxfId="539" priority="115">
      <formula>DH26&gt;50</formula>
    </cfRule>
  </conditionalFormatting>
  <conditionalFormatting sqref="DI9:DI12">
    <cfRule type="containsBlanks" dxfId="538" priority="24">
      <formula>LEN(TRIM(DI9))=0</formula>
    </cfRule>
  </conditionalFormatting>
  <conditionalFormatting sqref="DJ15:DJ71">
    <cfRule type="expression" dxfId="537" priority="51">
      <formula>DJ15&gt;50</formula>
    </cfRule>
  </conditionalFormatting>
  <conditionalFormatting sqref="DM20">
    <cfRule type="expression" dxfId="536" priority="113">
      <formula>DM20&gt;50</formula>
    </cfRule>
  </conditionalFormatting>
  <conditionalFormatting sqref="DM26">
    <cfRule type="expression" dxfId="535" priority="112">
      <formula>DM26&gt;50</formula>
    </cfRule>
  </conditionalFormatting>
  <conditionalFormatting sqref="DN9:DN12">
    <cfRule type="containsBlanks" dxfId="534" priority="23">
      <formula>LEN(TRIM(DN9))=0</formula>
    </cfRule>
  </conditionalFormatting>
  <conditionalFormatting sqref="DO15:DO71">
    <cfRule type="expression" dxfId="533" priority="87">
      <formula>DO15&gt;50</formula>
    </cfRule>
  </conditionalFormatting>
  <conditionalFormatting sqref="DR20">
    <cfRule type="expression" dxfId="532" priority="110">
      <formula>DR20&gt;50</formula>
    </cfRule>
  </conditionalFormatting>
  <conditionalFormatting sqref="DR26">
    <cfRule type="expression" dxfId="531" priority="109">
      <formula>DR26&gt;50</formula>
    </cfRule>
  </conditionalFormatting>
  <conditionalFormatting sqref="DS9:DS12">
    <cfRule type="containsBlanks" dxfId="530" priority="22">
      <formula>LEN(TRIM(DS9))=0</formula>
    </cfRule>
  </conditionalFormatting>
  <conditionalFormatting sqref="DT15:DT71">
    <cfRule type="expression" dxfId="529" priority="83">
      <formula>DT15&gt;50</formula>
    </cfRule>
  </conditionalFormatting>
  <dataValidations count="2">
    <dataValidation type="list" allowBlank="1" showInputMessage="1" showErrorMessage="1" sqref="C9 H9 M9 R9 W9 AB9 AG9 AL9 AQ9 AV9 BA9 BF9 BK9 BP9 BU9 BZ9 CE9 CJ9 CO9 CT9 CY9 DD9 DI9 DN9 DS9" xr:uid="{00000000-0002-0000-0500-000000000000}">
      <formula1>"Aerial, New Conduit, Existing Conduit"</formula1>
    </dataValidation>
    <dataValidation type="list" allowBlank="1" showInputMessage="1" showErrorMessage="1" sqref="C12 H12 DS12 R12 W12 AB12 AG12 AL12 AQ12 AV12 BA12 BF12 BK12 BP12 BU12 BZ12 CE12 CJ12 CO12 CT12 CY12 DD12 DI12 DN12 M12" xr:uid="{BF13ABBA-B5D6-451D-B3BE-8CC2AB8F9C80}">
      <formula1>"24, 48, 96, 144, 288, 432"</formula1>
    </dataValidation>
  </dataValidations>
  <pageMargins left="0.7" right="0.7" top="0.75" bottom="0.75" header="0.3" footer="0.3"/>
  <pageSetup orientation="portrait"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CB1391"/>
  <sheetViews>
    <sheetView zoomScale="85" zoomScaleNormal="85" workbookViewId="0">
      <pane ySplit="6" topLeftCell="A16" activePane="bottomLeft" state="frozen"/>
      <selection pane="bottomLeft" activeCell="A38" sqref="A38:H58"/>
    </sheetView>
  </sheetViews>
  <sheetFormatPr defaultRowHeight="15" outlineLevelCol="1" x14ac:dyDescent="0.25"/>
  <cols>
    <col min="1" max="1" width="12" style="192" customWidth="1"/>
    <col min="2" max="2" width="14.5703125" style="567" customWidth="1"/>
    <col min="3" max="3" width="11.140625" style="192" customWidth="1"/>
    <col min="4" max="4" width="11.85546875" style="109" bestFit="1" customWidth="1"/>
    <col min="5" max="5" width="19.140625" style="109" customWidth="1"/>
    <col min="6" max="6" width="11.7109375" style="109" customWidth="1"/>
    <col min="7" max="7" width="17" style="109" customWidth="1"/>
    <col min="8" max="8" width="15.5703125" style="109" bestFit="1" customWidth="1"/>
    <col min="9" max="9" width="16.5703125" style="109" customWidth="1"/>
    <col min="10" max="10" width="12" style="109" customWidth="1" outlineLevel="1"/>
    <col min="11" max="11" width="11.7109375" style="109" customWidth="1" outlineLevel="1"/>
    <col min="12" max="13" width="11.7109375" style="109" hidden="1" customWidth="1" outlineLevel="1"/>
    <col min="14" max="15" width="12.7109375" style="109" hidden="1" customWidth="1" outlineLevel="1"/>
    <col min="16" max="16" width="24.7109375" style="57" hidden="1" customWidth="1" outlineLevel="1"/>
    <col min="17" max="24" width="9.140625" style="57" hidden="1" customWidth="1" outlineLevel="1"/>
    <col min="25" max="25" width="6.7109375" style="57" hidden="1" customWidth="1" outlineLevel="1"/>
    <col min="26" max="26" width="3.7109375" customWidth="1"/>
    <col min="27" max="27" width="11.7109375" style="192" customWidth="1" outlineLevel="1"/>
    <col min="28" max="28" width="15.85546875" style="192" customWidth="1" outlineLevel="1"/>
    <col min="29" max="29" width="9.28515625" style="192" customWidth="1"/>
    <col min="30" max="30" width="15.85546875" style="192" customWidth="1"/>
    <col min="31" max="31" width="16.42578125" style="109" customWidth="1" outlineLevel="1"/>
    <col min="32" max="32" width="15.7109375" style="109" customWidth="1" outlineLevel="1"/>
    <col min="33" max="33" width="16.85546875" style="109" customWidth="1" outlineLevel="1"/>
    <col min="34" max="34" width="36.5703125" style="109" bestFit="1" customWidth="1" outlineLevel="1"/>
    <col min="35" max="35" width="12.7109375" style="109" customWidth="1" outlineLevel="1"/>
    <col min="36" max="38" width="9.140625" style="109" customWidth="1" outlineLevel="1"/>
    <col min="39" max="39" width="12.140625" style="109" customWidth="1" outlineLevel="1"/>
    <col min="40" max="40" width="10.28515625" style="109" customWidth="1" outlineLevel="1"/>
    <col min="41" max="41" width="9.85546875" style="109" customWidth="1" outlineLevel="1"/>
    <col min="42" max="42" width="10.42578125" style="109" customWidth="1" outlineLevel="1"/>
    <col min="43" max="43" width="9.140625" style="109" customWidth="1" outlineLevel="1"/>
    <col min="44" max="44" width="11" style="109" customWidth="1" outlineLevel="1"/>
    <col min="78" max="78" width="0" hidden="1" customWidth="1"/>
  </cols>
  <sheetData>
    <row r="1" spans="1:80" s="190" customFormat="1" ht="63" customHeight="1" thickBot="1" x14ac:dyDescent="0.3">
      <c r="A1" s="191"/>
      <c r="B1" s="565"/>
      <c r="C1" s="191"/>
      <c r="D1" s="191"/>
      <c r="E1" s="191"/>
      <c r="F1" s="191"/>
      <c r="G1" s="191"/>
      <c r="H1" s="191"/>
      <c r="I1" s="191"/>
      <c r="J1" s="191" t="s">
        <v>873</v>
      </c>
      <c r="K1" s="246" t="s">
        <v>874</v>
      </c>
      <c r="L1" s="246" t="s">
        <v>874</v>
      </c>
      <c r="M1" s="246" t="s">
        <v>874</v>
      </c>
      <c r="N1" s="246" t="s">
        <v>875</v>
      </c>
      <c r="O1" s="191" t="s">
        <v>876</v>
      </c>
      <c r="Q1" s="1002" t="s">
        <v>877</v>
      </c>
      <c r="R1" s="1003"/>
      <c r="S1" s="511">
        <f>SUM(Q2:Y2)</f>
        <v>0</v>
      </c>
      <c r="T1" s="512"/>
      <c r="AA1" s="191" t="s">
        <v>878</v>
      </c>
      <c r="AB1" s="191" t="s">
        <v>879</v>
      </c>
      <c r="AC1" s="191"/>
      <c r="AD1" s="191" t="s">
        <v>880</v>
      </c>
      <c r="AE1" s="191" t="s">
        <v>881</v>
      </c>
      <c r="AF1" s="191" t="s">
        <v>881</v>
      </c>
      <c r="AG1" s="191"/>
      <c r="AH1" s="191"/>
      <c r="AI1" s="191"/>
      <c r="AJ1" s="191"/>
      <c r="AK1" s="191"/>
      <c r="AL1" s="191"/>
      <c r="AM1" s="191"/>
      <c r="AN1" s="191"/>
      <c r="AO1" s="191"/>
      <c r="AP1" s="191"/>
      <c r="AQ1" s="191"/>
      <c r="AR1" s="191"/>
    </row>
    <row r="2" spans="1:80" ht="15.75" thickBot="1" x14ac:dyDescent="0.3">
      <c r="B2" s="566"/>
      <c r="C2" s="1007" t="s">
        <v>882</v>
      </c>
      <c r="D2" s="1008"/>
      <c r="E2" s="889"/>
      <c r="F2" s="639"/>
      <c r="G2" s="639"/>
      <c r="H2" s="639"/>
      <c r="I2" s="639"/>
      <c r="J2" s="509">
        <f t="shared" ref="J2:O2" si="0">SUM(J7:J1000)</f>
        <v>0</v>
      </c>
      <c r="K2" s="509">
        <f t="shared" si="0"/>
        <v>0</v>
      </c>
      <c r="L2" s="509">
        <f t="shared" si="0"/>
        <v>0</v>
      </c>
      <c r="M2" s="509">
        <f t="shared" si="0"/>
        <v>0</v>
      </c>
      <c r="N2" s="509">
        <f t="shared" si="0"/>
        <v>0</v>
      </c>
      <c r="O2" s="509">
        <f t="shared" si="0"/>
        <v>0</v>
      </c>
      <c r="P2" s="513" t="s">
        <v>883</v>
      </c>
      <c r="Q2" s="510">
        <f>Q3*Q4</f>
        <v>0</v>
      </c>
      <c r="R2" s="510">
        <f t="shared" ref="R2:Y2" si="1">R3*R4</f>
        <v>0</v>
      </c>
      <c r="S2" s="510">
        <f t="shared" si="1"/>
        <v>0</v>
      </c>
      <c r="T2" s="510">
        <f t="shared" si="1"/>
        <v>0</v>
      </c>
      <c r="U2" s="510">
        <f t="shared" si="1"/>
        <v>0</v>
      </c>
      <c r="V2" s="510">
        <f t="shared" si="1"/>
        <v>0</v>
      </c>
      <c r="W2" s="510">
        <f t="shared" si="1"/>
        <v>0</v>
      </c>
      <c r="X2" s="510">
        <f t="shared" si="1"/>
        <v>0</v>
      </c>
      <c r="Y2" s="510">
        <f t="shared" si="1"/>
        <v>0</v>
      </c>
      <c r="Z2" s="510"/>
      <c r="AA2" s="509">
        <f t="shared" ref="AA2:AE2" si="2">SUM(AA7:AA1000)</f>
        <v>0</v>
      </c>
      <c r="AB2" s="509">
        <f t="shared" si="2"/>
        <v>0</v>
      </c>
      <c r="AC2" s="509"/>
      <c r="AD2" s="509">
        <f>SUM(AD7:AD1000)</f>
        <v>10899</v>
      </c>
      <c r="AE2" s="509">
        <f t="shared" si="2"/>
        <v>0</v>
      </c>
      <c r="AF2" s="509">
        <f>SUM(AF7:AF1000)</f>
        <v>0</v>
      </c>
      <c r="AG2" s="509">
        <f>SUM(AG7:AG1000)</f>
        <v>14636</v>
      </c>
      <c r="AH2" s="509"/>
      <c r="AI2" s="509"/>
      <c r="AJ2" s="509"/>
      <c r="AK2" s="509"/>
      <c r="AL2" s="509"/>
      <c r="AM2" s="509"/>
      <c r="AN2" s="509"/>
      <c r="AO2" s="509"/>
      <c r="AP2" s="509"/>
      <c r="AQ2" s="509"/>
      <c r="AR2" s="509"/>
    </row>
    <row r="3" spans="1:80" x14ac:dyDescent="0.25">
      <c r="B3" s="566"/>
      <c r="D3" s="192"/>
      <c r="E3" s="192"/>
      <c r="F3" s="192"/>
      <c r="G3" s="192"/>
      <c r="H3" s="192"/>
      <c r="I3" s="192"/>
      <c r="J3" s="192"/>
      <c r="K3" s="192"/>
      <c r="L3" s="192"/>
      <c r="M3" s="192"/>
      <c r="N3" s="192"/>
      <c r="O3" s="192"/>
      <c r="P3" t="s">
        <v>884</v>
      </c>
      <c r="Q3" s="514">
        <f>SUM(Q7:Q404)</f>
        <v>0</v>
      </c>
      <c r="R3" s="514">
        <f t="shared" ref="R3:X3" si="3">SUM(R7:R404)</f>
        <v>0</v>
      </c>
      <c r="S3" s="514">
        <f t="shared" si="3"/>
        <v>0</v>
      </c>
      <c r="T3" s="514">
        <f t="shared" si="3"/>
        <v>0</v>
      </c>
      <c r="U3" s="514">
        <f t="shared" si="3"/>
        <v>0</v>
      </c>
      <c r="V3" s="514">
        <f t="shared" si="3"/>
        <v>0</v>
      </c>
      <c r="W3" s="514">
        <f t="shared" si="3"/>
        <v>0</v>
      </c>
      <c r="X3" s="514">
        <f t="shared" si="3"/>
        <v>0</v>
      </c>
      <c r="Y3" s="514">
        <f>SUM(Y7:Y404)</f>
        <v>0</v>
      </c>
      <c r="Z3" s="192"/>
      <c r="AE3" s="192"/>
      <c r="AF3" s="192"/>
      <c r="AG3" s="192"/>
      <c r="AH3" s="192"/>
      <c r="AI3" s="192"/>
      <c r="AJ3" s="192"/>
      <c r="AK3" s="192"/>
      <c r="AL3" s="192"/>
      <c r="AM3" s="192"/>
      <c r="AN3" s="192"/>
      <c r="AO3" s="192"/>
      <c r="AP3" s="192"/>
      <c r="AQ3" s="192"/>
      <c r="AR3" s="192"/>
      <c r="BZ3">
        <v>1</v>
      </c>
      <c r="CB3">
        <v>1</v>
      </c>
    </row>
    <row r="4" spans="1:80" x14ac:dyDescent="0.25">
      <c r="B4" s="566"/>
      <c r="D4" s="192"/>
      <c r="E4" s="192"/>
      <c r="F4" s="192"/>
      <c r="G4" s="192"/>
      <c r="H4" s="192"/>
      <c r="I4" s="192"/>
      <c r="J4" s="192"/>
      <c r="K4" s="192"/>
      <c r="L4" s="192"/>
      <c r="M4" s="192"/>
      <c r="N4" s="192"/>
      <c r="O4" s="192"/>
      <c r="P4" t="s">
        <v>885</v>
      </c>
      <c r="Q4" s="514">
        <v>1</v>
      </c>
      <c r="R4" s="514">
        <v>2</v>
      </c>
      <c r="S4" s="514">
        <v>3</v>
      </c>
      <c r="T4" s="514">
        <v>4</v>
      </c>
      <c r="U4" s="514">
        <v>5</v>
      </c>
      <c r="V4" s="514">
        <v>6</v>
      </c>
      <c r="W4" s="514">
        <v>7</v>
      </c>
      <c r="X4" s="514">
        <v>8</v>
      </c>
      <c r="Y4" s="514">
        <v>9</v>
      </c>
      <c r="Z4" s="192"/>
      <c r="AE4" s="192"/>
      <c r="AF4" s="192"/>
      <c r="AG4" s="192"/>
      <c r="AH4" s="192"/>
      <c r="AI4" s="192"/>
      <c r="AJ4" s="192"/>
      <c r="AK4" s="192"/>
      <c r="AL4" s="192"/>
      <c r="AM4" s="192"/>
      <c r="AN4" s="192"/>
      <c r="AO4" s="192"/>
      <c r="AP4" s="192"/>
      <c r="AQ4" s="192"/>
      <c r="AR4" s="192"/>
      <c r="BZ4">
        <v>2</v>
      </c>
      <c r="CB4">
        <v>2</v>
      </c>
    </row>
    <row r="5" spans="1:80" ht="30" customHeight="1" x14ac:dyDescent="0.25">
      <c r="B5" s="566"/>
      <c r="D5" s="192"/>
      <c r="E5" s="192"/>
      <c r="F5" s="192"/>
      <c r="G5" s="192"/>
      <c r="H5" s="192"/>
      <c r="I5" s="192"/>
      <c r="J5" s="192"/>
      <c r="K5" s="515" t="s">
        <v>886</v>
      </c>
      <c r="L5" s="515"/>
      <c r="M5" s="516" t="s">
        <v>887</v>
      </c>
      <c r="N5" s="515" t="s">
        <v>888</v>
      </c>
      <c r="O5" s="192"/>
      <c r="P5"/>
      <c r="Q5" s="1004" t="s">
        <v>889</v>
      </c>
      <c r="R5" s="1005"/>
      <c r="S5" s="1005"/>
      <c r="T5" s="1005"/>
      <c r="U5" s="1005"/>
      <c r="V5" s="1005"/>
      <c r="W5" s="1005"/>
      <c r="X5" s="1005"/>
      <c r="Y5" s="1006"/>
      <c r="Z5" s="191"/>
      <c r="AD5" s="192" t="s">
        <v>880</v>
      </c>
      <c r="AE5" s="192" t="s">
        <v>881</v>
      </c>
      <c r="AF5" s="192" t="s">
        <v>881</v>
      </c>
      <c r="AG5" s="192"/>
      <c r="AH5" s="192"/>
      <c r="AI5" s="192"/>
      <c r="AJ5" s="192"/>
      <c r="AK5" s="192"/>
      <c r="AL5" s="192"/>
      <c r="AM5" s="192"/>
      <c r="AN5" s="192"/>
      <c r="AO5" s="192"/>
      <c r="AP5" s="192"/>
      <c r="AQ5" s="192"/>
      <c r="AR5" s="192"/>
    </row>
    <row r="6" spans="1:80" s="190" customFormat="1" ht="104.25" customHeight="1" thickBot="1" x14ac:dyDescent="0.3">
      <c r="A6" s="564" t="s">
        <v>890</v>
      </c>
      <c r="B6" s="564" t="s">
        <v>891</v>
      </c>
      <c r="C6" s="564" t="s">
        <v>884</v>
      </c>
      <c r="D6" s="564" t="s">
        <v>892</v>
      </c>
      <c r="E6" s="564" t="s">
        <v>893</v>
      </c>
      <c r="F6" s="564" t="s">
        <v>894</v>
      </c>
      <c r="G6" s="564" t="s">
        <v>895</v>
      </c>
      <c r="H6" s="564" t="s">
        <v>896</v>
      </c>
      <c r="I6" s="564" t="s">
        <v>897</v>
      </c>
      <c r="J6" s="193" t="s">
        <v>898</v>
      </c>
      <c r="K6" s="193" t="s">
        <v>899</v>
      </c>
      <c r="L6" s="193" t="s">
        <v>900</v>
      </c>
      <c r="M6" s="193" t="s">
        <v>901</v>
      </c>
      <c r="N6" s="193" t="s">
        <v>902</v>
      </c>
      <c r="O6" s="193" t="s">
        <v>903</v>
      </c>
      <c r="Q6" s="517" t="s">
        <v>904</v>
      </c>
      <c r="R6" s="518" t="s">
        <v>905</v>
      </c>
      <c r="S6" s="518" t="s">
        <v>906</v>
      </c>
      <c r="T6" s="518" t="s">
        <v>907</v>
      </c>
      <c r="U6" s="518" t="s">
        <v>908</v>
      </c>
      <c r="V6" s="518" t="s">
        <v>909</v>
      </c>
      <c r="W6" s="518" t="s">
        <v>910</v>
      </c>
      <c r="X6" s="518" t="s">
        <v>911</v>
      </c>
      <c r="Y6" s="519" t="s">
        <v>912</v>
      </c>
      <c r="AA6" s="193" t="s">
        <v>913</v>
      </c>
      <c r="AB6" s="193" t="s">
        <v>914</v>
      </c>
      <c r="AC6" s="664"/>
      <c r="AD6" s="193" t="s">
        <v>915</v>
      </c>
      <c r="AE6" s="193" t="s">
        <v>916</v>
      </c>
      <c r="AF6" s="193" t="s">
        <v>917</v>
      </c>
      <c r="AG6" s="193" t="s">
        <v>918</v>
      </c>
      <c r="AH6" s="193"/>
      <c r="AI6" s="193"/>
      <c r="AJ6" s="193"/>
      <c r="AK6" s="193"/>
      <c r="AL6" s="193"/>
      <c r="AM6" s="193"/>
      <c r="AN6" s="193"/>
      <c r="AO6" s="193"/>
      <c r="AP6" s="193"/>
      <c r="AQ6" s="193"/>
      <c r="AR6" s="193"/>
    </row>
    <row r="7" spans="1:80" x14ac:dyDescent="0.25">
      <c r="A7" s="1106" t="s">
        <v>1289</v>
      </c>
      <c r="B7" s="1106" t="s">
        <v>1290</v>
      </c>
      <c r="C7" s="1106">
        <v>102</v>
      </c>
      <c r="D7" s="1106"/>
      <c r="E7" s="1106" t="s">
        <v>1291</v>
      </c>
      <c r="F7" s="1106">
        <v>2</v>
      </c>
      <c r="G7" s="1106">
        <v>1</v>
      </c>
      <c r="H7" s="1106">
        <v>0</v>
      </c>
      <c r="J7" s="57"/>
      <c r="K7" s="57"/>
      <c r="L7" s="57"/>
      <c r="M7" s="57"/>
      <c r="N7" s="57"/>
      <c r="O7" s="57"/>
      <c r="AA7" s="640" t="str">
        <f t="shared" ref="AA7:AA70" si="4">IF(G7=0, IF(OR(H7&gt;0,F7&gt;0),C7*F7,""),"")</f>
        <v/>
      </c>
      <c r="AB7" s="640">
        <f>IF(G7&gt;=1,IF(F7&gt;1,C7*(F7-2),""),"")</f>
        <v>0</v>
      </c>
      <c r="AC7" s="640"/>
      <c r="AD7" s="890">
        <f>IF(E7="YES",IF(G7=1,"",""),IF(G7=1,C7,IF(G7=2,C7,IF(G7=0,"",""))))</f>
        <v>102</v>
      </c>
      <c r="AE7" s="890" t="str">
        <f>IF(E7="YES",IF(G7=1,"",IF(H7=1,C7,"")),IF(H7=1,C7,IF(H7=2,C7,IF(H7=0,"",""))))</f>
        <v/>
      </c>
      <c r="AF7" s="890" t="str">
        <f>IF(E7="YES",IF(I7=1,C7,""),IF(I7=1,C7,IF(I7=2,C7,IF(I7=0,"",""))))</f>
        <v/>
      </c>
      <c r="AG7" s="192">
        <f t="shared" ref="AG7:AG70" si="5">(C7*G7)+(C7*H7)+(C7*I7)</f>
        <v>102</v>
      </c>
      <c r="AH7" s="902"/>
    </row>
    <row r="8" spans="1:80" x14ac:dyDescent="0.25">
      <c r="A8" s="1106" t="s">
        <v>1289</v>
      </c>
      <c r="B8" s="1106" t="s">
        <v>1292</v>
      </c>
      <c r="C8" s="1106">
        <v>113</v>
      </c>
      <c r="D8" s="1106"/>
      <c r="E8" s="1106" t="s">
        <v>1291</v>
      </c>
      <c r="F8" s="1106">
        <v>2</v>
      </c>
      <c r="G8" s="1106">
        <v>2</v>
      </c>
      <c r="H8" s="1106">
        <v>0</v>
      </c>
      <c r="J8" s="57"/>
      <c r="K8" s="57"/>
      <c r="L8" s="57"/>
      <c r="M8" s="57"/>
      <c r="N8" s="57"/>
      <c r="O8" s="57"/>
      <c r="AA8" s="640" t="str">
        <f t="shared" si="4"/>
        <v/>
      </c>
      <c r="AB8" s="640">
        <f t="shared" ref="AB8:AB71" si="6">IF(G8&gt;=1,IF(F8&gt;1,C8*(F8-2),""),"")</f>
        <v>0</v>
      </c>
      <c r="AC8" s="640"/>
      <c r="AD8" s="890">
        <f t="shared" ref="AD8:AD71" si="7">IF(E8="YES",IF(G8=1,"",""),IF(G8=1,C8,IF(G8=2,C8,IF(G8=0,"",""))))</f>
        <v>113</v>
      </c>
      <c r="AE8" s="890" t="str">
        <f t="shared" ref="AE8:AE71" si="8">IF(E8="YES",IF(G8=1,"",IF(H8=1,C8,"")),IF(H8=1,C8,IF(H8=2,C8,IF(H8=0,"",""))))</f>
        <v/>
      </c>
      <c r="AF8" s="890" t="str">
        <f t="shared" ref="AF8:AF71" si="9">IF(E8="YES",IF(I8=1,C8,""),IF(I8=1,C8,IF(I8=2,C8,IF(I8=0,"",""))))</f>
        <v/>
      </c>
      <c r="AG8" s="192">
        <f t="shared" si="5"/>
        <v>226</v>
      </c>
      <c r="AH8" s="902"/>
    </row>
    <row r="9" spans="1:80" x14ac:dyDescent="0.25">
      <c r="A9" s="1106" t="s">
        <v>1289</v>
      </c>
      <c r="B9" s="1106" t="s">
        <v>1293</v>
      </c>
      <c r="C9" s="1106">
        <v>106</v>
      </c>
      <c r="D9" s="1106"/>
      <c r="E9" s="1106" t="s">
        <v>1291</v>
      </c>
      <c r="F9" s="1106">
        <v>2</v>
      </c>
      <c r="G9" s="1106">
        <v>1</v>
      </c>
      <c r="H9" s="1106">
        <v>0</v>
      </c>
      <c r="J9" s="57"/>
      <c r="K9" s="57"/>
      <c r="L9" s="57"/>
      <c r="M9" s="57"/>
      <c r="N9" s="57"/>
      <c r="O9" s="57"/>
      <c r="AA9" s="640" t="str">
        <f t="shared" si="4"/>
        <v/>
      </c>
      <c r="AB9" s="640">
        <f t="shared" si="6"/>
        <v>0</v>
      </c>
      <c r="AC9" s="640"/>
      <c r="AD9" s="890">
        <f t="shared" si="7"/>
        <v>106</v>
      </c>
      <c r="AE9" s="890" t="str">
        <f t="shared" si="8"/>
        <v/>
      </c>
      <c r="AF9" s="890" t="str">
        <f t="shared" si="9"/>
        <v/>
      </c>
      <c r="AG9" s="192">
        <f t="shared" si="5"/>
        <v>106</v>
      </c>
      <c r="AH9" s="902"/>
    </row>
    <row r="10" spans="1:80" x14ac:dyDescent="0.25">
      <c r="A10" s="1106" t="s">
        <v>1289</v>
      </c>
      <c r="B10" s="1106" t="s">
        <v>1294</v>
      </c>
      <c r="C10" s="1106">
        <v>459</v>
      </c>
      <c r="D10" s="1106"/>
      <c r="E10" s="1106" t="s">
        <v>1291</v>
      </c>
      <c r="F10" s="1106">
        <v>2</v>
      </c>
      <c r="G10" s="1106">
        <v>1</v>
      </c>
      <c r="H10" s="1106">
        <v>0</v>
      </c>
      <c r="J10" s="57"/>
      <c r="K10" s="57"/>
      <c r="L10" s="57"/>
      <c r="M10" s="57"/>
      <c r="N10" s="57"/>
      <c r="O10" s="57"/>
      <c r="AA10" s="640" t="str">
        <f t="shared" si="4"/>
        <v/>
      </c>
      <c r="AB10" s="640">
        <f t="shared" si="6"/>
        <v>0</v>
      </c>
      <c r="AC10" s="640"/>
      <c r="AD10" s="890">
        <f t="shared" si="7"/>
        <v>459</v>
      </c>
      <c r="AE10" s="890" t="str">
        <f t="shared" si="8"/>
        <v/>
      </c>
      <c r="AF10" s="890" t="str">
        <f t="shared" si="9"/>
        <v/>
      </c>
      <c r="AG10" s="192">
        <f t="shared" si="5"/>
        <v>459</v>
      </c>
      <c r="AH10" s="902"/>
    </row>
    <row r="11" spans="1:80" x14ac:dyDescent="0.25">
      <c r="A11" s="1106" t="s">
        <v>1295</v>
      </c>
      <c r="B11" s="1106" t="s">
        <v>1290</v>
      </c>
      <c r="C11" s="1106">
        <v>182</v>
      </c>
      <c r="D11" s="1106"/>
      <c r="E11" s="1106" t="s">
        <v>1291</v>
      </c>
      <c r="F11" s="1106">
        <v>1</v>
      </c>
      <c r="G11" s="1106">
        <v>1</v>
      </c>
      <c r="H11" s="1106">
        <v>0</v>
      </c>
      <c r="J11" s="57"/>
      <c r="K11" s="57"/>
      <c r="L11" s="57"/>
      <c r="M11" s="57"/>
      <c r="N11" s="57"/>
      <c r="O11" s="57"/>
      <c r="AA11" s="640" t="str">
        <f t="shared" si="4"/>
        <v/>
      </c>
      <c r="AB11" s="640" t="str">
        <f t="shared" si="6"/>
        <v/>
      </c>
      <c r="AC11" s="640"/>
      <c r="AD11" s="890">
        <f t="shared" si="7"/>
        <v>182</v>
      </c>
      <c r="AE11" s="890" t="str">
        <f t="shared" si="8"/>
        <v/>
      </c>
      <c r="AF11" s="890" t="str">
        <f t="shared" si="9"/>
        <v/>
      </c>
      <c r="AG11" s="192">
        <f t="shared" si="5"/>
        <v>182</v>
      </c>
      <c r="AH11" s="902"/>
    </row>
    <row r="12" spans="1:80" x14ac:dyDescent="0.25">
      <c r="A12" s="1106" t="s">
        <v>1295</v>
      </c>
      <c r="B12" s="1106" t="s">
        <v>1292</v>
      </c>
      <c r="C12" s="1106">
        <v>323</v>
      </c>
      <c r="D12" s="1106"/>
      <c r="E12" s="1106" t="s">
        <v>1291</v>
      </c>
      <c r="F12" s="1106">
        <v>1</v>
      </c>
      <c r="G12" s="1106">
        <v>1</v>
      </c>
      <c r="H12" s="1106">
        <v>0</v>
      </c>
      <c r="J12" s="57"/>
      <c r="K12" s="57"/>
      <c r="L12" s="57"/>
      <c r="M12" s="57"/>
      <c r="N12" s="57"/>
      <c r="O12" s="57"/>
      <c r="AA12" s="640" t="str">
        <f t="shared" si="4"/>
        <v/>
      </c>
      <c r="AB12" s="640" t="str">
        <f t="shared" si="6"/>
        <v/>
      </c>
      <c r="AC12" s="640"/>
      <c r="AD12" s="890">
        <f t="shared" si="7"/>
        <v>323</v>
      </c>
      <c r="AE12" s="890" t="str">
        <f t="shared" si="8"/>
        <v/>
      </c>
      <c r="AF12" s="890" t="str">
        <f t="shared" si="9"/>
        <v/>
      </c>
      <c r="AG12" s="192">
        <f t="shared" si="5"/>
        <v>323</v>
      </c>
      <c r="AH12" s="902"/>
    </row>
    <row r="13" spans="1:80" x14ac:dyDescent="0.25">
      <c r="A13" s="1106" t="s">
        <v>1295</v>
      </c>
      <c r="B13" s="1106" t="s">
        <v>1293</v>
      </c>
      <c r="C13" s="1106">
        <v>105</v>
      </c>
      <c r="D13" s="1106"/>
      <c r="E13" s="1106" t="s">
        <v>1291</v>
      </c>
      <c r="F13" s="1106">
        <v>1</v>
      </c>
      <c r="G13" s="1106">
        <v>1</v>
      </c>
      <c r="H13" s="1106">
        <v>0</v>
      </c>
      <c r="J13" s="57"/>
      <c r="K13" s="57"/>
      <c r="L13" s="57"/>
      <c r="M13" s="57"/>
      <c r="N13" s="57"/>
      <c r="O13" s="57"/>
      <c r="AA13" s="640" t="str">
        <f t="shared" si="4"/>
        <v/>
      </c>
      <c r="AB13" s="640" t="str">
        <f t="shared" si="6"/>
        <v/>
      </c>
      <c r="AC13" s="640"/>
      <c r="AD13" s="890">
        <f t="shared" si="7"/>
        <v>105</v>
      </c>
      <c r="AE13" s="890" t="str">
        <f t="shared" si="8"/>
        <v/>
      </c>
      <c r="AF13" s="890" t="str">
        <f t="shared" si="9"/>
        <v/>
      </c>
      <c r="AG13" s="192">
        <f t="shared" si="5"/>
        <v>105</v>
      </c>
      <c r="AH13" s="902"/>
    </row>
    <row r="14" spans="1:80" x14ac:dyDescent="0.25">
      <c r="A14" s="1106" t="s">
        <v>1295</v>
      </c>
      <c r="B14" s="1106" t="s">
        <v>1294</v>
      </c>
      <c r="C14" s="1106">
        <v>404</v>
      </c>
      <c r="D14" s="1106"/>
      <c r="E14" s="1106" t="s">
        <v>1291</v>
      </c>
      <c r="F14" s="1106">
        <v>1</v>
      </c>
      <c r="G14" s="1106">
        <v>1</v>
      </c>
      <c r="H14" s="1106">
        <v>0</v>
      </c>
      <c r="J14" s="57"/>
      <c r="K14" s="57"/>
      <c r="L14" s="57"/>
      <c r="M14" s="57"/>
      <c r="N14" s="57"/>
      <c r="O14" s="57"/>
      <c r="AA14" s="640" t="str">
        <f t="shared" si="4"/>
        <v/>
      </c>
      <c r="AB14" s="640" t="str">
        <f t="shared" si="6"/>
        <v/>
      </c>
      <c r="AC14" s="640"/>
      <c r="AD14" s="890">
        <f t="shared" si="7"/>
        <v>404</v>
      </c>
      <c r="AE14" s="890" t="str">
        <f t="shared" si="8"/>
        <v/>
      </c>
      <c r="AF14" s="890" t="str">
        <f t="shared" si="9"/>
        <v/>
      </c>
      <c r="AG14" s="192">
        <f t="shared" si="5"/>
        <v>404</v>
      </c>
      <c r="AH14" s="902"/>
    </row>
    <row r="15" spans="1:80" x14ac:dyDescent="0.25">
      <c r="A15" s="1106" t="s">
        <v>1296</v>
      </c>
      <c r="B15" s="1106" t="s">
        <v>1290</v>
      </c>
      <c r="C15" s="1106">
        <v>404</v>
      </c>
      <c r="D15" s="1106"/>
      <c r="E15" s="1106" t="s">
        <v>1291</v>
      </c>
      <c r="F15" s="1106">
        <v>2</v>
      </c>
      <c r="G15" s="1106">
        <v>1</v>
      </c>
      <c r="H15" s="1106">
        <v>0</v>
      </c>
      <c r="J15" s="57"/>
      <c r="K15" s="57"/>
      <c r="L15" s="57"/>
      <c r="M15" s="57"/>
      <c r="N15" s="57"/>
      <c r="O15" s="57"/>
      <c r="AA15" s="640" t="str">
        <f t="shared" si="4"/>
        <v/>
      </c>
      <c r="AB15" s="640">
        <f t="shared" si="6"/>
        <v>0</v>
      </c>
      <c r="AC15" s="640"/>
      <c r="AD15" s="890">
        <f t="shared" si="7"/>
        <v>404</v>
      </c>
      <c r="AE15" s="890" t="str">
        <f t="shared" si="8"/>
        <v/>
      </c>
      <c r="AF15" s="890" t="str">
        <f t="shared" si="9"/>
        <v/>
      </c>
      <c r="AG15" s="192">
        <f t="shared" si="5"/>
        <v>404</v>
      </c>
      <c r="AH15" s="902"/>
    </row>
    <row r="16" spans="1:80" x14ac:dyDescent="0.25">
      <c r="A16" s="1106" t="s">
        <v>1297</v>
      </c>
      <c r="B16" s="1106" t="s">
        <v>1290</v>
      </c>
      <c r="C16" s="1106">
        <v>182</v>
      </c>
      <c r="D16" s="1106"/>
      <c r="E16" s="1106" t="s">
        <v>1298</v>
      </c>
      <c r="F16" s="1106">
        <v>1</v>
      </c>
      <c r="G16" s="1106">
        <v>2</v>
      </c>
      <c r="H16" s="1106">
        <v>0</v>
      </c>
      <c r="J16" s="57"/>
      <c r="K16" s="57"/>
      <c r="L16" s="57"/>
      <c r="M16" s="57"/>
      <c r="N16" s="57"/>
      <c r="O16" s="57"/>
      <c r="AA16" s="640" t="str">
        <f t="shared" si="4"/>
        <v/>
      </c>
      <c r="AB16" s="640" t="str">
        <f t="shared" si="6"/>
        <v/>
      </c>
      <c r="AC16" s="640"/>
      <c r="AD16" s="890" t="str">
        <f t="shared" si="7"/>
        <v/>
      </c>
      <c r="AE16" s="890" t="str">
        <f t="shared" si="8"/>
        <v/>
      </c>
      <c r="AF16" s="890" t="str">
        <f t="shared" si="9"/>
        <v/>
      </c>
      <c r="AG16" s="192">
        <f t="shared" si="5"/>
        <v>364</v>
      </c>
      <c r="AH16" s="902"/>
    </row>
    <row r="17" spans="1:34" x14ac:dyDescent="0.25">
      <c r="A17" s="1106" t="s">
        <v>1297</v>
      </c>
      <c r="B17" s="1106" t="s">
        <v>1292</v>
      </c>
      <c r="C17" s="1106">
        <v>356</v>
      </c>
      <c r="D17" s="1106"/>
      <c r="E17" s="1106" t="s">
        <v>1291</v>
      </c>
      <c r="F17" s="1106">
        <v>1</v>
      </c>
      <c r="G17" s="1106">
        <v>1</v>
      </c>
      <c r="H17" s="1106">
        <v>0</v>
      </c>
      <c r="J17" s="57"/>
      <c r="K17" s="57"/>
      <c r="L17" s="57"/>
      <c r="M17" s="57"/>
      <c r="N17" s="57"/>
      <c r="O17" s="57"/>
      <c r="AA17" s="640" t="str">
        <f t="shared" si="4"/>
        <v/>
      </c>
      <c r="AB17" s="640" t="str">
        <f t="shared" si="6"/>
        <v/>
      </c>
      <c r="AC17" s="640"/>
      <c r="AD17" s="890">
        <f t="shared" si="7"/>
        <v>356</v>
      </c>
      <c r="AE17" s="890" t="str">
        <f t="shared" si="8"/>
        <v/>
      </c>
      <c r="AF17" s="890" t="str">
        <f t="shared" si="9"/>
        <v/>
      </c>
      <c r="AG17" s="192">
        <f t="shared" si="5"/>
        <v>356</v>
      </c>
      <c r="AH17" s="902"/>
    </row>
    <row r="18" spans="1:34" x14ac:dyDescent="0.25">
      <c r="A18" s="1106" t="s">
        <v>1297</v>
      </c>
      <c r="B18" s="1106" t="s">
        <v>1293</v>
      </c>
      <c r="C18" s="1106">
        <v>461</v>
      </c>
      <c r="D18" s="1106"/>
      <c r="E18" s="1106" t="s">
        <v>1291</v>
      </c>
      <c r="F18" s="1106">
        <v>2</v>
      </c>
      <c r="G18" s="1106">
        <v>1</v>
      </c>
      <c r="H18" s="1106">
        <v>0</v>
      </c>
      <c r="J18" s="57"/>
      <c r="K18" s="57"/>
      <c r="L18" s="57"/>
      <c r="M18" s="57"/>
      <c r="N18" s="57"/>
      <c r="O18" s="57"/>
      <c r="AA18" s="640" t="str">
        <f t="shared" si="4"/>
        <v/>
      </c>
      <c r="AB18" s="640">
        <f t="shared" si="6"/>
        <v>0</v>
      </c>
      <c r="AC18" s="640"/>
      <c r="AD18" s="890">
        <f t="shared" si="7"/>
        <v>461</v>
      </c>
      <c r="AE18" s="890" t="str">
        <f t="shared" si="8"/>
        <v/>
      </c>
      <c r="AF18" s="890" t="str">
        <f t="shared" si="9"/>
        <v/>
      </c>
      <c r="AG18" s="192">
        <f t="shared" si="5"/>
        <v>461</v>
      </c>
      <c r="AH18" s="902"/>
    </row>
    <row r="19" spans="1:34" x14ac:dyDescent="0.25">
      <c r="A19" s="1106" t="s">
        <v>1299</v>
      </c>
      <c r="B19" s="1106" t="s">
        <v>1290</v>
      </c>
      <c r="C19" s="1106">
        <v>261</v>
      </c>
      <c r="D19" s="1106"/>
      <c r="E19" s="1106" t="s">
        <v>1291</v>
      </c>
      <c r="F19" s="1106">
        <v>1</v>
      </c>
      <c r="G19" s="1106">
        <v>1</v>
      </c>
      <c r="H19" s="1106">
        <v>0</v>
      </c>
      <c r="J19" s="57"/>
      <c r="K19" s="57"/>
      <c r="L19" s="57"/>
      <c r="M19" s="57"/>
      <c r="N19" s="57"/>
      <c r="O19" s="57"/>
      <c r="AA19" s="640" t="str">
        <f t="shared" si="4"/>
        <v/>
      </c>
      <c r="AB19" s="640" t="str">
        <f t="shared" si="6"/>
        <v/>
      </c>
      <c r="AC19" s="640"/>
      <c r="AD19" s="890">
        <f t="shared" si="7"/>
        <v>261</v>
      </c>
      <c r="AE19" s="890" t="str">
        <f t="shared" si="8"/>
        <v/>
      </c>
      <c r="AF19" s="890" t="str">
        <f t="shared" si="9"/>
        <v/>
      </c>
      <c r="AG19" s="192">
        <f t="shared" si="5"/>
        <v>261</v>
      </c>
      <c r="AH19" s="902"/>
    </row>
    <row r="20" spans="1:34" x14ac:dyDescent="0.25">
      <c r="A20" s="1106" t="s">
        <v>1299</v>
      </c>
      <c r="B20" s="1106" t="s">
        <v>1292</v>
      </c>
      <c r="C20" s="1106">
        <v>107</v>
      </c>
      <c r="D20" s="1106"/>
      <c r="E20" s="1106" t="s">
        <v>1298</v>
      </c>
      <c r="F20" s="1106">
        <v>0</v>
      </c>
      <c r="G20" s="1106">
        <v>1</v>
      </c>
      <c r="H20" s="1106">
        <v>0</v>
      </c>
      <c r="J20" s="57"/>
      <c r="K20" s="57"/>
      <c r="L20" s="57"/>
      <c r="M20" s="57"/>
      <c r="N20" s="57"/>
      <c r="O20" s="57"/>
      <c r="AA20" s="640" t="str">
        <f t="shared" si="4"/>
        <v/>
      </c>
      <c r="AB20" s="640" t="str">
        <f t="shared" si="6"/>
        <v/>
      </c>
      <c r="AC20" s="640"/>
      <c r="AD20" s="890" t="str">
        <f t="shared" si="7"/>
        <v/>
      </c>
      <c r="AE20" s="890" t="str">
        <f t="shared" si="8"/>
        <v/>
      </c>
      <c r="AF20" s="890" t="str">
        <f t="shared" si="9"/>
        <v/>
      </c>
      <c r="AG20" s="192">
        <f t="shared" si="5"/>
        <v>107</v>
      </c>
      <c r="AH20" s="902"/>
    </row>
    <row r="21" spans="1:34" x14ac:dyDescent="0.25">
      <c r="A21" s="1106" t="s">
        <v>1299</v>
      </c>
      <c r="B21" s="1106" t="s">
        <v>1293</v>
      </c>
      <c r="C21" s="1106">
        <v>52</v>
      </c>
      <c r="D21" s="1106"/>
      <c r="E21" s="1106" t="s">
        <v>1298</v>
      </c>
      <c r="F21" s="1106">
        <v>0</v>
      </c>
      <c r="G21" s="1106">
        <v>1</v>
      </c>
      <c r="H21" s="1106">
        <v>0</v>
      </c>
      <c r="J21" s="57"/>
      <c r="K21" s="57"/>
      <c r="L21" s="57"/>
      <c r="M21" s="57"/>
      <c r="N21" s="57"/>
      <c r="O21" s="57"/>
      <c r="AA21" s="640" t="str">
        <f t="shared" si="4"/>
        <v/>
      </c>
      <c r="AB21" s="640" t="str">
        <f t="shared" si="6"/>
        <v/>
      </c>
      <c r="AC21" s="640"/>
      <c r="AD21" s="890" t="str">
        <f t="shared" si="7"/>
        <v/>
      </c>
      <c r="AE21" s="890" t="str">
        <f t="shared" si="8"/>
        <v/>
      </c>
      <c r="AF21" s="890" t="str">
        <f t="shared" si="9"/>
        <v/>
      </c>
      <c r="AG21" s="192">
        <f t="shared" si="5"/>
        <v>52</v>
      </c>
      <c r="AH21" s="902"/>
    </row>
    <row r="22" spans="1:34" x14ac:dyDescent="0.25">
      <c r="A22" s="1106" t="s">
        <v>1300</v>
      </c>
      <c r="B22" s="1106" t="s">
        <v>1290</v>
      </c>
      <c r="C22" s="1106">
        <v>30</v>
      </c>
      <c r="D22" s="1106"/>
      <c r="E22" s="1106" t="s">
        <v>1298</v>
      </c>
      <c r="F22" s="1106">
        <v>1</v>
      </c>
      <c r="G22" s="1106">
        <v>2</v>
      </c>
      <c r="H22" s="1106">
        <v>0</v>
      </c>
      <c r="J22" s="57"/>
      <c r="K22" s="57"/>
      <c r="L22" s="57"/>
      <c r="M22" s="57"/>
      <c r="N22" s="57"/>
      <c r="O22" s="57"/>
      <c r="AA22" s="640" t="str">
        <f t="shared" si="4"/>
        <v/>
      </c>
      <c r="AB22" s="640" t="str">
        <f t="shared" si="6"/>
        <v/>
      </c>
      <c r="AC22" s="640"/>
      <c r="AD22" s="890" t="str">
        <f t="shared" si="7"/>
        <v/>
      </c>
      <c r="AE22" s="890" t="str">
        <f t="shared" si="8"/>
        <v/>
      </c>
      <c r="AF22" s="890" t="str">
        <f t="shared" si="9"/>
        <v/>
      </c>
      <c r="AG22" s="192">
        <f t="shared" si="5"/>
        <v>60</v>
      </c>
      <c r="AH22" s="902"/>
    </row>
    <row r="23" spans="1:34" x14ac:dyDescent="0.25">
      <c r="A23" s="1106" t="s">
        <v>1300</v>
      </c>
      <c r="B23" s="1106" t="s">
        <v>1292</v>
      </c>
      <c r="C23" s="1106">
        <v>239</v>
      </c>
      <c r="D23" s="1106"/>
      <c r="E23" s="1106" t="s">
        <v>1291</v>
      </c>
      <c r="F23" s="1106">
        <v>1</v>
      </c>
      <c r="G23" s="1106">
        <v>1</v>
      </c>
      <c r="H23" s="1106">
        <v>0</v>
      </c>
      <c r="J23" s="57"/>
      <c r="K23" s="57"/>
      <c r="L23" s="57"/>
      <c r="M23" s="57"/>
      <c r="N23" s="57"/>
      <c r="O23" s="57"/>
      <c r="AA23" s="640" t="str">
        <f t="shared" si="4"/>
        <v/>
      </c>
      <c r="AB23" s="640" t="str">
        <f t="shared" si="6"/>
        <v/>
      </c>
      <c r="AC23" s="640"/>
      <c r="AD23" s="890">
        <f t="shared" si="7"/>
        <v>239</v>
      </c>
      <c r="AE23" s="890" t="str">
        <f t="shared" si="8"/>
        <v/>
      </c>
      <c r="AF23" s="890" t="str">
        <f t="shared" si="9"/>
        <v/>
      </c>
      <c r="AG23" s="192">
        <f t="shared" si="5"/>
        <v>239</v>
      </c>
      <c r="AH23" s="902"/>
    </row>
    <row r="24" spans="1:34" x14ac:dyDescent="0.25">
      <c r="A24" s="1106" t="s">
        <v>1300</v>
      </c>
      <c r="B24" s="1106" t="s">
        <v>1293</v>
      </c>
      <c r="C24" s="1106">
        <v>39</v>
      </c>
      <c r="D24" s="1106"/>
      <c r="E24" s="1106" t="s">
        <v>1291</v>
      </c>
      <c r="F24" s="1106">
        <v>2</v>
      </c>
      <c r="G24" s="1106">
        <v>2</v>
      </c>
      <c r="H24" s="1106">
        <v>0</v>
      </c>
      <c r="J24" s="57"/>
      <c r="K24" s="57"/>
      <c r="L24" s="57"/>
      <c r="M24" s="57"/>
      <c r="N24" s="57"/>
      <c r="O24" s="57"/>
      <c r="AA24" s="640" t="str">
        <f t="shared" si="4"/>
        <v/>
      </c>
      <c r="AB24" s="640">
        <f t="shared" si="6"/>
        <v>0</v>
      </c>
      <c r="AC24" s="640"/>
      <c r="AD24" s="890">
        <f t="shared" si="7"/>
        <v>39</v>
      </c>
      <c r="AE24" s="890" t="str">
        <f t="shared" si="8"/>
        <v/>
      </c>
      <c r="AF24" s="890" t="str">
        <f t="shared" si="9"/>
        <v/>
      </c>
      <c r="AG24" s="192">
        <f t="shared" si="5"/>
        <v>78</v>
      </c>
      <c r="AH24" s="902"/>
    </row>
    <row r="25" spans="1:34" x14ac:dyDescent="0.25">
      <c r="A25" s="1106" t="s">
        <v>1300</v>
      </c>
      <c r="B25" s="1106" t="s">
        <v>1294</v>
      </c>
      <c r="C25" s="1106">
        <v>109</v>
      </c>
      <c r="D25" s="1106"/>
      <c r="E25" s="1106" t="s">
        <v>1291</v>
      </c>
      <c r="F25" s="1106">
        <v>2</v>
      </c>
      <c r="G25" s="1106">
        <v>1</v>
      </c>
      <c r="H25" s="1106">
        <v>0</v>
      </c>
      <c r="J25" s="57"/>
      <c r="K25" s="57"/>
      <c r="L25" s="57"/>
      <c r="M25" s="57"/>
      <c r="N25" s="57"/>
      <c r="O25" s="57"/>
      <c r="AA25" s="640" t="str">
        <f t="shared" si="4"/>
        <v/>
      </c>
      <c r="AB25" s="640">
        <f t="shared" si="6"/>
        <v>0</v>
      </c>
      <c r="AC25" s="640"/>
      <c r="AD25" s="890">
        <f t="shared" si="7"/>
        <v>109</v>
      </c>
      <c r="AE25" s="890" t="str">
        <f t="shared" si="8"/>
        <v/>
      </c>
      <c r="AF25" s="890" t="str">
        <f t="shared" si="9"/>
        <v/>
      </c>
      <c r="AG25" s="192">
        <f t="shared" si="5"/>
        <v>109</v>
      </c>
    </row>
    <row r="26" spans="1:34" x14ac:dyDescent="0.25">
      <c r="A26" s="1106" t="s">
        <v>1301</v>
      </c>
      <c r="B26" s="1106" t="s">
        <v>1290</v>
      </c>
      <c r="C26" s="1106">
        <v>242</v>
      </c>
      <c r="D26" s="1106"/>
      <c r="E26" s="1106" t="s">
        <v>1298</v>
      </c>
      <c r="F26" s="1106">
        <v>1</v>
      </c>
      <c r="G26" s="1106">
        <v>2</v>
      </c>
      <c r="H26" s="1106">
        <v>0</v>
      </c>
      <c r="J26" s="57"/>
      <c r="K26" s="57"/>
      <c r="L26" s="57"/>
      <c r="M26" s="57"/>
      <c r="N26" s="57"/>
      <c r="O26" s="57"/>
      <c r="AA26" s="640" t="str">
        <f t="shared" si="4"/>
        <v/>
      </c>
      <c r="AB26" s="640" t="str">
        <f t="shared" si="6"/>
        <v/>
      </c>
      <c r="AC26" s="640"/>
      <c r="AD26" s="890" t="str">
        <f t="shared" si="7"/>
        <v/>
      </c>
      <c r="AE26" s="890" t="str">
        <f t="shared" si="8"/>
        <v/>
      </c>
      <c r="AF26" s="890" t="str">
        <f t="shared" si="9"/>
        <v/>
      </c>
      <c r="AG26" s="192">
        <f t="shared" si="5"/>
        <v>484</v>
      </c>
    </row>
    <row r="27" spans="1:34" x14ac:dyDescent="0.25">
      <c r="A27" s="1106" t="s">
        <v>1301</v>
      </c>
      <c r="B27" s="1106" t="s">
        <v>1292</v>
      </c>
      <c r="C27" s="1106">
        <v>100</v>
      </c>
      <c r="D27" s="1106"/>
      <c r="E27" s="1106" t="s">
        <v>1291</v>
      </c>
      <c r="F27" s="1106">
        <v>1</v>
      </c>
      <c r="G27" s="1106">
        <v>1</v>
      </c>
      <c r="H27" s="1106">
        <v>0</v>
      </c>
      <c r="J27" s="57"/>
      <c r="K27" s="57"/>
      <c r="L27" s="57"/>
      <c r="M27" s="57"/>
      <c r="N27" s="57"/>
      <c r="O27" s="57"/>
      <c r="AA27" s="640" t="str">
        <f t="shared" si="4"/>
        <v/>
      </c>
      <c r="AB27" s="640" t="str">
        <f t="shared" si="6"/>
        <v/>
      </c>
      <c r="AC27" s="640"/>
      <c r="AD27" s="890">
        <f t="shared" si="7"/>
        <v>100</v>
      </c>
      <c r="AE27" s="890" t="str">
        <f t="shared" si="8"/>
        <v/>
      </c>
      <c r="AF27" s="890" t="str">
        <f t="shared" si="9"/>
        <v/>
      </c>
      <c r="AG27" s="192">
        <f t="shared" si="5"/>
        <v>100</v>
      </c>
    </row>
    <row r="28" spans="1:34" x14ac:dyDescent="0.25">
      <c r="A28" s="1106" t="s">
        <v>1301</v>
      </c>
      <c r="B28" s="1106" t="s">
        <v>1293</v>
      </c>
      <c r="C28" s="1106">
        <v>101</v>
      </c>
      <c r="D28" s="1106"/>
      <c r="E28" s="1106" t="s">
        <v>1298</v>
      </c>
      <c r="F28" s="1106">
        <v>1</v>
      </c>
      <c r="G28" s="1106">
        <v>2</v>
      </c>
      <c r="H28" s="1106">
        <v>0</v>
      </c>
      <c r="J28" s="57"/>
      <c r="K28" s="57"/>
      <c r="L28" s="57"/>
      <c r="M28" s="57"/>
      <c r="N28" s="57"/>
      <c r="O28" s="57"/>
      <c r="AA28" s="640" t="str">
        <f t="shared" si="4"/>
        <v/>
      </c>
      <c r="AB28" s="640" t="str">
        <f t="shared" si="6"/>
        <v/>
      </c>
      <c r="AC28" s="640"/>
      <c r="AD28" s="890" t="str">
        <f t="shared" si="7"/>
        <v/>
      </c>
      <c r="AE28" s="890" t="str">
        <f t="shared" si="8"/>
        <v/>
      </c>
      <c r="AF28" s="890" t="str">
        <f t="shared" si="9"/>
        <v/>
      </c>
      <c r="AG28" s="192">
        <f t="shared" si="5"/>
        <v>202</v>
      </c>
    </row>
    <row r="29" spans="1:34" x14ac:dyDescent="0.25">
      <c r="A29" s="1106" t="s">
        <v>1301</v>
      </c>
      <c r="B29" s="1106" t="s">
        <v>1294</v>
      </c>
      <c r="C29" s="1106">
        <v>313</v>
      </c>
      <c r="D29" s="1106"/>
      <c r="E29" s="1106" t="s">
        <v>1291</v>
      </c>
      <c r="F29" s="1106">
        <v>1</v>
      </c>
      <c r="G29" s="1106">
        <v>1</v>
      </c>
      <c r="H29" s="1106">
        <v>0</v>
      </c>
      <c r="J29" s="57"/>
      <c r="K29" s="57"/>
      <c r="L29" s="57"/>
      <c r="M29" s="57"/>
      <c r="N29" s="57"/>
      <c r="O29" s="57"/>
      <c r="AA29" s="640" t="str">
        <f t="shared" si="4"/>
        <v/>
      </c>
      <c r="AB29" s="640" t="str">
        <f t="shared" si="6"/>
        <v/>
      </c>
      <c r="AC29" s="640"/>
      <c r="AD29" s="890">
        <f t="shared" si="7"/>
        <v>313</v>
      </c>
      <c r="AE29" s="890" t="str">
        <f t="shared" si="8"/>
        <v/>
      </c>
      <c r="AF29" s="890" t="str">
        <f t="shared" si="9"/>
        <v/>
      </c>
      <c r="AG29" s="192">
        <f t="shared" si="5"/>
        <v>313</v>
      </c>
    </row>
    <row r="30" spans="1:34" x14ac:dyDescent="0.25">
      <c r="A30" s="1106" t="s">
        <v>1301</v>
      </c>
      <c r="B30" s="1106" t="s">
        <v>1302</v>
      </c>
      <c r="C30" s="1106">
        <v>285</v>
      </c>
      <c r="D30" s="1106"/>
      <c r="E30" s="1106" t="s">
        <v>1291</v>
      </c>
      <c r="F30" s="1106">
        <v>2</v>
      </c>
      <c r="G30" s="1106">
        <v>1</v>
      </c>
      <c r="H30" s="1106">
        <v>0</v>
      </c>
      <c r="J30" s="57"/>
      <c r="K30" s="57"/>
      <c r="L30" s="57"/>
      <c r="M30" s="57"/>
      <c r="N30" s="57"/>
      <c r="O30" s="57"/>
      <c r="AA30" s="640" t="str">
        <f t="shared" si="4"/>
        <v/>
      </c>
      <c r="AB30" s="640">
        <f t="shared" si="6"/>
        <v>0</v>
      </c>
      <c r="AC30" s="640"/>
      <c r="AD30" s="890">
        <f t="shared" si="7"/>
        <v>285</v>
      </c>
      <c r="AE30" s="890" t="str">
        <f t="shared" si="8"/>
        <v/>
      </c>
      <c r="AF30" s="890" t="str">
        <f t="shared" si="9"/>
        <v/>
      </c>
      <c r="AG30" s="192">
        <f t="shared" si="5"/>
        <v>285</v>
      </c>
    </row>
    <row r="31" spans="1:34" x14ac:dyDescent="0.25">
      <c r="A31" s="1106" t="s">
        <v>1303</v>
      </c>
      <c r="B31" s="1106" t="s">
        <v>1290</v>
      </c>
      <c r="C31" s="1106">
        <v>228</v>
      </c>
      <c r="D31" s="1106"/>
      <c r="E31" s="1106" t="s">
        <v>1291</v>
      </c>
      <c r="F31" s="1106">
        <v>2</v>
      </c>
      <c r="G31" s="1106">
        <v>1</v>
      </c>
      <c r="H31" s="1106">
        <v>0</v>
      </c>
      <c r="J31" s="57"/>
      <c r="K31" s="57"/>
      <c r="L31" s="57"/>
      <c r="M31" s="57"/>
      <c r="N31" s="57"/>
      <c r="O31" s="57"/>
      <c r="AA31" s="640" t="str">
        <f t="shared" si="4"/>
        <v/>
      </c>
      <c r="AB31" s="640">
        <f t="shared" si="6"/>
        <v>0</v>
      </c>
      <c r="AC31" s="640"/>
      <c r="AD31" s="890">
        <f t="shared" si="7"/>
        <v>228</v>
      </c>
      <c r="AE31" s="890" t="str">
        <f t="shared" si="8"/>
        <v/>
      </c>
      <c r="AF31" s="890" t="str">
        <f t="shared" si="9"/>
        <v/>
      </c>
      <c r="AG31" s="192">
        <f t="shared" si="5"/>
        <v>228</v>
      </c>
    </row>
    <row r="32" spans="1:34" x14ac:dyDescent="0.25">
      <c r="A32" s="1106" t="s">
        <v>1304</v>
      </c>
      <c r="B32" s="1106" t="s">
        <v>1290</v>
      </c>
      <c r="C32" s="1106">
        <v>242</v>
      </c>
      <c r="D32" s="1106"/>
      <c r="E32" s="1106" t="s">
        <v>1291</v>
      </c>
      <c r="F32" s="1106">
        <v>2</v>
      </c>
      <c r="G32" s="1106">
        <v>1</v>
      </c>
      <c r="H32" s="1106">
        <v>0</v>
      </c>
      <c r="J32" s="57"/>
      <c r="K32" s="57"/>
      <c r="L32" s="57"/>
      <c r="M32" s="57"/>
      <c r="N32" s="57"/>
      <c r="O32" s="57"/>
      <c r="AA32" s="640" t="str">
        <f t="shared" si="4"/>
        <v/>
      </c>
      <c r="AB32" s="640">
        <f t="shared" si="6"/>
        <v>0</v>
      </c>
      <c r="AC32" s="640"/>
      <c r="AD32" s="890">
        <f t="shared" si="7"/>
        <v>242</v>
      </c>
      <c r="AE32" s="890" t="str">
        <f t="shared" si="8"/>
        <v/>
      </c>
      <c r="AF32" s="890" t="str">
        <f t="shared" si="9"/>
        <v/>
      </c>
      <c r="AG32" s="192">
        <f t="shared" si="5"/>
        <v>242</v>
      </c>
    </row>
    <row r="33" spans="1:34" x14ac:dyDescent="0.25">
      <c r="A33" s="1106" t="s">
        <v>1304</v>
      </c>
      <c r="B33" s="1106" t="s">
        <v>1292</v>
      </c>
      <c r="C33" s="1106">
        <v>314</v>
      </c>
      <c r="D33" s="1106"/>
      <c r="E33" s="1106" t="s">
        <v>1291</v>
      </c>
      <c r="F33" s="1106">
        <v>2</v>
      </c>
      <c r="G33" s="1106">
        <v>1</v>
      </c>
      <c r="H33" s="1106">
        <v>0</v>
      </c>
      <c r="J33" s="57"/>
      <c r="K33" s="57"/>
      <c r="L33" s="57"/>
      <c r="M33" s="57"/>
      <c r="N33" s="57"/>
      <c r="O33" s="57"/>
      <c r="AA33" s="640" t="str">
        <f t="shared" si="4"/>
        <v/>
      </c>
      <c r="AB33" s="640">
        <f t="shared" si="6"/>
        <v>0</v>
      </c>
      <c r="AC33" s="640"/>
      <c r="AD33" s="890">
        <f t="shared" si="7"/>
        <v>314</v>
      </c>
      <c r="AE33" s="890" t="str">
        <f t="shared" si="8"/>
        <v/>
      </c>
      <c r="AF33" s="890" t="str">
        <f t="shared" si="9"/>
        <v/>
      </c>
      <c r="AG33" s="192">
        <f t="shared" si="5"/>
        <v>314</v>
      </c>
    </row>
    <row r="34" spans="1:34" x14ac:dyDescent="0.25">
      <c r="A34" s="1106" t="s">
        <v>1304</v>
      </c>
      <c r="B34" s="1106" t="s">
        <v>1293</v>
      </c>
      <c r="C34" s="1106">
        <v>174</v>
      </c>
      <c r="D34" s="1106"/>
      <c r="E34" s="1106" t="s">
        <v>1298</v>
      </c>
      <c r="F34" s="1106">
        <v>0</v>
      </c>
      <c r="G34" s="1106">
        <v>1</v>
      </c>
      <c r="H34" s="1106">
        <v>0</v>
      </c>
      <c r="J34" s="57"/>
      <c r="K34" s="57"/>
      <c r="L34" s="57"/>
      <c r="M34" s="57"/>
      <c r="N34" s="57"/>
      <c r="O34" s="57"/>
      <c r="AA34" s="640" t="str">
        <f t="shared" si="4"/>
        <v/>
      </c>
      <c r="AB34" s="640" t="str">
        <f t="shared" si="6"/>
        <v/>
      </c>
      <c r="AC34" s="640"/>
      <c r="AD34" s="890" t="str">
        <f t="shared" si="7"/>
        <v/>
      </c>
      <c r="AE34" s="890" t="str">
        <f t="shared" si="8"/>
        <v/>
      </c>
      <c r="AF34" s="890" t="str">
        <f t="shared" si="9"/>
        <v/>
      </c>
      <c r="AG34" s="192">
        <f t="shared" si="5"/>
        <v>174</v>
      </c>
    </row>
    <row r="35" spans="1:34" x14ac:dyDescent="0.25">
      <c r="A35" s="1106" t="s">
        <v>1305</v>
      </c>
      <c r="B35" s="1106" t="s">
        <v>1290</v>
      </c>
      <c r="C35" s="1106">
        <v>104</v>
      </c>
      <c r="D35" s="1106"/>
      <c r="E35" s="1106" t="s">
        <v>1291</v>
      </c>
      <c r="F35" s="1106">
        <v>2</v>
      </c>
      <c r="G35" s="1106">
        <v>2</v>
      </c>
      <c r="H35" s="1106">
        <v>0</v>
      </c>
      <c r="J35" s="57"/>
      <c r="K35" s="57"/>
      <c r="L35" s="57"/>
      <c r="M35" s="57"/>
      <c r="N35" s="57"/>
      <c r="O35" s="57"/>
      <c r="AA35" s="640" t="str">
        <f t="shared" si="4"/>
        <v/>
      </c>
      <c r="AB35" s="640">
        <f t="shared" si="6"/>
        <v>0</v>
      </c>
      <c r="AC35" s="640"/>
      <c r="AD35" s="890">
        <f t="shared" si="7"/>
        <v>104</v>
      </c>
      <c r="AE35" s="890" t="str">
        <f t="shared" si="8"/>
        <v/>
      </c>
      <c r="AF35" s="890" t="str">
        <f t="shared" si="9"/>
        <v/>
      </c>
      <c r="AG35" s="192">
        <f t="shared" si="5"/>
        <v>208</v>
      </c>
    </row>
    <row r="36" spans="1:34" x14ac:dyDescent="0.25">
      <c r="A36" s="1106" t="s">
        <v>1305</v>
      </c>
      <c r="B36" s="1106" t="s">
        <v>1292</v>
      </c>
      <c r="C36" s="1106">
        <v>213</v>
      </c>
      <c r="D36" s="1106"/>
      <c r="E36" s="1106" t="s">
        <v>1291</v>
      </c>
      <c r="F36" s="1106">
        <v>1</v>
      </c>
      <c r="G36" s="1106">
        <v>1</v>
      </c>
      <c r="H36" s="1106">
        <v>0</v>
      </c>
      <c r="J36" s="57"/>
      <c r="K36" s="57"/>
      <c r="L36" s="57"/>
      <c r="M36" s="57"/>
      <c r="N36" s="57"/>
      <c r="O36" s="57"/>
      <c r="AA36" s="640" t="str">
        <f t="shared" si="4"/>
        <v/>
      </c>
      <c r="AB36" s="640" t="str">
        <f t="shared" si="6"/>
        <v/>
      </c>
      <c r="AC36" s="640"/>
      <c r="AD36" s="890">
        <f t="shared" si="7"/>
        <v>213</v>
      </c>
      <c r="AE36" s="890" t="str">
        <f t="shared" si="8"/>
        <v/>
      </c>
      <c r="AF36" s="890" t="str">
        <f t="shared" si="9"/>
        <v/>
      </c>
      <c r="AG36" s="192">
        <f t="shared" si="5"/>
        <v>213</v>
      </c>
    </row>
    <row r="37" spans="1:34" x14ac:dyDescent="0.25">
      <c r="A37" s="1106" t="s">
        <v>1305</v>
      </c>
      <c r="B37" s="1106" t="s">
        <v>1293</v>
      </c>
      <c r="C37" s="1106">
        <v>420</v>
      </c>
      <c r="D37" s="1106"/>
      <c r="E37" s="1106" t="s">
        <v>1291</v>
      </c>
      <c r="F37" s="1106">
        <v>1</v>
      </c>
      <c r="G37" s="1106">
        <v>1</v>
      </c>
      <c r="H37" s="1106">
        <v>0</v>
      </c>
      <c r="J37" s="57"/>
      <c r="K37" s="57"/>
      <c r="L37" s="57"/>
      <c r="M37" s="57"/>
      <c r="N37" s="57"/>
      <c r="O37" s="57"/>
      <c r="AA37" s="640" t="str">
        <f t="shared" si="4"/>
        <v/>
      </c>
      <c r="AB37" s="640" t="str">
        <f t="shared" si="6"/>
        <v/>
      </c>
      <c r="AC37" s="640"/>
      <c r="AD37" s="890">
        <f t="shared" si="7"/>
        <v>420</v>
      </c>
      <c r="AE37" s="890" t="str">
        <f t="shared" si="8"/>
        <v/>
      </c>
      <c r="AF37" s="890" t="str">
        <f t="shared" si="9"/>
        <v/>
      </c>
      <c r="AG37" s="192">
        <f t="shared" si="5"/>
        <v>420</v>
      </c>
    </row>
    <row r="38" spans="1:34" x14ac:dyDescent="0.25">
      <c r="A38" s="1106" t="s">
        <v>1306</v>
      </c>
      <c r="B38" s="1106" t="s">
        <v>1290</v>
      </c>
      <c r="C38" s="1106">
        <v>434</v>
      </c>
      <c r="D38" s="1106"/>
      <c r="E38" s="1106" t="s">
        <v>1291</v>
      </c>
      <c r="F38" s="1106">
        <v>2</v>
      </c>
      <c r="G38" s="1106">
        <v>1</v>
      </c>
      <c r="H38" s="1106">
        <v>0</v>
      </c>
      <c r="J38" s="57"/>
      <c r="K38" s="57"/>
      <c r="L38" s="57"/>
      <c r="M38" s="57"/>
      <c r="N38" s="57"/>
      <c r="O38" s="57"/>
      <c r="AA38" s="640" t="str">
        <f t="shared" si="4"/>
        <v/>
      </c>
      <c r="AB38" s="640">
        <f t="shared" si="6"/>
        <v>0</v>
      </c>
      <c r="AC38" s="640"/>
      <c r="AD38" s="890">
        <f t="shared" si="7"/>
        <v>434</v>
      </c>
      <c r="AE38" s="890" t="str">
        <f t="shared" si="8"/>
        <v/>
      </c>
      <c r="AF38" s="890" t="str">
        <f t="shared" si="9"/>
        <v/>
      </c>
      <c r="AG38" s="192">
        <f t="shared" si="5"/>
        <v>434</v>
      </c>
    </row>
    <row r="39" spans="1:34" x14ac:dyDescent="0.25">
      <c r="A39" s="1106" t="s">
        <v>1306</v>
      </c>
      <c r="B39" s="1106" t="s">
        <v>1292</v>
      </c>
      <c r="C39" s="1106">
        <v>163</v>
      </c>
      <c r="D39" s="1106"/>
      <c r="E39" s="1106" t="s">
        <v>1291</v>
      </c>
      <c r="F39" s="1106">
        <v>2</v>
      </c>
      <c r="G39" s="1106">
        <v>1</v>
      </c>
      <c r="H39" s="1106">
        <v>0</v>
      </c>
      <c r="J39" s="57"/>
      <c r="K39" s="57"/>
      <c r="L39" s="57"/>
      <c r="M39" s="57"/>
      <c r="N39" s="57"/>
      <c r="O39" s="57"/>
      <c r="AA39" s="640" t="str">
        <f t="shared" si="4"/>
        <v/>
      </c>
      <c r="AB39" s="640">
        <f t="shared" si="6"/>
        <v>0</v>
      </c>
      <c r="AC39" s="640"/>
      <c r="AD39" s="890">
        <f t="shared" si="7"/>
        <v>163</v>
      </c>
      <c r="AE39" s="890" t="str">
        <f t="shared" si="8"/>
        <v/>
      </c>
      <c r="AF39" s="890" t="str">
        <f t="shared" si="9"/>
        <v/>
      </c>
      <c r="AG39" s="192">
        <f t="shared" si="5"/>
        <v>163</v>
      </c>
    </row>
    <row r="40" spans="1:34" x14ac:dyDescent="0.25">
      <c r="A40" s="1106" t="s">
        <v>1306</v>
      </c>
      <c r="B40" s="1106" t="s">
        <v>1293</v>
      </c>
      <c r="C40" s="1106">
        <v>251</v>
      </c>
      <c r="D40" s="1106"/>
      <c r="E40" s="1106" t="s">
        <v>1291</v>
      </c>
      <c r="F40" s="1106">
        <v>2</v>
      </c>
      <c r="G40" s="1106">
        <v>1</v>
      </c>
      <c r="H40" s="1106">
        <v>0</v>
      </c>
      <c r="J40" s="57"/>
      <c r="K40" s="57"/>
      <c r="L40" s="57"/>
      <c r="M40" s="57"/>
      <c r="N40" s="57"/>
      <c r="O40" s="57"/>
      <c r="AA40" s="640" t="str">
        <f t="shared" si="4"/>
        <v/>
      </c>
      <c r="AB40" s="640">
        <f t="shared" si="6"/>
        <v>0</v>
      </c>
      <c r="AC40" s="640"/>
      <c r="AD40" s="890">
        <f t="shared" si="7"/>
        <v>251</v>
      </c>
      <c r="AE40" s="890" t="str">
        <f t="shared" si="8"/>
        <v/>
      </c>
      <c r="AF40" s="890" t="str">
        <f t="shared" si="9"/>
        <v/>
      </c>
      <c r="AG40" s="192">
        <f t="shared" si="5"/>
        <v>251</v>
      </c>
    </row>
    <row r="41" spans="1:34" x14ac:dyDescent="0.25">
      <c r="A41" s="1106" t="s">
        <v>1307</v>
      </c>
      <c r="B41" s="1106" t="s">
        <v>1290</v>
      </c>
      <c r="C41" s="1106">
        <v>273</v>
      </c>
      <c r="D41" s="1106"/>
      <c r="E41" s="1106" t="s">
        <v>1291</v>
      </c>
      <c r="F41" s="1106">
        <v>1</v>
      </c>
      <c r="G41" s="1106">
        <v>1</v>
      </c>
      <c r="H41" s="1106">
        <v>0</v>
      </c>
      <c r="J41" s="57"/>
      <c r="K41" s="57"/>
      <c r="L41" s="57"/>
      <c r="M41" s="57"/>
      <c r="N41" s="57"/>
      <c r="O41" s="57"/>
      <c r="AA41" s="640" t="str">
        <f t="shared" si="4"/>
        <v/>
      </c>
      <c r="AB41" s="640" t="str">
        <f t="shared" si="6"/>
        <v/>
      </c>
      <c r="AC41" s="640"/>
      <c r="AD41" s="890">
        <f t="shared" si="7"/>
        <v>273</v>
      </c>
      <c r="AE41" s="890" t="str">
        <f t="shared" si="8"/>
        <v/>
      </c>
      <c r="AF41" s="890" t="str">
        <f t="shared" si="9"/>
        <v/>
      </c>
      <c r="AG41" s="192">
        <f t="shared" si="5"/>
        <v>273</v>
      </c>
    </row>
    <row r="42" spans="1:34" x14ac:dyDescent="0.25">
      <c r="A42" s="1106" t="s">
        <v>1307</v>
      </c>
      <c r="B42" s="1106" t="s">
        <v>1292</v>
      </c>
      <c r="C42" s="1106">
        <v>273</v>
      </c>
      <c r="D42" s="1106"/>
      <c r="E42" s="1106" t="s">
        <v>1291</v>
      </c>
      <c r="F42" s="1106">
        <v>1</v>
      </c>
      <c r="G42" s="1106">
        <v>1</v>
      </c>
      <c r="H42" s="1106">
        <v>0</v>
      </c>
      <c r="J42" s="57"/>
      <c r="K42" s="57"/>
      <c r="L42" s="57"/>
      <c r="M42" s="57"/>
      <c r="N42" s="57"/>
      <c r="O42" s="57"/>
      <c r="AA42" s="640" t="str">
        <f t="shared" si="4"/>
        <v/>
      </c>
      <c r="AB42" s="640" t="str">
        <f t="shared" si="6"/>
        <v/>
      </c>
      <c r="AC42" s="640"/>
      <c r="AD42" s="890">
        <f t="shared" si="7"/>
        <v>273</v>
      </c>
      <c r="AE42" s="890" t="str">
        <f t="shared" si="8"/>
        <v/>
      </c>
      <c r="AF42" s="890" t="str">
        <f t="shared" si="9"/>
        <v/>
      </c>
      <c r="AG42" s="192">
        <f t="shared" si="5"/>
        <v>273</v>
      </c>
    </row>
    <row r="43" spans="1:34" x14ac:dyDescent="0.25">
      <c r="A43" s="1106" t="s">
        <v>1307</v>
      </c>
      <c r="B43" s="1106" t="s">
        <v>1293</v>
      </c>
      <c r="C43" s="1106">
        <v>373</v>
      </c>
      <c r="D43" s="1106"/>
      <c r="E43" s="1106" t="s">
        <v>1291</v>
      </c>
      <c r="F43" s="1106">
        <v>1</v>
      </c>
      <c r="G43" s="1106">
        <v>1</v>
      </c>
      <c r="H43" s="1106">
        <v>0</v>
      </c>
      <c r="J43" s="57"/>
      <c r="K43" s="57"/>
      <c r="L43" s="57"/>
      <c r="M43" s="57"/>
      <c r="N43" s="57"/>
      <c r="O43" s="57"/>
      <c r="AA43" s="640" t="str">
        <f t="shared" si="4"/>
        <v/>
      </c>
      <c r="AB43" s="640" t="str">
        <f t="shared" si="6"/>
        <v/>
      </c>
      <c r="AC43" s="640"/>
      <c r="AD43" s="890">
        <f t="shared" si="7"/>
        <v>373</v>
      </c>
      <c r="AE43" s="890" t="str">
        <f t="shared" si="8"/>
        <v/>
      </c>
      <c r="AF43" s="890" t="str">
        <f t="shared" si="9"/>
        <v/>
      </c>
      <c r="AG43" s="192">
        <f t="shared" si="5"/>
        <v>373</v>
      </c>
    </row>
    <row r="44" spans="1:34" x14ac:dyDescent="0.25">
      <c r="A44" s="1106" t="s">
        <v>1307</v>
      </c>
      <c r="B44" s="1106" t="s">
        <v>1294</v>
      </c>
      <c r="C44" s="1106">
        <v>360</v>
      </c>
      <c r="D44" s="1106"/>
      <c r="E44" s="1106" t="s">
        <v>1291</v>
      </c>
      <c r="F44" s="1106">
        <v>1</v>
      </c>
      <c r="G44" s="1106">
        <v>1</v>
      </c>
      <c r="H44" s="1106">
        <v>0</v>
      </c>
      <c r="J44" s="57"/>
      <c r="K44" s="57"/>
      <c r="L44" s="57"/>
      <c r="M44" s="57"/>
      <c r="N44" s="57"/>
      <c r="O44" s="57"/>
      <c r="AA44" s="640" t="str">
        <f t="shared" si="4"/>
        <v/>
      </c>
      <c r="AB44" s="640" t="str">
        <f t="shared" si="6"/>
        <v/>
      </c>
      <c r="AC44" s="640"/>
      <c r="AD44" s="890">
        <f t="shared" si="7"/>
        <v>360</v>
      </c>
      <c r="AE44" s="890" t="str">
        <f t="shared" si="8"/>
        <v/>
      </c>
      <c r="AF44" s="890" t="str">
        <f t="shared" si="9"/>
        <v/>
      </c>
      <c r="AG44" s="192">
        <f t="shared" si="5"/>
        <v>360</v>
      </c>
    </row>
    <row r="45" spans="1:34" x14ac:dyDescent="0.25">
      <c r="A45" s="1106" t="s">
        <v>1308</v>
      </c>
      <c r="B45" s="1106" t="s">
        <v>1290</v>
      </c>
      <c r="C45" s="1106">
        <v>500</v>
      </c>
      <c r="D45" s="1106"/>
      <c r="E45" s="1106" t="s">
        <v>1291</v>
      </c>
      <c r="F45" s="1106">
        <v>1</v>
      </c>
      <c r="G45" s="1106">
        <v>1</v>
      </c>
      <c r="H45" s="1106">
        <v>0</v>
      </c>
      <c r="J45" s="57"/>
      <c r="K45" s="57"/>
      <c r="L45" s="57"/>
      <c r="M45" s="57"/>
      <c r="N45" s="57"/>
      <c r="O45" s="57"/>
      <c r="AA45" s="640" t="str">
        <f t="shared" si="4"/>
        <v/>
      </c>
      <c r="AB45" s="640" t="str">
        <f t="shared" si="6"/>
        <v/>
      </c>
      <c r="AC45" s="640"/>
      <c r="AD45" s="890">
        <f t="shared" si="7"/>
        <v>500</v>
      </c>
      <c r="AE45" s="890" t="str">
        <f t="shared" si="8"/>
        <v/>
      </c>
      <c r="AF45" s="890" t="str">
        <f t="shared" si="9"/>
        <v/>
      </c>
      <c r="AG45" s="192">
        <f t="shared" si="5"/>
        <v>500</v>
      </c>
    </row>
    <row r="46" spans="1:34" x14ac:dyDescent="0.25">
      <c r="A46" s="1106" t="s">
        <v>1309</v>
      </c>
      <c r="B46" s="1106" t="s">
        <v>1290</v>
      </c>
      <c r="C46" s="1106">
        <v>438</v>
      </c>
      <c r="D46" s="1106"/>
      <c r="E46" s="1106" t="s">
        <v>1298</v>
      </c>
      <c r="F46" s="1106">
        <v>1</v>
      </c>
      <c r="G46" s="1106">
        <v>2</v>
      </c>
      <c r="H46" s="1106">
        <v>0</v>
      </c>
      <c r="J46" s="57"/>
      <c r="K46" s="57"/>
      <c r="L46" s="57"/>
      <c r="M46" s="57"/>
      <c r="N46" s="57"/>
      <c r="O46" s="57"/>
      <c r="AA46" s="640" t="str">
        <f t="shared" si="4"/>
        <v/>
      </c>
      <c r="AB46" s="640" t="str">
        <f t="shared" si="6"/>
        <v/>
      </c>
      <c r="AC46" s="640"/>
      <c r="AD46" s="890" t="str">
        <f t="shared" si="7"/>
        <v/>
      </c>
      <c r="AE46" s="890" t="str">
        <f t="shared" si="8"/>
        <v/>
      </c>
      <c r="AF46" s="890" t="str">
        <f t="shared" si="9"/>
        <v/>
      </c>
      <c r="AG46" s="192">
        <f t="shared" si="5"/>
        <v>876</v>
      </c>
    </row>
    <row r="47" spans="1:34" x14ac:dyDescent="0.25">
      <c r="A47" s="1106" t="s">
        <v>1310</v>
      </c>
      <c r="B47" s="1106" t="s">
        <v>1290</v>
      </c>
      <c r="C47" s="1106">
        <v>204</v>
      </c>
      <c r="D47" s="1106"/>
      <c r="E47" s="1106" t="s">
        <v>1298</v>
      </c>
      <c r="F47" s="1106">
        <v>1</v>
      </c>
      <c r="G47" s="1106">
        <v>2</v>
      </c>
      <c r="H47" s="1106">
        <v>0</v>
      </c>
      <c r="J47" s="57"/>
      <c r="K47" s="57"/>
      <c r="L47" s="57"/>
      <c r="M47" s="57"/>
      <c r="N47" s="57"/>
      <c r="O47" s="57"/>
      <c r="AA47" s="640" t="str">
        <f t="shared" si="4"/>
        <v/>
      </c>
      <c r="AB47" s="640" t="str">
        <f t="shared" si="6"/>
        <v/>
      </c>
      <c r="AC47" s="640"/>
      <c r="AD47" s="890" t="str">
        <f t="shared" si="7"/>
        <v/>
      </c>
      <c r="AE47" s="890" t="str">
        <f t="shared" si="8"/>
        <v/>
      </c>
      <c r="AF47" s="890" t="str">
        <f t="shared" si="9"/>
        <v/>
      </c>
      <c r="AG47" s="192">
        <f t="shared" si="5"/>
        <v>408</v>
      </c>
    </row>
    <row r="48" spans="1:34" x14ac:dyDescent="0.25">
      <c r="A48" s="1106" t="s">
        <v>1310</v>
      </c>
      <c r="B48" s="1106" t="s">
        <v>1292</v>
      </c>
      <c r="C48" s="1106">
        <v>295</v>
      </c>
      <c r="D48" s="1106"/>
      <c r="E48" s="1106" t="s">
        <v>1291</v>
      </c>
      <c r="F48" s="1106">
        <v>1</v>
      </c>
      <c r="G48" s="1106">
        <v>1</v>
      </c>
      <c r="H48" s="1106">
        <v>0</v>
      </c>
      <c r="J48" s="57"/>
      <c r="K48" s="57"/>
      <c r="L48" s="57"/>
      <c r="M48" s="57"/>
      <c r="N48" s="57"/>
      <c r="O48" s="57"/>
      <c r="AA48" s="640" t="str">
        <f t="shared" si="4"/>
        <v/>
      </c>
      <c r="AB48" s="640" t="str">
        <f t="shared" si="6"/>
        <v/>
      </c>
      <c r="AC48" s="640"/>
      <c r="AD48" s="890">
        <f t="shared" si="7"/>
        <v>295</v>
      </c>
      <c r="AE48" s="890" t="str">
        <f t="shared" si="8"/>
        <v/>
      </c>
      <c r="AF48" s="890" t="str">
        <f t="shared" si="9"/>
        <v/>
      </c>
      <c r="AG48" s="192">
        <f t="shared" si="5"/>
        <v>295</v>
      </c>
      <c r="AH48" s="902"/>
    </row>
    <row r="49" spans="1:39" x14ac:dyDescent="0.25">
      <c r="A49" s="1106" t="s">
        <v>1310</v>
      </c>
      <c r="B49" s="1106" t="s">
        <v>1293</v>
      </c>
      <c r="C49" s="1106">
        <v>323</v>
      </c>
      <c r="D49" s="1106"/>
      <c r="E49" s="1106" t="s">
        <v>1291</v>
      </c>
      <c r="F49" s="1106">
        <v>1</v>
      </c>
      <c r="G49" s="1106">
        <v>1</v>
      </c>
      <c r="H49" s="1106">
        <v>0</v>
      </c>
      <c r="J49" s="57"/>
      <c r="K49" s="57"/>
      <c r="L49" s="57"/>
      <c r="M49" s="57"/>
      <c r="N49" s="57"/>
      <c r="O49" s="57"/>
      <c r="AA49" s="640" t="str">
        <f t="shared" si="4"/>
        <v/>
      </c>
      <c r="AB49" s="640" t="str">
        <f t="shared" si="6"/>
        <v/>
      </c>
      <c r="AC49" s="640"/>
      <c r="AD49" s="890">
        <f t="shared" si="7"/>
        <v>323</v>
      </c>
      <c r="AE49" s="890" t="str">
        <f t="shared" si="8"/>
        <v/>
      </c>
      <c r="AF49" s="890" t="str">
        <f t="shared" si="9"/>
        <v/>
      </c>
      <c r="AG49" s="192">
        <f t="shared" si="5"/>
        <v>323</v>
      </c>
      <c r="AH49" s="902"/>
    </row>
    <row r="50" spans="1:39" x14ac:dyDescent="0.25">
      <c r="A50" s="1106" t="s">
        <v>1311</v>
      </c>
      <c r="B50" s="1106" t="s">
        <v>1290</v>
      </c>
      <c r="C50" s="1106">
        <v>538</v>
      </c>
      <c r="D50" s="1106"/>
      <c r="E50" s="1106" t="s">
        <v>1291</v>
      </c>
      <c r="F50" s="1106">
        <v>1</v>
      </c>
      <c r="G50" s="1106">
        <v>1</v>
      </c>
      <c r="H50" s="1106">
        <v>0</v>
      </c>
      <c r="J50" s="57"/>
      <c r="K50" s="57"/>
      <c r="L50" s="57"/>
      <c r="M50" s="57"/>
      <c r="N50" s="57"/>
      <c r="O50" s="57"/>
      <c r="AA50" s="640" t="str">
        <f t="shared" si="4"/>
        <v/>
      </c>
      <c r="AB50" s="640" t="str">
        <f t="shared" si="6"/>
        <v/>
      </c>
      <c r="AC50" s="640"/>
      <c r="AD50" s="890">
        <f t="shared" si="7"/>
        <v>538</v>
      </c>
      <c r="AE50" s="890" t="str">
        <f t="shared" si="8"/>
        <v/>
      </c>
      <c r="AF50" s="890" t="str">
        <f t="shared" si="9"/>
        <v/>
      </c>
      <c r="AG50" s="192">
        <f t="shared" si="5"/>
        <v>538</v>
      </c>
      <c r="AH50" s="902"/>
    </row>
    <row r="51" spans="1:39" x14ac:dyDescent="0.25">
      <c r="A51" s="1106" t="s">
        <v>1311</v>
      </c>
      <c r="B51" s="1106" t="s">
        <v>1292</v>
      </c>
      <c r="C51" s="1106">
        <v>374</v>
      </c>
      <c r="D51" s="1106"/>
      <c r="E51" s="1106" t="s">
        <v>1298</v>
      </c>
      <c r="F51" s="1106">
        <v>0</v>
      </c>
      <c r="G51" s="1106">
        <v>1</v>
      </c>
      <c r="H51" s="1106">
        <v>0</v>
      </c>
      <c r="J51" s="57"/>
      <c r="K51" s="57"/>
      <c r="L51" s="57"/>
      <c r="M51" s="57"/>
      <c r="N51" s="57"/>
      <c r="O51" s="57"/>
      <c r="AA51" s="640" t="str">
        <f t="shared" si="4"/>
        <v/>
      </c>
      <c r="AB51" s="640" t="str">
        <f t="shared" si="6"/>
        <v/>
      </c>
      <c r="AC51" s="640"/>
      <c r="AD51" s="890" t="str">
        <f t="shared" si="7"/>
        <v/>
      </c>
      <c r="AE51" s="890" t="str">
        <f t="shared" si="8"/>
        <v/>
      </c>
      <c r="AF51" s="890" t="str">
        <f t="shared" si="9"/>
        <v/>
      </c>
      <c r="AG51" s="192">
        <f t="shared" si="5"/>
        <v>374</v>
      </c>
      <c r="AH51" s="902"/>
    </row>
    <row r="52" spans="1:39" x14ac:dyDescent="0.25">
      <c r="A52" s="1106" t="s">
        <v>1312</v>
      </c>
      <c r="B52" s="1106" t="s">
        <v>1290</v>
      </c>
      <c r="C52" s="1106">
        <v>374</v>
      </c>
      <c r="D52" s="1106"/>
      <c r="E52" s="1106" t="s">
        <v>1291</v>
      </c>
      <c r="F52" s="1106">
        <v>1</v>
      </c>
      <c r="G52" s="1106">
        <v>1</v>
      </c>
      <c r="H52" s="1106">
        <v>0</v>
      </c>
      <c r="J52" s="57"/>
      <c r="K52" s="57"/>
      <c r="L52" s="57"/>
      <c r="M52" s="57"/>
      <c r="N52" s="57"/>
      <c r="O52" s="57"/>
      <c r="AA52" s="640" t="str">
        <f t="shared" si="4"/>
        <v/>
      </c>
      <c r="AB52" s="640" t="str">
        <f t="shared" si="6"/>
        <v/>
      </c>
      <c r="AC52" s="640"/>
      <c r="AD52" s="890">
        <f t="shared" si="7"/>
        <v>374</v>
      </c>
      <c r="AE52" s="890" t="str">
        <f t="shared" si="8"/>
        <v/>
      </c>
      <c r="AF52" s="890" t="str">
        <f t="shared" si="9"/>
        <v/>
      </c>
      <c r="AG52" s="192">
        <f t="shared" si="5"/>
        <v>374</v>
      </c>
      <c r="AH52" s="902"/>
    </row>
    <row r="53" spans="1:39" x14ac:dyDescent="0.25">
      <c r="A53" s="1106" t="s">
        <v>1313</v>
      </c>
      <c r="B53" s="1106" t="s">
        <v>1290</v>
      </c>
      <c r="C53" s="1106">
        <v>313</v>
      </c>
      <c r="D53" s="1106"/>
      <c r="E53" s="1106" t="s">
        <v>1291</v>
      </c>
      <c r="F53" s="1106">
        <v>1</v>
      </c>
      <c r="G53" s="1106">
        <v>1</v>
      </c>
      <c r="H53" s="1106">
        <v>0</v>
      </c>
      <c r="J53" s="57"/>
      <c r="K53" s="57"/>
      <c r="L53" s="57"/>
      <c r="M53" s="57"/>
      <c r="N53" s="57"/>
      <c r="O53" s="57"/>
      <c r="AA53" s="640" t="str">
        <f t="shared" si="4"/>
        <v/>
      </c>
      <c r="AB53" s="640" t="str">
        <f t="shared" si="6"/>
        <v/>
      </c>
      <c r="AC53" s="640"/>
      <c r="AD53" s="890">
        <f t="shared" si="7"/>
        <v>313</v>
      </c>
      <c r="AE53" s="890" t="str">
        <f t="shared" si="8"/>
        <v/>
      </c>
      <c r="AF53" s="890" t="str">
        <f t="shared" si="9"/>
        <v/>
      </c>
      <c r="AG53" s="192">
        <f t="shared" si="5"/>
        <v>313</v>
      </c>
      <c r="AH53" s="902"/>
    </row>
    <row r="54" spans="1:39" x14ac:dyDescent="0.25">
      <c r="A54" s="1106" t="s">
        <v>1313</v>
      </c>
      <c r="B54" s="1106" t="s">
        <v>1292</v>
      </c>
      <c r="C54" s="1106">
        <v>388</v>
      </c>
      <c r="D54" s="1106"/>
      <c r="E54" s="1106" t="s">
        <v>1291</v>
      </c>
      <c r="F54" s="1106">
        <v>1</v>
      </c>
      <c r="G54" s="1106">
        <v>1</v>
      </c>
      <c r="H54" s="1106">
        <v>0</v>
      </c>
      <c r="J54" s="57"/>
      <c r="K54" s="57"/>
      <c r="L54" s="57"/>
      <c r="M54" s="57"/>
      <c r="N54" s="57"/>
      <c r="O54" s="57"/>
      <c r="AA54" s="640" t="str">
        <f t="shared" si="4"/>
        <v/>
      </c>
      <c r="AB54" s="640" t="str">
        <f t="shared" si="6"/>
        <v/>
      </c>
      <c r="AC54" s="640"/>
      <c r="AD54" s="890">
        <f t="shared" si="7"/>
        <v>388</v>
      </c>
      <c r="AE54" s="890" t="str">
        <f t="shared" si="8"/>
        <v/>
      </c>
      <c r="AF54" s="890" t="str">
        <f t="shared" si="9"/>
        <v/>
      </c>
      <c r="AG54" s="192">
        <f t="shared" si="5"/>
        <v>388</v>
      </c>
      <c r="AH54" s="902"/>
    </row>
    <row r="55" spans="1:39" x14ac:dyDescent="0.25">
      <c r="A55" s="1106" t="s">
        <v>1314</v>
      </c>
      <c r="B55" s="1106" t="s">
        <v>1290</v>
      </c>
      <c r="C55" s="1106">
        <v>57</v>
      </c>
      <c r="D55" s="1106"/>
      <c r="E55" s="1106" t="s">
        <v>1291</v>
      </c>
      <c r="F55" s="1106">
        <v>1</v>
      </c>
      <c r="G55" s="1106">
        <v>1</v>
      </c>
      <c r="H55" s="1106">
        <v>0</v>
      </c>
      <c r="J55" s="57"/>
      <c r="K55" s="57"/>
      <c r="L55" s="57"/>
      <c r="M55" s="57"/>
      <c r="N55" s="57"/>
      <c r="O55" s="57"/>
      <c r="AA55" s="640" t="str">
        <f t="shared" si="4"/>
        <v/>
      </c>
      <c r="AB55" s="640" t="str">
        <f t="shared" si="6"/>
        <v/>
      </c>
      <c r="AC55" s="640"/>
      <c r="AD55" s="890">
        <f t="shared" si="7"/>
        <v>57</v>
      </c>
      <c r="AE55" s="890" t="str">
        <f t="shared" si="8"/>
        <v/>
      </c>
      <c r="AF55" s="890" t="str">
        <f t="shared" si="9"/>
        <v/>
      </c>
      <c r="AG55" s="192">
        <f t="shared" si="5"/>
        <v>57</v>
      </c>
      <c r="AH55" s="902"/>
    </row>
    <row r="56" spans="1:39" x14ac:dyDescent="0.25">
      <c r="A56" s="1106" t="s">
        <v>1314</v>
      </c>
      <c r="B56" s="1106" t="s">
        <v>1292</v>
      </c>
      <c r="C56" s="1106">
        <v>183</v>
      </c>
      <c r="D56" s="1106"/>
      <c r="E56" s="1106" t="s">
        <v>1298</v>
      </c>
      <c r="F56" s="1106">
        <v>0</v>
      </c>
      <c r="G56" s="1106">
        <v>1</v>
      </c>
      <c r="H56" s="1106">
        <v>0</v>
      </c>
      <c r="J56" s="57"/>
      <c r="K56" s="57"/>
      <c r="L56" s="57"/>
      <c r="M56" s="57"/>
      <c r="N56" s="57"/>
      <c r="O56" s="57"/>
      <c r="AA56" s="640" t="str">
        <f t="shared" si="4"/>
        <v/>
      </c>
      <c r="AB56" s="640" t="str">
        <f t="shared" si="6"/>
        <v/>
      </c>
      <c r="AC56" s="640"/>
      <c r="AD56" s="890" t="str">
        <f t="shared" si="7"/>
        <v/>
      </c>
      <c r="AE56" s="890" t="str">
        <f t="shared" si="8"/>
        <v/>
      </c>
      <c r="AF56" s="890" t="str">
        <f t="shared" si="9"/>
        <v/>
      </c>
      <c r="AG56" s="192">
        <f t="shared" si="5"/>
        <v>183</v>
      </c>
    </row>
    <row r="57" spans="1:39" x14ac:dyDescent="0.25">
      <c r="A57" s="1106" t="s">
        <v>1314</v>
      </c>
      <c r="B57" s="1106" t="s">
        <v>1293</v>
      </c>
      <c r="C57" s="1106">
        <v>102</v>
      </c>
      <c r="D57" s="1106"/>
      <c r="E57" s="1106" t="s">
        <v>1291</v>
      </c>
      <c r="F57" s="1106">
        <v>1</v>
      </c>
      <c r="G57" s="1106">
        <v>1</v>
      </c>
      <c r="H57" s="1106">
        <v>0</v>
      </c>
      <c r="J57" s="57"/>
      <c r="K57" s="57"/>
      <c r="L57" s="57"/>
      <c r="M57" s="57"/>
      <c r="N57" s="57"/>
      <c r="O57" s="57"/>
      <c r="AA57" s="640" t="str">
        <f t="shared" si="4"/>
        <v/>
      </c>
      <c r="AB57" s="640" t="str">
        <f t="shared" si="6"/>
        <v/>
      </c>
      <c r="AC57" s="640"/>
      <c r="AD57" s="890">
        <f t="shared" si="7"/>
        <v>102</v>
      </c>
      <c r="AE57" s="890" t="str">
        <f t="shared" si="8"/>
        <v/>
      </c>
      <c r="AF57" s="890" t="str">
        <f t="shared" si="9"/>
        <v/>
      </c>
      <c r="AG57" s="192">
        <f t="shared" si="5"/>
        <v>102</v>
      </c>
    </row>
    <row r="58" spans="1:39" x14ac:dyDescent="0.25">
      <c r="A58" s="1106" t="s">
        <v>1314</v>
      </c>
      <c r="B58" s="1106" t="s">
        <v>1294</v>
      </c>
      <c r="C58" s="1106">
        <v>197</v>
      </c>
      <c r="D58" s="1106"/>
      <c r="E58" s="1106" t="s">
        <v>1298</v>
      </c>
      <c r="F58" s="1106">
        <v>0</v>
      </c>
      <c r="G58" s="1106">
        <v>1</v>
      </c>
      <c r="H58" s="1106">
        <v>0</v>
      </c>
      <c r="J58" s="57"/>
      <c r="K58" s="57"/>
      <c r="L58" s="57"/>
      <c r="M58" s="57"/>
      <c r="N58" s="57"/>
      <c r="O58" s="57"/>
      <c r="AA58" s="640" t="str">
        <f t="shared" si="4"/>
        <v/>
      </c>
      <c r="AB58" s="640" t="str">
        <f t="shared" si="6"/>
        <v/>
      </c>
      <c r="AC58" s="640"/>
      <c r="AD58" s="890" t="str">
        <f t="shared" si="7"/>
        <v/>
      </c>
      <c r="AE58" s="890" t="str">
        <f t="shared" si="8"/>
        <v/>
      </c>
      <c r="AF58" s="890" t="str">
        <f t="shared" si="9"/>
        <v/>
      </c>
      <c r="AG58" s="192">
        <f t="shared" si="5"/>
        <v>197</v>
      </c>
    </row>
    <row r="59" spans="1:39" x14ac:dyDescent="0.25">
      <c r="B59" s="192"/>
      <c r="F59" s="192"/>
      <c r="G59" s="192"/>
      <c r="H59" s="192"/>
      <c r="J59" s="57"/>
      <c r="K59" s="57"/>
      <c r="L59" s="57"/>
      <c r="M59" s="57"/>
      <c r="N59" s="57"/>
      <c r="O59" s="57"/>
      <c r="AA59" s="640" t="str">
        <f t="shared" si="4"/>
        <v/>
      </c>
      <c r="AB59" s="640" t="str">
        <f t="shared" si="6"/>
        <v/>
      </c>
      <c r="AC59" s="640"/>
      <c r="AD59" s="890" t="str">
        <f t="shared" si="7"/>
        <v/>
      </c>
      <c r="AE59" s="890" t="str">
        <f t="shared" si="8"/>
        <v/>
      </c>
      <c r="AF59" s="890" t="str">
        <f t="shared" si="9"/>
        <v/>
      </c>
      <c r="AG59" s="192">
        <f t="shared" si="5"/>
        <v>0</v>
      </c>
    </row>
    <row r="60" spans="1:39" x14ac:dyDescent="0.25">
      <c r="B60" s="192"/>
      <c r="F60" s="192"/>
      <c r="G60" s="192"/>
      <c r="H60" s="192"/>
      <c r="J60" s="57"/>
      <c r="K60" s="57"/>
      <c r="L60" s="57"/>
      <c r="M60" s="57"/>
      <c r="N60" s="57"/>
      <c r="O60" s="57"/>
      <c r="AA60" s="640" t="str">
        <f t="shared" si="4"/>
        <v/>
      </c>
      <c r="AB60" s="640" t="str">
        <f t="shared" si="6"/>
        <v/>
      </c>
      <c r="AC60" s="640"/>
      <c r="AD60" s="890" t="str">
        <f t="shared" si="7"/>
        <v/>
      </c>
      <c r="AE60" s="890" t="str">
        <f t="shared" si="8"/>
        <v/>
      </c>
      <c r="AF60" s="890" t="str">
        <f t="shared" si="9"/>
        <v/>
      </c>
      <c r="AG60" s="192">
        <f t="shared" si="5"/>
        <v>0</v>
      </c>
    </row>
    <row r="61" spans="1:39" x14ac:dyDescent="0.25">
      <c r="B61" s="192"/>
      <c r="F61" s="192"/>
      <c r="G61" s="192"/>
      <c r="H61" s="192"/>
      <c r="J61" s="57"/>
      <c r="K61" s="57"/>
      <c r="L61" s="57"/>
      <c r="M61" s="57"/>
      <c r="N61" s="57"/>
      <c r="O61" s="57"/>
      <c r="AA61" s="640" t="str">
        <f t="shared" si="4"/>
        <v/>
      </c>
      <c r="AB61" s="640" t="str">
        <f t="shared" si="6"/>
        <v/>
      </c>
      <c r="AC61" s="640"/>
      <c r="AD61" s="890" t="str">
        <f t="shared" si="7"/>
        <v/>
      </c>
      <c r="AE61" s="890" t="str">
        <f t="shared" si="8"/>
        <v/>
      </c>
      <c r="AF61" s="890" t="str">
        <f t="shared" si="9"/>
        <v/>
      </c>
      <c r="AG61" s="192">
        <f t="shared" si="5"/>
        <v>0</v>
      </c>
    </row>
    <row r="62" spans="1:39" x14ac:dyDescent="0.25">
      <c r="B62" s="192"/>
      <c r="F62" s="192"/>
      <c r="G62" s="192"/>
      <c r="H62" s="192"/>
      <c r="J62" s="57"/>
      <c r="K62" s="57"/>
      <c r="L62" s="57"/>
      <c r="M62" s="57"/>
      <c r="N62" s="57"/>
      <c r="O62" s="57"/>
      <c r="AA62" s="640" t="str">
        <f t="shared" si="4"/>
        <v/>
      </c>
      <c r="AB62" s="640" t="str">
        <f t="shared" si="6"/>
        <v/>
      </c>
      <c r="AC62" s="640"/>
      <c r="AD62" s="890" t="str">
        <f t="shared" si="7"/>
        <v/>
      </c>
      <c r="AE62" s="890" t="str">
        <f t="shared" si="8"/>
        <v/>
      </c>
      <c r="AF62" s="890" t="str">
        <f t="shared" si="9"/>
        <v/>
      </c>
      <c r="AG62" s="192">
        <f t="shared" si="5"/>
        <v>0</v>
      </c>
    </row>
    <row r="63" spans="1:39" x14ac:dyDescent="0.25">
      <c r="B63" s="192"/>
      <c r="F63" s="192"/>
      <c r="G63" s="192"/>
      <c r="H63" s="192"/>
      <c r="J63" s="57"/>
      <c r="K63" s="57"/>
      <c r="L63" s="57"/>
      <c r="M63" s="57"/>
      <c r="N63" s="57"/>
      <c r="O63" s="57"/>
      <c r="AA63" s="640" t="str">
        <f t="shared" si="4"/>
        <v/>
      </c>
      <c r="AB63" s="640" t="str">
        <f t="shared" si="6"/>
        <v/>
      </c>
      <c r="AC63" s="640"/>
      <c r="AD63" s="890" t="str">
        <f t="shared" si="7"/>
        <v/>
      </c>
      <c r="AE63" s="890" t="str">
        <f t="shared" si="8"/>
        <v/>
      </c>
      <c r="AF63" s="890" t="str">
        <f t="shared" si="9"/>
        <v/>
      </c>
      <c r="AG63" s="192">
        <f t="shared" si="5"/>
        <v>0</v>
      </c>
    </row>
    <row r="64" spans="1:39" x14ac:dyDescent="0.25">
      <c r="B64" s="192"/>
      <c r="F64" s="192"/>
      <c r="G64" s="192"/>
      <c r="H64" s="192"/>
      <c r="J64" s="57"/>
      <c r="K64" s="57"/>
      <c r="L64" s="57"/>
      <c r="M64" s="57"/>
      <c r="N64" s="57"/>
      <c r="O64" s="57"/>
      <c r="AA64" s="640" t="str">
        <f t="shared" si="4"/>
        <v/>
      </c>
      <c r="AB64" s="640" t="str">
        <f t="shared" si="6"/>
        <v/>
      </c>
      <c r="AC64" s="640"/>
      <c r="AD64" s="890" t="str">
        <f t="shared" si="7"/>
        <v/>
      </c>
      <c r="AE64" s="890" t="str">
        <f t="shared" si="8"/>
        <v/>
      </c>
      <c r="AF64" s="890" t="str">
        <f t="shared" si="9"/>
        <v/>
      </c>
      <c r="AG64" s="192">
        <f t="shared" si="5"/>
        <v>0</v>
      </c>
    </row>
    <row r="65" spans="2:33" x14ac:dyDescent="0.25">
      <c r="B65" s="192"/>
      <c r="F65" s="192"/>
      <c r="G65" s="192"/>
      <c r="H65" s="192"/>
      <c r="J65" s="57"/>
      <c r="K65" s="57"/>
      <c r="L65" s="57"/>
      <c r="M65" s="57"/>
      <c r="N65" s="57"/>
      <c r="O65" s="57"/>
      <c r="AA65" s="640" t="str">
        <f t="shared" si="4"/>
        <v/>
      </c>
      <c r="AB65" s="640" t="str">
        <f t="shared" si="6"/>
        <v/>
      </c>
      <c r="AC65" s="640"/>
      <c r="AD65" s="890" t="str">
        <f t="shared" si="7"/>
        <v/>
      </c>
      <c r="AE65" s="890" t="str">
        <f t="shared" si="8"/>
        <v/>
      </c>
      <c r="AF65" s="890" t="str">
        <f t="shared" si="9"/>
        <v/>
      </c>
      <c r="AG65" s="192">
        <f t="shared" si="5"/>
        <v>0</v>
      </c>
    </row>
    <row r="66" spans="2:33" x14ac:dyDescent="0.25">
      <c r="B66" s="192"/>
      <c r="F66" s="192"/>
      <c r="G66" s="192"/>
      <c r="H66" s="192"/>
      <c r="J66" s="57"/>
      <c r="K66" s="57"/>
      <c r="L66" s="57"/>
      <c r="M66" s="57"/>
      <c r="N66" s="57"/>
      <c r="O66" s="57"/>
      <c r="AA66" s="640" t="str">
        <f t="shared" si="4"/>
        <v/>
      </c>
      <c r="AB66" s="640" t="str">
        <f t="shared" si="6"/>
        <v/>
      </c>
      <c r="AC66" s="640"/>
      <c r="AD66" s="890" t="str">
        <f t="shared" si="7"/>
        <v/>
      </c>
      <c r="AE66" s="890" t="str">
        <f t="shared" si="8"/>
        <v/>
      </c>
      <c r="AF66" s="890" t="str">
        <f t="shared" si="9"/>
        <v/>
      </c>
      <c r="AG66" s="192">
        <f t="shared" si="5"/>
        <v>0</v>
      </c>
    </row>
    <row r="67" spans="2:33" x14ac:dyDescent="0.25">
      <c r="B67" s="192"/>
      <c r="F67" s="192"/>
      <c r="G67" s="192"/>
      <c r="H67" s="192"/>
      <c r="J67" s="57"/>
      <c r="K67" s="57"/>
      <c r="L67" s="57"/>
      <c r="M67" s="57"/>
      <c r="N67" s="57"/>
      <c r="O67" s="57"/>
      <c r="AA67" s="640" t="str">
        <f t="shared" si="4"/>
        <v/>
      </c>
      <c r="AB67" s="640" t="str">
        <f t="shared" si="6"/>
        <v/>
      </c>
      <c r="AC67" s="640"/>
      <c r="AD67" s="890" t="str">
        <f t="shared" si="7"/>
        <v/>
      </c>
      <c r="AE67" s="890" t="str">
        <f t="shared" si="8"/>
        <v/>
      </c>
      <c r="AF67" s="890" t="str">
        <f t="shared" si="9"/>
        <v/>
      </c>
      <c r="AG67" s="192">
        <f t="shared" si="5"/>
        <v>0</v>
      </c>
    </row>
    <row r="68" spans="2:33" x14ac:dyDescent="0.25">
      <c r="B68" s="192"/>
      <c r="F68" s="192"/>
      <c r="G68" s="192"/>
      <c r="H68" s="192"/>
      <c r="J68" s="57"/>
      <c r="K68" s="57"/>
      <c r="L68" s="57"/>
      <c r="M68" s="57"/>
      <c r="N68" s="57"/>
      <c r="O68" s="57"/>
      <c r="AA68" s="640" t="str">
        <f t="shared" si="4"/>
        <v/>
      </c>
      <c r="AB68" s="640" t="str">
        <f t="shared" si="6"/>
        <v/>
      </c>
      <c r="AC68" s="640"/>
      <c r="AD68" s="890" t="str">
        <f t="shared" si="7"/>
        <v/>
      </c>
      <c r="AE68" s="890" t="str">
        <f t="shared" si="8"/>
        <v/>
      </c>
      <c r="AF68" s="890" t="str">
        <f t="shared" si="9"/>
        <v/>
      </c>
      <c r="AG68" s="192">
        <f t="shared" si="5"/>
        <v>0</v>
      </c>
    </row>
    <row r="69" spans="2:33" x14ac:dyDescent="0.25">
      <c r="B69" s="192"/>
      <c r="F69" s="192"/>
      <c r="G69" s="192"/>
      <c r="H69" s="192"/>
      <c r="J69" s="57"/>
      <c r="K69" s="57"/>
      <c r="L69" s="57"/>
      <c r="M69" s="57"/>
      <c r="N69" s="57"/>
      <c r="O69" s="57"/>
      <c r="AA69" s="640" t="str">
        <f t="shared" si="4"/>
        <v/>
      </c>
      <c r="AB69" s="640" t="str">
        <f t="shared" si="6"/>
        <v/>
      </c>
      <c r="AC69" s="640"/>
      <c r="AD69" s="890" t="str">
        <f t="shared" si="7"/>
        <v/>
      </c>
      <c r="AE69" s="890" t="str">
        <f t="shared" si="8"/>
        <v/>
      </c>
      <c r="AF69" s="890" t="str">
        <f t="shared" si="9"/>
        <v/>
      </c>
      <c r="AG69" s="192">
        <f t="shared" si="5"/>
        <v>0</v>
      </c>
    </row>
    <row r="70" spans="2:33" x14ac:dyDescent="0.25">
      <c r="B70" s="192"/>
      <c r="F70" s="192"/>
      <c r="G70" s="192"/>
      <c r="H70" s="192"/>
      <c r="J70" s="57"/>
      <c r="K70" s="57"/>
      <c r="L70" s="57"/>
      <c r="M70" s="57"/>
      <c r="N70" s="57"/>
      <c r="O70" s="57"/>
      <c r="AA70" s="640" t="str">
        <f t="shared" si="4"/>
        <v/>
      </c>
      <c r="AB70" s="640" t="str">
        <f t="shared" si="6"/>
        <v/>
      </c>
      <c r="AC70" s="640"/>
      <c r="AD70" s="890" t="str">
        <f t="shared" si="7"/>
        <v/>
      </c>
      <c r="AE70" s="890" t="str">
        <f t="shared" si="8"/>
        <v/>
      </c>
      <c r="AF70" s="890" t="str">
        <f t="shared" si="9"/>
        <v/>
      </c>
      <c r="AG70" s="192">
        <f t="shared" si="5"/>
        <v>0</v>
      </c>
    </row>
    <row r="71" spans="2:33" x14ac:dyDescent="0.25">
      <c r="B71" s="192"/>
      <c r="F71" s="192"/>
      <c r="G71" s="192"/>
      <c r="H71" s="192"/>
      <c r="J71" s="57"/>
      <c r="K71" s="57"/>
      <c r="L71" s="57"/>
      <c r="M71" s="57"/>
      <c r="N71" s="57"/>
      <c r="O71" s="57"/>
      <c r="AA71" s="640" t="str">
        <f t="shared" ref="AA71:AA134" si="10">IF(G71=0, IF(OR(H71&gt;0,F71&gt;0),C71*F71,""),"")</f>
        <v/>
      </c>
      <c r="AB71" s="640" t="str">
        <f t="shared" si="6"/>
        <v/>
      </c>
      <c r="AC71" s="640"/>
      <c r="AD71" s="890" t="str">
        <f t="shared" si="7"/>
        <v/>
      </c>
      <c r="AE71" s="890" t="str">
        <f t="shared" si="8"/>
        <v/>
      </c>
      <c r="AF71" s="890" t="str">
        <f t="shared" si="9"/>
        <v/>
      </c>
      <c r="AG71" s="192">
        <f t="shared" ref="AG71:AG134" si="11">(C71*G71)+(C71*H71)+(C71*I71)</f>
        <v>0</v>
      </c>
    </row>
    <row r="72" spans="2:33" x14ac:dyDescent="0.25">
      <c r="B72" s="192"/>
      <c r="F72" s="192"/>
      <c r="G72" s="192"/>
      <c r="H72" s="192"/>
      <c r="J72" s="57"/>
      <c r="K72" s="57"/>
      <c r="L72" s="57"/>
      <c r="M72" s="57"/>
      <c r="N72" s="57"/>
      <c r="O72" s="57"/>
      <c r="AA72" s="640" t="str">
        <f t="shared" si="10"/>
        <v/>
      </c>
      <c r="AB72" s="640" t="str">
        <f t="shared" ref="AB72:AB135" si="12">IF(G72&gt;=1,IF(F72&gt;1,C72*(F72-2),""),"")</f>
        <v/>
      </c>
      <c r="AC72" s="640"/>
      <c r="AD72" s="890" t="str">
        <f t="shared" ref="AD72:AD135" si="13">IF(E72="YES",IF(G72=1,"",""),IF(G72=1,C72,IF(G72=2,C72,IF(G72=0,"",""))))</f>
        <v/>
      </c>
      <c r="AE72" s="890" t="str">
        <f t="shared" ref="AE72:AE135" si="14">IF(E72="YES",IF(G72=1,"",IF(H72=1,C72,"")),IF(H72=1,C72,IF(H72=2,C72,IF(H72=0,"",""))))</f>
        <v/>
      </c>
      <c r="AF72" s="890" t="str">
        <f t="shared" ref="AF72:AF135" si="15">IF(E72="YES",IF(I72=1,C72,""),IF(I72=1,C72,IF(I72=2,C72,IF(I72=0,"",""))))</f>
        <v/>
      </c>
      <c r="AG72" s="192">
        <f t="shared" si="11"/>
        <v>0</v>
      </c>
    </row>
    <row r="73" spans="2:33" x14ac:dyDescent="0.25">
      <c r="B73" s="192"/>
      <c r="F73" s="192"/>
      <c r="G73" s="192"/>
      <c r="H73" s="192"/>
      <c r="J73" s="57"/>
      <c r="K73" s="57"/>
      <c r="L73" s="57"/>
      <c r="M73" s="57"/>
      <c r="N73" s="57"/>
      <c r="O73" s="57"/>
      <c r="AA73" s="640" t="str">
        <f t="shared" si="10"/>
        <v/>
      </c>
      <c r="AB73" s="640" t="str">
        <f t="shared" si="12"/>
        <v/>
      </c>
      <c r="AC73" s="640"/>
      <c r="AD73" s="890" t="str">
        <f t="shared" si="13"/>
        <v/>
      </c>
      <c r="AE73" s="890" t="str">
        <f t="shared" si="14"/>
        <v/>
      </c>
      <c r="AF73" s="890" t="str">
        <f t="shared" si="15"/>
        <v/>
      </c>
      <c r="AG73" s="192">
        <f t="shared" si="11"/>
        <v>0</v>
      </c>
    </row>
    <row r="74" spans="2:33" x14ac:dyDescent="0.25">
      <c r="B74" s="192"/>
      <c r="F74" s="192"/>
      <c r="G74" s="192"/>
      <c r="H74" s="192"/>
      <c r="J74" s="57"/>
      <c r="K74" s="57"/>
      <c r="L74" s="57"/>
      <c r="M74" s="57"/>
      <c r="N74" s="57"/>
      <c r="O74" s="57"/>
      <c r="AA74" s="640" t="str">
        <f t="shared" si="10"/>
        <v/>
      </c>
      <c r="AB74" s="640" t="str">
        <f t="shared" si="12"/>
        <v/>
      </c>
      <c r="AC74" s="640"/>
      <c r="AD74" s="890" t="str">
        <f t="shared" si="13"/>
        <v/>
      </c>
      <c r="AE74" s="890" t="str">
        <f t="shared" si="14"/>
        <v/>
      </c>
      <c r="AF74" s="890" t="str">
        <f t="shared" si="15"/>
        <v/>
      </c>
      <c r="AG74" s="192">
        <f t="shared" si="11"/>
        <v>0</v>
      </c>
    </row>
    <row r="75" spans="2:33" x14ac:dyDescent="0.25">
      <c r="B75" s="192"/>
      <c r="F75" s="192"/>
      <c r="G75" s="192"/>
      <c r="H75" s="192"/>
      <c r="J75" s="57"/>
      <c r="K75" s="57"/>
      <c r="L75" s="57"/>
      <c r="M75" s="57"/>
      <c r="N75" s="57"/>
      <c r="O75" s="57"/>
      <c r="AA75" s="640" t="str">
        <f t="shared" si="10"/>
        <v/>
      </c>
      <c r="AB75" s="640" t="str">
        <f t="shared" si="12"/>
        <v/>
      </c>
      <c r="AC75" s="640"/>
      <c r="AD75" s="890" t="str">
        <f t="shared" si="13"/>
        <v/>
      </c>
      <c r="AE75" s="890" t="str">
        <f t="shared" si="14"/>
        <v/>
      </c>
      <c r="AF75" s="890" t="str">
        <f t="shared" si="15"/>
        <v/>
      </c>
      <c r="AG75" s="192">
        <f t="shared" si="11"/>
        <v>0</v>
      </c>
    </row>
    <row r="76" spans="2:33" x14ac:dyDescent="0.25">
      <c r="B76" s="192"/>
      <c r="F76" s="192"/>
      <c r="G76" s="192"/>
      <c r="H76" s="192"/>
      <c r="J76" s="57"/>
      <c r="K76" s="57"/>
      <c r="L76" s="57"/>
      <c r="M76" s="57"/>
      <c r="N76" s="57"/>
      <c r="O76" s="57"/>
      <c r="AA76" s="640" t="str">
        <f t="shared" si="10"/>
        <v/>
      </c>
      <c r="AB76" s="640" t="str">
        <f t="shared" si="12"/>
        <v/>
      </c>
      <c r="AC76" s="640"/>
      <c r="AD76" s="890" t="str">
        <f t="shared" si="13"/>
        <v/>
      </c>
      <c r="AE76" s="890" t="str">
        <f t="shared" si="14"/>
        <v/>
      </c>
      <c r="AF76" s="890" t="str">
        <f t="shared" si="15"/>
        <v/>
      </c>
      <c r="AG76" s="192">
        <f t="shared" si="11"/>
        <v>0</v>
      </c>
    </row>
    <row r="77" spans="2:33" x14ac:dyDescent="0.25">
      <c r="B77" s="192"/>
      <c r="F77" s="192"/>
      <c r="G77" s="192"/>
      <c r="H77" s="192"/>
      <c r="J77" s="57"/>
      <c r="K77" s="57"/>
      <c r="L77" s="57"/>
      <c r="M77" s="57"/>
      <c r="N77" s="57"/>
      <c r="O77" s="57"/>
      <c r="AA77" s="640" t="str">
        <f t="shared" si="10"/>
        <v/>
      </c>
      <c r="AB77" s="640" t="str">
        <f t="shared" si="12"/>
        <v/>
      </c>
      <c r="AC77" s="640"/>
      <c r="AD77" s="890" t="str">
        <f t="shared" si="13"/>
        <v/>
      </c>
      <c r="AE77" s="890" t="str">
        <f t="shared" si="14"/>
        <v/>
      </c>
      <c r="AF77" s="890" t="str">
        <f t="shared" si="15"/>
        <v/>
      </c>
      <c r="AG77" s="192">
        <f t="shared" si="11"/>
        <v>0</v>
      </c>
    </row>
    <row r="78" spans="2:33" x14ac:dyDescent="0.25">
      <c r="B78" s="192"/>
      <c r="F78" s="192"/>
      <c r="G78" s="192"/>
      <c r="H78" s="192"/>
      <c r="J78" s="57"/>
      <c r="K78" s="57"/>
      <c r="L78" s="57"/>
      <c r="M78" s="57"/>
      <c r="N78" s="57"/>
      <c r="O78" s="57"/>
      <c r="AA78" s="640" t="str">
        <f t="shared" si="10"/>
        <v/>
      </c>
      <c r="AB78" s="640" t="str">
        <f t="shared" si="12"/>
        <v/>
      </c>
      <c r="AC78" s="640"/>
      <c r="AD78" s="890" t="str">
        <f t="shared" si="13"/>
        <v/>
      </c>
      <c r="AE78" s="890" t="str">
        <f t="shared" si="14"/>
        <v/>
      </c>
      <c r="AF78" s="890" t="str">
        <f t="shared" si="15"/>
        <v/>
      </c>
      <c r="AG78" s="192">
        <f t="shared" si="11"/>
        <v>0</v>
      </c>
    </row>
    <row r="79" spans="2:33" x14ac:dyDescent="0.25">
      <c r="B79" s="192"/>
      <c r="F79" s="192"/>
      <c r="G79" s="192"/>
      <c r="H79" s="192"/>
      <c r="J79" s="57"/>
      <c r="K79" s="57"/>
      <c r="L79" s="57"/>
      <c r="M79" s="57"/>
      <c r="N79" s="57"/>
      <c r="O79" s="57"/>
      <c r="AA79" s="640" t="str">
        <f t="shared" si="10"/>
        <v/>
      </c>
      <c r="AB79" s="640" t="str">
        <f t="shared" si="12"/>
        <v/>
      </c>
      <c r="AC79" s="640"/>
      <c r="AD79" s="890" t="str">
        <f t="shared" si="13"/>
        <v/>
      </c>
      <c r="AE79" s="890" t="str">
        <f t="shared" si="14"/>
        <v/>
      </c>
      <c r="AF79" s="890" t="str">
        <f t="shared" si="15"/>
        <v/>
      </c>
      <c r="AG79" s="192">
        <f t="shared" si="11"/>
        <v>0</v>
      </c>
    </row>
    <row r="80" spans="2:33" x14ac:dyDescent="0.25">
      <c r="B80" s="192"/>
      <c r="F80" s="192"/>
      <c r="G80" s="192"/>
      <c r="H80" s="192"/>
      <c r="J80" s="57"/>
      <c r="K80" s="57"/>
      <c r="L80" s="57"/>
      <c r="M80" s="57"/>
      <c r="N80" s="57"/>
      <c r="O80" s="57"/>
      <c r="AA80" s="640" t="str">
        <f t="shared" si="10"/>
        <v/>
      </c>
      <c r="AB80" s="640" t="str">
        <f t="shared" si="12"/>
        <v/>
      </c>
      <c r="AC80" s="640"/>
      <c r="AD80" s="890" t="str">
        <f t="shared" si="13"/>
        <v/>
      </c>
      <c r="AE80" s="890" t="str">
        <f t="shared" si="14"/>
        <v/>
      </c>
      <c r="AF80" s="890" t="str">
        <f t="shared" si="15"/>
        <v/>
      </c>
      <c r="AG80" s="192">
        <f t="shared" si="11"/>
        <v>0</v>
      </c>
    </row>
    <row r="81" spans="2:33" x14ac:dyDescent="0.25">
      <c r="B81" s="192"/>
      <c r="F81" s="192"/>
      <c r="G81" s="192"/>
      <c r="H81" s="192"/>
      <c r="J81" s="57"/>
      <c r="K81" s="57"/>
      <c r="L81" s="57"/>
      <c r="M81" s="57"/>
      <c r="N81" s="57"/>
      <c r="O81" s="57"/>
      <c r="AA81" s="640" t="str">
        <f t="shared" si="10"/>
        <v/>
      </c>
      <c r="AB81" s="640" t="str">
        <f t="shared" si="12"/>
        <v/>
      </c>
      <c r="AC81" s="640"/>
      <c r="AD81" s="890" t="str">
        <f t="shared" si="13"/>
        <v/>
      </c>
      <c r="AE81" s="890" t="str">
        <f t="shared" si="14"/>
        <v/>
      </c>
      <c r="AF81" s="890" t="str">
        <f t="shared" si="15"/>
        <v/>
      </c>
      <c r="AG81" s="192">
        <f t="shared" si="11"/>
        <v>0</v>
      </c>
    </row>
    <row r="82" spans="2:33" x14ac:dyDescent="0.25">
      <c r="B82" s="192"/>
      <c r="F82" s="192"/>
      <c r="G82" s="192"/>
      <c r="H82" s="192"/>
      <c r="J82" s="57"/>
      <c r="K82" s="57"/>
      <c r="L82" s="57"/>
      <c r="M82" s="57"/>
      <c r="N82" s="57"/>
      <c r="O82" s="57"/>
      <c r="AA82" s="640" t="str">
        <f t="shared" si="10"/>
        <v/>
      </c>
      <c r="AB82" s="640" t="str">
        <f t="shared" si="12"/>
        <v/>
      </c>
      <c r="AC82" s="640"/>
      <c r="AD82" s="890" t="str">
        <f t="shared" si="13"/>
        <v/>
      </c>
      <c r="AE82" s="890" t="str">
        <f t="shared" si="14"/>
        <v/>
      </c>
      <c r="AF82" s="890" t="str">
        <f t="shared" si="15"/>
        <v/>
      </c>
      <c r="AG82" s="192">
        <f t="shared" si="11"/>
        <v>0</v>
      </c>
    </row>
    <row r="83" spans="2:33" x14ac:dyDescent="0.25">
      <c r="B83" s="192"/>
      <c r="F83" s="192"/>
      <c r="G83" s="192"/>
      <c r="H83" s="192"/>
      <c r="J83" s="57"/>
      <c r="K83" s="57"/>
      <c r="L83" s="57"/>
      <c r="M83" s="57"/>
      <c r="N83" s="57"/>
      <c r="O83" s="57"/>
      <c r="AA83" s="640" t="str">
        <f t="shared" si="10"/>
        <v/>
      </c>
      <c r="AB83" s="640" t="str">
        <f t="shared" si="12"/>
        <v/>
      </c>
      <c r="AC83" s="640"/>
      <c r="AD83" s="890" t="str">
        <f t="shared" si="13"/>
        <v/>
      </c>
      <c r="AE83" s="890" t="str">
        <f t="shared" si="14"/>
        <v/>
      </c>
      <c r="AF83" s="890" t="str">
        <f t="shared" si="15"/>
        <v/>
      </c>
      <c r="AG83" s="192">
        <f t="shared" si="11"/>
        <v>0</v>
      </c>
    </row>
    <row r="84" spans="2:33" x14ac:dyDescent="0.25">
      <c r="B84" s="192"/>
      <c r="F84" s="192"/>
      <c r="G84" s="192"/>
      <c r="H84" s="192"/>
      <c r="J84" s="57"/>
      <c r="K84" s="57"/>
      <c r="L84" s="57"/>
      <c r="M84" s="57"/>
      <c r="N84" s="57"/>
      <c r="O84" s="57"/>
      <c r="AA84" s="640" t="str">
        <f t="shared" si="10"/>
        <v/>
      </c>
      <c r="AB84" s="640" t="str">
        <f t="shared" si="12"/>
        <v/>
      </c>
      <c r="AC84" s="640"/>
      <c r="AD84" s="890" t="str">
        <f t="shared" si="13"/>
        <v/>
      </c>
      <c r="AE84" s="890" t="str">
        <f t="shared" si="14"/>
        <v/>
      </c>
      <c r="AF84" s="890" t="str">
        <f t="shared" si="15"/>
        <v/>
      </c>
      <c r="AG84" s="192">
        <f t="shared" si="11"/>
        <v>0</v>
      </c>
    </row>
    <row r="85" spans="2:33" x14ac:dyDescent="0.25">
      <c r="B85" s="192"/>
      <c r="F85" s="192"/>
      <c r="G85" s="192"/>
      <c r="H85" s="192"/>
      <c r="J85" s="57"/>
      <c r="K85" s="57"/>
      <c r="L85" s="57"/>
      <c r="M85" s="57"/>
      <c r="N85" s="57"/>
      <c r="O85" s="57"/>
      <c r="AA85" s="640" t="str">
        <f t="shared" si="10"/>
        <v/>
      </c>
      <c r="AB85" s="640" t="str">
        <f t="shared" si="12"/>
        <v/>
      </c>
      <c r="AC85" s="640"/>
      <c r="AD85" s="890" t="str">
        <f t="shared" si="13"/>
        <v/>
      </c>
      <c r="AE85" s="890" t="str">
        <f t="shared" si="14"/>
        <v/>
      </c>
      <c r="AF85" s="890" t="str">
        <f t="shared" si="15"/>
        <v/>
      </c>
      <c r="AG85" s="192">
        <f t="shared" si="11"/>
        <v>0</v>
      </c>
    </row>
    <row r="86" spans="2:33" x14ac:dyDescent="0.25">
      <c r="B86" s="192"/>
      <c r="F86" s="192"/>
      <c r="G86" s="192"/>
      <c r="H86" s="192"/>
      <c r="J86" s="57"/>
      <c r="K86" s="57"/>
      <c r="L86" s="57"/>
      <c r="M86" s="57"/>
      <c r="N86" s="57"/>
      <c r="O86" s="57"/>
      <c r="AA86" s="640" t="str">
        <f t="shared" si="10"/>
        <v/>
      </c>
      <c r="AB86" s="640" t="str">
        <f t="shared" si="12"/>
        <v/>
      </c>
      <c r="AC86" s="640"/>
      <c r="AD86" s="890" t="str">
        <f t="shared" si="13"/>
        <v/>
      </c>
      <c r="AE86" s="890" t="str">
        <f t="shared" si="14"/>
        <v/>
      </c>
      <c r="AF86" s="890" t="str">
        <f t="shared" si="15"/>
        <v/>
      </c>
      <c r="AG86" s="192">
        <f t="shared" si="11"/>
        <v>0</v>
      </c>
    </row>
    <row r="87" spans="2:33" x14ac:dyDescent="0.25">
      <c r="B87" s="192"/>
      <c r="F87" s="192"/>
      <c r="G87" s="192"/>
      <c r="H87" s="192"/>
      <c r="J87" s="57"/>
      <c r="K87" s="57"/>
      <c r="L87" s="57"/>
      <c r="M87" s="57"/>
      <c r="N87" s="57"/>
      <c r="O87" s="57"/>
      <c r="AA87" s="640" t="str">
        <f t="shared" si="10"/>
        <v/>
      </c>
      <c r="AB87" s="640" t="str">
        <f t="shared" si="12"/>
        <v/>
      </c>
      <c r="AC87" s="640"/>
      <c r="AD87" s="890" t="str">
        <f t="shared" si="13"/>
        <v/>
      </c>
      <c r="AE87" s="890" t="str">
        <f t="shared" si="14"/>
        <v/>
      </c>
      <c r="AF87" s="890" t="str">
        <f t="shared" si="15"/>
        <v/>
      </c>
      <c r="AG87" s="192">
        <f t="shared" si="11"/>
        <v>0</v>
      </c>
    </row>
    <row r="88" spans="2:33" x14ac:dyDescent="0.25">
      <c r="B88" s="192"/>
      <c r="F88" s="192"/>
      <c r="G88" s="192"/>
      <c r="H88" s="192"/>
      <c r="J88" s="57"/>
      <c r="K88" s="57"/>
      <c r="L88" s="57"/>
      <c r="M88" s="57"/>
      <c r="N88" s="57"/>
      <c r="O88" s="57"/>
      <c r="AA88" s="640" t="str">
        <f t="shared" si="10"/>
        <v/>
      </c>
      <c r="AB88" s="640" t="str">
        <f t="shared" si="12"/>
        <v/>
      </c>
      <c r="AC88" s="640"/>
      <c r="AD88" s="890" t="str">
        <f t="shared" si="13"/>
        <v/>
      </c>
      <c r="AE88" s="890" t="str">
        <f t="shared" si="14"/>
        <v/>
      </c>
      <c r="AF88" s="890" t="str">
        <f t="shared" si="15"/>
        <v/>
      </c>
      <c r="AG88" s="192">
        <f t="shared" si="11"/>
        <v>0</v>
      </c>
    </row>
    <row r="89" spans="2:33" x14ac:dyDescent="0.25">
      <c r="B89" s="192"/>
      <c r="F89" s="192"/>
      <c r="G89" s="192"/>
      <c r="H89" s="192"/>
      <c r="J89" s="57"/>
      <c r="K89" s="57"/>
      <c r="L89" s="57"/>
      <c r="M89" s="57"/>
      <c r="N89" s="57"/>
      <c r="O89" s="57"/>
      <c r="AA89" s="640" t="str">
        <f t="shared" si="10"/>
        <v/>
      </c>
      <c r="AB89" s="640" t="str">
        <f t="shared" si="12"/>
        <v/>
      </c>
      <c r="AC89" s="640"/>
      <c r="AD89" s="890" t="str">
        <f t="shared" si="13"/>
        <v/>
      </c>
      <c r="AE89" s="890" t="str">
        <f t="shared" si="14"/>
        <v/>
      </c>
      <c r="AF89" s="890" t="str">
        <f t="shared" si="15"/>
        <v/>
      </c>
      <c r="AG89" s="192">
        <f t="shared" si="11"/>
        <v>0</v>
      </c>
    </row>
    <row r="90" spans="2:33" x14ac:dyDescent="0.25">
      <c r="B90" s="192"/>
      <c r="F90" s="192"/>
      <c r="G90" s="192"/>
      <c r="H90" s="192"/>
      <c r="J90" s="57"/>
      <c r="K90" s="57"/>
      <c r="L90" s="57"/>
      <c r="M90" s="57"/>
      <c r="N90" s="57"/>
      <c r="O90" s="57"/>
      <c r="AA90" s="640" t="str">
        <f t="shared" si="10"/>
        <v/>
      </c>
      <c r="AB90" s="640" t="str">
        <f t="shared" si="12"/>
        <v/>
      </c>
      <c r="AC90" s="640"/>
      <c r="AD90" s="890" t="str">
        <f t="shared" si="13"/>
        <v/>
      </c>
      <c r="AE90" s="890" t="str">
        <f t="shared" si="14"/>
        <v/>
      </c>
      <c r="AF90" s="890" t="str">
        <f t="shared" si="15"/>
        <v/>
      </c>
      <c r="AG90" s="192">
        <f t="shared" si="11"/>
        <v>0</v>
      </c>
    </row>
    <row r="91" spans="2:33" x14ac:dyDescent="0.25">
      <c r="B91" s="192"/>
      <c r="F91" s="192"/>
      <c r="G91" s="192"/>
      <c r="H91" s="192"/>
      <c r="J91" s="57"/>
      <c r="K91" s="57"/>
      <c r="L91" s="57"/>
      <c r="M91" s="57"/>
      <c r="N91" s="57"/>
      <c r="O91" s="57"/>
      <c r="AA91" s="640" t="str">
        <f t="shared" si="10"/>
        <v/>
      </c>
      <c r="AB91" s="640" t="str">
        <f t="shared" si="12"/>
        <v/>
      </c>
      <c r="AC91" s="640"/>
      <c r="AD91" s="890" t="str">
        <f t="shared" si="13"/>
        <v/>
      </c>
      <c r="AE91" s="890" t="str">
        <f t="shared" si="14"/>
        <v/>
      </c>
      <c r="AF91" s="890" t="str">
        <f t="shared" si="15"/>
        <v/>
      </c>
      <c r="AG91" s="192">
        <f t="shared" si="11"/>
        <v>0</v>
      </c>
    </row>
    <row r="92" spans="2:33" x14ac:dyDescent="0.25">
      <c r="B92" s="192"/>
      <c r="F92" s="192"/>
      <c r="G92" s="192"/>
      <c r="H92" s="192"/>
      <c r="J92" s="57"/>
      <c r="K92" s="57"/>
      <c r="L92" s="57"/>
      <c r="M92" s="57"/>
      <c r="N92" s="57"/>
      <c r="O92" s="57"/>
      <c r="AA92" s="640" t="str">
        <f t="shared" si="10"/>
        <v/>
      </c>
      <c r="AB92" s="640" t="str">
        <f t="shared" si="12"/>
        <v/>
      </c>
      <c r="AC92" s="640"/>
      <c r="AD92" s="890" t="str">
        <f t="shared" si="13"/>
        <v/>
      </c>
      <c r="AE92" s="890" t="str">
        <f t="shared" si="14"/>
        <v/>
      </c>
      <c r="AF92" s="890" t="str">
        <f t="shared" si="15"/>
        <v/>
      </c>
      <c r="AG92" s="192">
        <f t="shared" si="11"/>
        <v>0</v>
      </c>
    </row>
    <row r="93" spans="2:33" x14ac:dyDescent="0.25">
      <c r="B93" s="192"/>
      <c r="F93" s="192"/>
      <c r="G93" s="192"/>
      <c r="H93" s="192"/>
      <c r="J93" s="57"/>
      <c r="K93" s="57"/>
      <c r="L93" s="57"/>
      <c r="M93" s="57"/>
      <c r="N93" s="57"/>
      <c r="O93" s="57"/>
      <c r="AA93" s="640" t="str">
        <f t="shared" si="10"/>
        <v/>
      </c>
      <c r="AB93" s="640" t="str">
        <f t="shared" si="12"/>
        <v/>
      </c>
      <c r="AC93" s="640"/>
      <c r="AD93" s="890" t="str">
        <f t="shared" si="13"/>
        <v/>
      </c>
      <c r="AE93" s="890" t="str">
        <f t="shared" si="14"/>
        <v/>
      </c>
      <c r="AF93" s="890" t="str">
        <f t="shared" si="15"/>
        <v/>
      </c>
      <c r="AG93" s="192">
        <f t="shared" si="11"/>
        <v>0</v>
      </c>
    </row>
    <row r="94" spans="2:33" x14ac:dyDescent="0.25">
      <c r="B94" s="192"/>
      <c r="F94" s="192"/>
      <c r="G94" s="192"/>
      <c r="H94" s="192"/>
      <c r="J94" s="57"/>
      <c r="K94" s="57"/>
      <c r="L94" s="57"/>
      <c r="M94" s="57"/>
      <c r="N94" s="57"/>
      <c r="O94" s="57"/>
      <c r="AA94" s="640" t="str">
        <f t="shared" si="10"/>
        <v/>
      </c>
      <c r="AB94" s="640" t="str">
        <f t="shared" si="12"/>
        <v/>
      </c>
      <c r="AC94" s="640"/>
      <c r="AD94" s="890" t="str">
        <f t="shared" si="13"/>
        <v/>
      </c>
      <c r="AE94" s="890" t="str">
        <f t="shared" si="14"/>
        <v/>
      </c>
      <c r="AF94" s="890" t="str">
        <f t="shared" si="15"/>
        <v/>
      </c>
      <c r="AG94" s="192">
        <f t="shared" si="11"/>
        <v>0</v>
      </c>
    </row>
    <row r="95" spans="2:33" x14ac:dyDescent="0.25">
      <c r="B95" s="192"/>
      <c r="F95" s="192"/>
      <c r="G95" s="192"/>
      <c r="H95" s="192"/>
      <c r="J95" s="57"/>
      <c r="K95" s="57"/>
      <c r="L95" s="57"/>
      <c r="M95" s="57"/>
      <c r="N95" s="57"/>
      <c r="O95" s="57"/>
      <c r="AA95" s="640" t="str">
        <f t="shared" si="10"/>
        <v/>
      </c>
      <c r="AB95" s="640" t="str">
        <f t="shared" si="12"/>
        <v/>
      </c>
      <c r="AC95" s="640"/>
      <c r="AD95" s="890" t="str">
        <f t="shared" si="13"/>
        <v/>
      </c>
      <c r="AE95" s="890" t="str">
        <f t="shared" si="14"/>
        <v/>
      </c>
      <c r="AF95" s="890" t="str">
        <f t="shared" si="15"/>
        <v/>
      </c>
      <c r="AG95" s="192">
        <f t="shared" si="11"/>
        <v>0</v>
      </c>
    </row>
    <row r="96" spans="2:33" x14ac:dyDescent="0.25">
      <c r="B96" s="192"/>
      <c r="F96" s="192"/>
      <c r="G96" s="192"/>
      <c r="H96" s="192"/>
      <c r="J96" s="57"/>
      <c r="K96" s="57"/>
      <c r="L96" s="57"/>
      <c r="M96" s="57"/>
      <c r="N96" s="57"/>
      <c r="O96" s="57"/>
      <c r="AA96" s="640" t="str">
        <f t="shared" si="10"/>
        <v/>
      </c>
      <c r="AB96" s="640" t="str">
        <f t="shared" si="12"/>
        <v/>
      </c>
      <c r="AC96" s="640"/>
      <c r="AD96" s="890" t="str">
        <f t="shared" si="13"/>
        <v/>
      </c>
      <c r="AE96" s="890" t="str">
        <f t="shared" si="14"/>
        <v/>
      </c>
      <c r="AF96" s="890" t="str">
        <f t="shared" si="15"/>
        <v/>
      </c>
      <c r="AG96" s="192">
        <f t="shared" si="11"/>
        <v>0</v>
      </c>
    </row>
    <row r="97" spans="2:33" x14ac:dyDescent="0.25">
      <c r="B97" s="192"/>
      <c r="F97" s="192"/>
      <c r="G97" s="192"/>
      <c r="H97" s="192"/>
      <c r="J97" s="57"/>
      <c r="K97" s="57"/>
      <c r="L97" s="57"/>
      <c r="M97" s="57"/>
      <c r="N97" s="57"/>
      <c r="O97" s="57"/>
      <c r="AA97" s="640" t="str">
        <f t="shared" si="10"/>
        <v/>
      </c>
      <c r="AB97" s="640" t="str">
        <f t="shared" si="12"/>
        <v/>
      </c>
      <c r="AC97" s="640"/>
      <c r="AD97" s="890" t="str">
        <f t="shared" si="13"/>
        <v/>
      </c>
      <c r="AE97" s="890" t="str">
        <f t="shared" si="14"/>
        <v/>
      </c>
      <c r="AF97" s="890" t="str">
        <f t="shared" si="15"/>
        <v/>
      </c>
      <c r="AG97" s="192">
        <f t="shared" si="11"/>
        <v>0</v>
      </c>
    </row>
    <row r="98" spans="2:33" x14ac:dyDescent="0.25">
      <c r="B98" s="192"/>
      <c r="F98" s="192"/>
      <c r="G98" s="192"/>
      <c r="H98" s="192"/>
      <c r="J98" s="57"/>
      <c r="K98" s="57"/>
      <c r="L98" s="57"/>
      <c r="M98" s="57"/>
      <c r="N98" s="57"/>
      <c r="O98" s="57"/>
      <c r="AA98" s="640" t="str">
        <f t="shared" si="10"/>
        <v/>
      </c>
      <c r="AB98" s="640" t="str">
        <f t="shared" si="12"/>
        <v/>
      </c>
      <c r="AC98" s="640"/>
      <c r="AD98" s="890" t="str">
        <f t="shared" si="13"/>
        <v/>
      </c>
      <c r="AE98" s="890" t="str">
        <f t="shared" si="14"/>
        <v/>
      </c>
      <c r="AF98" s="890" t="str">
        <f t="shared" si="15"/>
        <v/>
      </c>
      <c r="AG98" s="192">
        <f t="shared" si="11"/>
        <v>0</v>
      </c>
    </row>
    <row r="99" spans="2:33" x14ac:dyDescent="0.25">
      <c r="B99" s="192"/>
      <c r="F99" s="192"/>
      <c r="G99" s="192"/>
      <c r="H99" s="192"/>
      <c r="J99" s="57"/>
      <c r="K99" s="57"/>
      <c r="L99" s="57"/>
      <c r="M99" s="57"/>
      <c r="N99" s="57"/>
      <c r="O99" s="57"/>
      <c r="AA99" s="640" t="str">
        <f t="shared" si="10"/>
        <v/>
      </c>
      <c r="AB99" s="640" t="str">
        <f t="shared" si="12"/>
        <v/>
      </c>
      <c r="AC99" s="640"/>
      <c r="AD99" s="890" t="str">
        <f t="shared" si="13"/>
        <v/>
      </c>
      <c r="AE99" s="890" t="str">
        <f t="shared" si="14"/>
        <v/>
      </c>
      <c r="AF99" s="890" t="str">
        <f t="shared" si="15"/>
        <v/>
      </c>
      <c r="AG99" s="192">
        <f t="shared" si="11"/>
        <v>0</v>
      </c>
    </row>
    <row r="100" spans="2:33" x14ac:dyDescent="0.25">
      <c r="B100" s="192"/>
      <c r="F100" s="192"/>
      <c r="G100" s="192"/>
      <c r="H100" s="192"/>
      <c r="J100" s="57"/>
      <c r="K100" s="57"/>
      <c r="L100" s="57"/>
      <c r="M100" s="57"/>
      <c r="N100" s="57"/>
      <c r="O100" s="57"/>
      <c r="AA100" s="640" t="str">
        <f t="shared" si="10"/>
        <v/>
      </c>
      <c r="AB100" s="640" t="str">
        <f t="shared" si="12"/>
        <v/>
      </c>
      <c r="AC100" s="640"/>
      <c r="AD100" s="890" t="str">
        <f t="shared" si="13"/>
        <v/>
      </c>
      <c r="AE100" s="890" t="str">
        <f t="shared" si="14"/>
        <v/>
      </c>
      <c r="AF100" s="890" t="str">
        <f t="shared" si="15"/>
        <v/>
      </c>
      <c r="AG100" s="192">
        <f t="shared" si="11"/>
        <v>0</v>
      </c>
    </row>
    <row r="101" spans="2:33" x14ac:dyDescent="0.25">
      <c r="B101" s="192"/>
      <c r="F101" s="192"/>
      <c r="G101" s="192"/>
      <c r="H101" s="192"/>
      <c r="J101" s="57"/>
      <c r="K101" s="57"/>
      <c r="L101" s="57"/>
      <c r="M101" s="57"/>
      <c r="N101" s="57"/>
      <c r="O101" s="57"/>
      <c r="AA101" s="640" t="str">
        <f t="shared" si="10"/>
        <v/>
      </c>
      <c r="AB101" s="640" t="str">
        <f t="shared" si="12"/>
        <v/>
      </c>
      <c r="AC101" s="640"/>
      <c r="AD101" s="890" t="str">
        <f t="shared" si="13"/>
        <v/>
      </c>
      <c r="AE101" s="890" t="str">
        <f t="shared" si="14"/>
        <v/>
      </c>
      <c r="AF101" s="890" t="str">
        <f t="shared" si="15"/>
        <v/>
      </c>
      <c r="AG101" s="192">
        <f t="shared" si="11"/>
        <v>0</v>
      </c>
    </row>
    <row r="102" spans="2:33" x14ac:dyDescent="0.25">
      <c r="B102" s="192"/>
      <c r="F102" s="192"/>
      <c r="G102" s="192"/>
      <c r="H102" s="192"/>
      <c r="J102" s="57"/>
      <c r="K102" s="57"/>
      <c r="L102" s="57"/>
      <c r="M102" s="57"/>
      <c r="N102" s="57"/>
      <c r="O102" s="57"/>
      <c r="AA102" s="640" t="str">
        <f t="shared" si="10"/>
        <v/>
      </c>
      <c r="AB102" s="640" t="str">
        <f t="shared" si="12"/>
        <v/>
      </c>
      <c r="AC102" s="640"/>
      <c r="AD102" s="890" t="str">
        <f t="shared" si="13"/>
        <v/>
      </c>
      <c r="AE102" s="890" t="str">
        <f t="shared" si="14"/>
        <v/>
      </c>
      <c r="AF102" s="890" t="str">
        <f t="shared" si="15"/>
        <v/>
      </c>
      <c r="AG102" s="192">
        <f t="shared" si="11"/>
        <v>0</v>
      </c>
    </row>
    <row r="103" spans="2:33" x14ac:dyDescent="0.25">
      <c r="B103" s="192"/>
      <c r="F103" s="192"/>
      <c r="G103" s="192"/>
      <c r="H103" s="192"/>
      <c r="J103" s="57"/>
      <c r="K103" s="57"/>
      <c r="L103" s="57"/>
      <c r="M103" s="57"/>
      <c r="N103" s="57"/>
      <c r="O103" s="57"/>
      <c r="AA103" s="640" t="str">
        <f t="shared" si="10"/>
        <v/>
      </c>
      <c r="AB103" s="640" t="str">
        <f t="shared" si="12"/>
        <v/>
      </c>
      <c r="AC103" s="640"/>
      <c r="AD103" s="890" t="str">
        <f t="shared" si="13"/>
        <v/>
      </c>
      <c r="AE103" s="890" t="str">
        <f t="shared" si="14"/>
        <v/>
      </c>
      <c r="AF103" s="890" t="str">
        <f t="shared" si="15"/>
        <v/>
      </c>
      <c r="AG103" s="192">
        <f t="shared" si="11"/>
        <v>0</v>
      </c>
    </row>
    <row r="104" spans="2:33" x14ac:dyDescent="0.25">
      <c r="B104" s="192"/>
      <c r="F104" s="192"/>
      <c r="G104" s="192"/>
      <c r="H104" s="192"/>
      <c r="J104" s="57"/>
      <c r="K104" s="57"/>
      <c r="L104" s="57"/>
      <c r="M104" s="57"/>
      <c r="N104" s="57"/>
      <c r="O104" s="57"/>
      <c r="AA104" s="640" t="str">
        <f t="shared" si="10"/>
        <v/>
      </c>
      <c r="AB104" s="640" t="str">
        <f t="shared" si="12"/>
        <v/>
      </c>
      <c r="AC104" s="640"/>
      <c r="AD104" s="890" t="str">
        <f t="shared" si="13"/>
        <v/>
      </c>
      <c r="AE104" s="890" t="str">
        <f t="shared" si="14"/>
        <v/>
      </c>
      <c r="AF104" s="890" t="str">
        <f t="shared" si="15"/>
        <v/>
      </c>
      <c r="AG104" s="192">
        <f t="shared" si="11"/>
        <v>0</v>
      </c>
    </row>
    <row r="105" spans="2:33" x14ac:dyDescent="0.25">
      <c r="B105" s="192"/>
      <c r="F105" s="192"/>
      <c r="G105" s="192"/>
      <c r="H105" s="192"/>
      <c r="J105" s="57"/>
      <c r="K105" s="57"/>
      <c r="L105" s="57"/>
      <c r="M105" s="57"/>
      <c r="N105" s="57"/>
      <c r="O105" s="57"/>
      <c r="AA105" s="640" t="str">
        <f t="shared" si="10"/>
        <v/>
      </c>
      <c r="AB105" s="640" t="str">
        <f t="shared" si="12"/>
        <v/>
      </c>
      <c r="AC105" s="640"/>
      <c r="AD105" s="890" t="str">
        <f t="shared" si="13"/>
        <v/>
      </c>
      <c r="AE105" s="890" t="str">
        <f t="shared" si="14"/>
        <v/>
      </c>
      <c r="AF105" s="890" t="str">
        <f t="shared" si="15"/>
        <v/>
      </c>
      <c r="AG105" s="192">
        <f t="shared" si="11"/>
        <v>0</v>
      </c>
    </row>
    <row r="106" spans="2:33" x14ac:dyDescent="0.25">
      <c r="B106" s="192"/>
      <c r="F106" s="192"/>
      <c r="G106" s="192"/>
      <c r="H106" s="192"/>
      <c r="J106" s="57"/>
      <c r="K106" s="57"/>
      <c r="L106" s="57"/>
      <c r="M106" s="57"/>
      <c r="N106" s="57"/>
      <c r="O106" s="57"/>
      <c r="AA106" s="640" t="str">
        <f t="shared" si="10"/>
        <v/>
      </c>
      <c r="AB106" s="640" t="str">
        <f t="shared" si="12"/>
        <v/>
      </c>
      <c r="AC106" s="640"/>
      <c r="AD106" s="890" t="str">
        <f t="shared" si="13"/>
        <v/>
      </c>
      <c r="AE106" s="890" t="str">
        <f t="shared" si="14"/>
        <v/>
      </c>
      <c r="AF106" s="890" t="str">
        <f t="shared" si="15"/>
        <v/>
      </c>
      <c r="AG106" s="192">
        <f t="shared" si="11"/>
        <v>0</v>
      </c>
    </row>
    <row r="107" spans="2:33" x14ac:dyDescent="0.25">
      <c r="B107" s="192"/>
      <c r="F107" s="192"/>
      <c r="G107" s="192"/>
      <c r="H107" s="192"/>
      <c r="J107" s="57"/>
      <c r="K107" s="57"/>
      <c r="L107" s="57"/>
      <c r="M107" s="57"/>
      <c r="N107" s="57"/>
      <c r="O107" s="57"/>
      <c r="AA107" s="640" t="str">
        <f t="shared" si="10"/>
        <v/>
      </c>
      <c r="AB107" s="640" t="str">
        <f t="shared" si="12"/>
        <v/>
      </c>
      <c r="AC107" s="640"/>
      <c r="AD107" s="890" t="str">
        <f t="shared" si="13"/>
        <v/>
      </c>
      <c r="AE107" s="890" t="str">
        <f t="shared" si="14"/>
        <v/>
      </c>
      <c r="AF107" s="890" t="str">
        <f t="shared" si="15"/>
        <v/>
      </c>
      <c r="AG107" s="192">
        <f t="shared" si="11"/>
        <v>0</v>
      </c>
    </row>
    <row r="108" spans="2:33" x14ac:dyDescent="0.25">
      <c r="B108" s="192"/>
      <c r="F108" s="192"/>
      <c r="G108" s="192"/>
      <c r="H108" s="192"/>
      <c r="J108" s="57"/>
      <c r="K108" s="57"/>
      <c r="L108" s="57"/>
      <c r="M108" s="57"/>
      <c r="N108" s="57"/>
      <c r="O108" s="57"/>
      <c r="AA108" s="640" t="str">
        <f t="shared" si="10"/>
        <v/>
      </c>
      <c r="AB108" s="640" t="str">
        <f t="shared" si="12"/>
        <v/>
      </c>
      <c r="AC108" s="640"/>
      <c r="AD108" s="890" t="str">
        <f t="shared" si="13"/>
        <v/>
      </c>
      <c r="AE108" s="890" t="str">
        <f t="shared" si="14"/>
        <v/>
      </c>
      <c r="AF108" s="890" t="str">
        <f t="shared" si="15"/>
        <v/>
      </c>
      <c r="AG108" s="192">
        <f t="shared" si="11"/>
        <v>0</v>
      </c>
    </row>
    <row r="109" spans="2:33" x14ac:dyDescent="0.25">
      <c r="B109" s="192"/>
      <c r="F109" s="192"/>
      <c r="G109" s="192"/>
      <c r="H109" s="192"/>
      <c r="J109" s="57"/>
      <c r="K109" s="57"/>
      <c r="L109" s="57"/>
      <c r="M109" s="57"/>
      <c r="N109" s="57"/>
      <c r="O109" s="57"/>
      <c r="AA109" s="640" t="str">
        <f t="shared" si="10"/>
        <v/>
      </c>
      <c r="AB109" s="640" t="str">
        <f t="shared" si="12"/>
        <v/>
      </c>
      <c r="AC109" s="640"/>
      <c r="AD109" s="890" t="str">
        <f t="shared" si="13"/>
        <v/>
      </c>
      <c r="AE109" s="890" t="str">
        <f t="shared" si="14"/>
        <v/>
      </c>
      <c r="AF109" s="890" t="str">
        <f t="shared" si="15"/>
        <v/>
      </c>
      <c r="AG109" s="192">
        <f t="shared" si="11"/>
        <v>0</v>
      </c>
    </row>
    <row r="110" spans="2:33" x14ac:dyDescent="0.25">
      <c r="B110" s="192"/>
      <c r="F110" s="192"/>
      <c r="G110" s="192"/>
      <c r="H110" s="192"/>
      <c r="J110" s="57"/>
      <c r="K110" s="57"/>
      <c r="L110" s="57"/>
      <c r="M110" s="57"/>
      <c r="N110" s="57"/>
      <c r="O110" s="57"/>
      <c r="AA110" s="640" t="str">
        <f t="shared" si="10"/>
        <v/>
      </c>
      <c r="AB110" s="640" t="str">
        <f t="shared" si="12"/>
        <v/>
      </c>
      <c r="AC110" s="640"/>
      <c r="AD110" s="890" t="str">
        <f t="shared" si="13"/>
        <v/>
      </c>
      <c r="AE110" s="890" t="str">
        <f t="shared" si="14"/>
        <v/>
      </c>
      <c r="AF110" s="890" t="str">
        <f t="shared" si="15"/>
        <v/>
      </c>
      <c r="AG110" s="192">
        <f t="shared" si="11"/>
        <v>0</v>
      </c>
    </row>
    <row r="111" spans="2:33" x14ac:dyDescent="0.25">
      <c r="B111" s="192"/>
      <c r="F111" s="192"/>
      <c r="G111" s="192"/>
      <c r="H111" s="192"/>
      <c r="J111" s="57"/>
      <c r="K111" s="57"/>
      <c r="L111" s="57"/>
      <c r="M111" s="57"/>
      <c r="N111" s="57"/>
      <c r="O111" s="57"/>
      <c r="AA111" s="640" t="str">
        <f t="shared" si="10"/>
        <v/>
      </c>
      <c r="AB111" s="640" t="str">
        <f t="shared" si="12"/>
        <v/>
      </c>
      <c r="AC111" s="640"/>
      <c r="AD111" s="890" t="str">
        <f t="shared" si="13"/>
        <v/>
      </c>
      <c r="AE111" s="890" t="str">
        <f t="shared" si="14"/>
        <v/>
      </c>
      <c r="AF111" s="890" t="str">
        <f t="shared" si="15"/>
        <v/>
      </c>
      <c r="AG111" s="192">
        <f t="shared" si="11"/>
        <v>0</v>
      </c>
    </row>
    <row r="112" spans="2:33" x14ac:dyDescent="0.25">
      <c r="B112" s="192"/>
      <c r="F112" s="192"/>
      <c r="G112" s="192"/>
      <c r="H112" s="192"/>
      <c r="J112" s="57"/>
      <c r="K112" s="57"/>
      <c r="L112" s="57"/>
      <c r="M112" s="57"/>
      <c r="N112" s="57"/>
      <c r="O112" s="57"/>
      <c r="AA112" s="640" t="str">
        <f t="shared" si="10"/>
        <v/>
      </c>
      <c r="AB112" s="640" t="str">
        <f t="shared" si="12"/>
        <v/>
      </c>
      <c r="AC112" s="640"/>
      <c r="AD112" s="890" t="str">
        <f t="shared" si="13"/>
        <v/>
      </c>
      <c r="AE112" s="890" t="str">
        <f t="shared" si="14"/>
        <v/>
      </c>
      <c r="AF112" s="890" t="str">
        <f t="shared" si="15"/>
        <v/>
      </c>
      <c r="AG112" s="192">
        <f t="shared" si="11"/>
        <v>0</v>
      </c>
    </row>
    <row r="113" spans="2:33" x14ac:dyDescent="0.25">
      <c r="B113" s="192"/>
      <c r="F113" s="192"/>
      <c r="G113" s="192"/>
      <c r="H113" s="192"/>
      <c r="J113" s="57"/>
      <c r="K113" s="57"/>
      <c r="L113" s="57"/>
      <c r="M113" s="57"/>
      <c r="N113" s="57"/>
      <c r="O113" s="57"/>
      <c r="AA113" s="640" t="str">
        <f t="shared" si="10"/>
        <v/>
      </c>
      <c r="AB113" s="640" t="str">
        <f t="shared" si="12"/>
        <v/>
      </c>
      <c r="AC113" s="640"/>
      <c r="AD113" s="890" t="str">
        <f t="shared" si="13"/>
        <v/>
      </c>
      <c r="AE113" s="890" t="str">
        <f t="shared" si="14"/>
        <v/>
      </c>
      <c r="AF113" s="890" t="str">
        <f t="shared" si="15"/>
        <v/>
      </c>
      <c r="AG113" s="192">
        <f t="shared" si="11"/>
        <v>0</v>
      </c>
    </row>
    <row r="114" spans="2:33" x14ac:dyDescent="0.25">
      <c r="B114" s="192"/>
      <c r="F114" s="192"/>
      <c r="G114" s="192"/>
      <c r="H114" s="192"/>
      <c r="J114" s="57"/>
      <c r="K114" s="57"/>
      <c r="L114" s="57"/>
      <c r="M114" s="57"/>
      <c r="N114" s="57"/>
      <c r="O114" s="57"/>
      <c r="AA114" s="640" t="str">
        <f t="shared" si="10"/>
        <v/>
      </c>
      <c r="AB114" s="640" t="str">
        <f t="shared" si="12"/>
        <v/>
      </c>
      <c r="AC114" s="640"/>
      <c r="AD114" s="890" t="str">
        <f t="shared" si="13"/>
        <v/>
      </c>
      <c r="AE114" s="890" t="str">
        <f t="shared" si="14"/>
        <v/>
      </c>
      <c r="AF114" s="890" t="str">
        <f t="shared" si="15"/>
        <v/>
      </c>
      <c r="AG114" s="192">
        <f t="shared" si="11"/>
        <v>0</v>
      </c>
    </row>
    <row r="115" spans="2:33" x14ac:dyDescent="0.25">
      <c r="B115" s="192"/>
      <c r="F115" s="192"/>
      <c r="G115" s="192"/>
      <c r="H115" s="192"/>
      <c r="J115" s="57"/>
      <c r="K115" s="57"/>
      <c r="L115" s="57"/>
      <c r="M115" s="57"/>
      <c r="N115" s="57"/>
      <c r="O115" s="57"/>
      <c r="AA115" s="640" t="str">
        <f t="shared" si="10"/>
        <v/>
      </c>
      <c r="AB115" s="640" t="str">
        <f t="shared" si="12"/>
        <v/>
      </c>
      <c r="AC115" s="640"/>
      <c r="AD115" s="890" t="str">
        <f t="shared" si="13"/>
        <v/>
      </c>
      <c r="AE115" s="890" t="str">
        <f t="shared" si="14"/>
        <v/>
      </c>
      <c r="AF115" s="890" t="str">
        <f t="shared" si="15"/>
        <v/>
      </c>
      <c r="AG115" s="192">
        <f t="shared" si="11"/>
        <v>0</v>
      </c>
    </row>
    <row r="116" spans="2:33" x14ac:dyDescent="0.25">
      <c r="B116" s="192"/>
      <c r="F116" s="192"/>
      <c r="G116" s="192"/>
      <c r="H116" s="192"/>
      <c r="J116" s="57"/>
      <c r="K116" s="57"/>
      <c r="L116" s="57"/>
      <c r="M116" s="57"/>
      <c r="N116" s="57"/>
      <c r="O116" s="57"/>
      <c r="AA116" s="640" t="str">
        <f t="shared" si="10"/>
        <v/>
      </c>
      <c r="AB116" s="640" t="str">
        <f t="shared" si="12"/>
        <v/>
      </c>
      <c r="AC116" s="640"/>
      <c r="AD116" s="890" t="str">
        <f t="shared" si="13"/>
        <v/>
      </c>
      <c r="AE116" s="890" t="str">
        <f t="shared" si="14"/>
        <v/>
      </c>
      <c r="AF116" s="890" t="str">
        <f t="shared" si="15"/>
        <v/>
      </c>
      <c r="AG116" s="192">
        <f t="shared" si="11"/>
        <v>0</v>
      </c>
    </row>
    <row r="117" spans="2:33" x14ac:dyDescent="0.25">
      <c r="B117" s="192"/>
      <c r="F117" s="192"/>
      <c r="G117" s="192"/>
      <c r="H117" s="192"/>
      <c r="J117" s="57"/>
      <c r="K117" s="57"/>
      <c r="L117" s="57"/>
      <c r="M117" s="57"/>
      <c r="N117" s="57"/>
      <c r="O117" s="57"/>
      <c r="AA117" s="640" t="str">
        <f t="shared" si="10"/>
        <v/>
      </c>
      <c r="AB117" s="640" t="str">
        <f t="shared" si="12"/>
        <v/>
      </c>
      <c r="AC117" s="640"/>
      <c r="AD117" s="890" t="str">
        <f t="shared" si="13"/>
        <v/>
      </c>
      <c r="AE117" s="890" t="str">
        <f t="shared" si="14"/>
        <v/>
      </c>
      <c r="AF117" s="890" t="str">
        <f t="shared" si="15"/>
        <v/>
      </c>
      <c r="AG117" s="192">
        <f t="shared" si="11"/>
        <v>0</v>
      </c>
    </row>
    <row r="118" spans="2:33" x14ac:dyDescent="0.25">
      <c r="B118" s="192"/>
      <c r="F118" s="192"/>
      <c r="G118" s="192"/>
      <c r="H118" s="192"/>
      <c r="J118" s="57"/>
      <c r="K118" s="57"/>
      <c r="L118" s="57"/>
      <c r="M118" s="57"/>
      <c r="N118" s="57"/>
      <c r="O118" s="57"/>
      <c r="AA118" s="640" t="str">
        <f t="shared" si="10"/>
        <v/>
      </c>
      <c r="AB118" s="640" t="str">
        <f t="shared" si="12"/>
        <v/>
      </c>
      <c r="AC118" s="640"/>
      <c r="AD118" s="890" t="str">
        <f t="shared" si="13"/>
        <v/>
      </c>
      <c r="AE118" s="890" t="str">
        <f t="shared" si="14"/>
        <v/>
      </c>
      <c r="AF118" s="890" t="str">
        <f t="shared" si="15"/>
        <v/>
      </c>
      <c r="AG118" s="192">
        <f t="shared" si="11"/>
        <v>0</v>
      </c>
    </row>
    <row r="119" spans="2:33" x14ac:dyDescent="0.25">
      <c r="B119" s="192"/>
      <c r="F119" s="192"/>
      <c r="G119" s="192"/>
      <c r="H119" s="192"/>
      <c r="J119" s="57"/>
      <c r="K119" s="57"/>
      <c r="L119" s="57"/>
      <c r="M119" s="57"/>
      <c r="N119" s="57"/>
      <c r="O119" s="57"/>
      <c r="AA119" s="640" t="str">
        <f t="shared" si="10"/>
        <v/>
      </c>
      <c r="AB119" s="640" t="str">
        <f t="shared" si="12"/>
        <v/>
      </c>
      <c r="AC119" s="640"/>
      <c r="AD119" s="890" t="str">
        <f t="shared" si="13"/>
        <v/>
      </c>
      <c r="AE119" s="890" t="str">
        <f t="shared" si="14"/>
        <v/>
      </c>
      <c r="AF119" s="890" t="str">
        <f t="shared" si="15"/>
        <v/>
      </c>
      <c r="AG119" s="192">
        <f t="shared" si="11"/>
        <v>0</v>
      </c>
    </row>
    <row r="120" spans="2:33" x14ac:dyDescent="0.25">
      <c r="B120" s="192"/>
      <c r="F120" s="192"/>
      <c r="G120" s="192"/>
      <c r="H120" s="192"/>
      <c r="J120" s="57"/>
      <c r="K120" s="57"/>
      <c r="L120" s="57"/>
      <c r="M120" s="57"/>
      <c r="N120" s="57"/>
      <c r="O120" s="57"/>
      <c r="AA120" s="640" t="str">
        <f t="shared" si="10"/>
        <v/>
      </c>
      <c r="AB120" s="640" t="str">
        <f t="shared" si="12"/>
        <v/>
      </c>
      <c r="AC120" s="640"/>
      <c r="AD120" s="890" t="str">
        <f t="shared" si="13"/>
        <v/>
      </c>
      <c r="AE120" s="890" t="str">
        <f t="shared" si="14"/>
        <v/>
      </c>
      <c r="AF120" s="890" t="str">
        <f t="shared" si="15"/>
        <v/>
      </c>
      <c r="AG120" s="192">
        <f t="shared" si="11"/>
        <v>0</v>
      </c>
    </row>
    <row r="121" spans="2:33" x14ac:dyDescent="0.25">
      <c r="B121" s="192"/>
      <c r="F121" s="192"/>
      <c r="G121" s="192"/>
      <c r="H121" s="192"/>
      <c r="J121" s="57"/>
      <c r="K121" s="57"/>
      <c r="L121" s="57"/>
      <c r="M121" s="57"/>
      <c r="N121" s="57"/>
      <c r="O121" s="57"/>
      <c r="AA121" s="640" t="str">
        <f t="shared" si="10"/>
        <v/>
      </c>
      <c r="AB121" s="640" t="str">
        <f t="shared" si="12"/>
        <v/>
      </c>
      <c r="AC121" s="640"/>
      <c r="AD121" s="890" t="str">
        <f t="shared" si="13"/>
        <v/>
      </c>
      <c r="AE121" s="890" t="str">
        <f t="shared" si="14"/>
        <v/>
      </c>
      <c r="AF121" s="890" t="str">
        <f t="shared" si="15"/>
        <v/>
      </c>
      <c r="AG121" s="192">
        <f t="shared" si="11"/>
        <v>0</v>
      </c>
    </row>
    <row r="122" spans="2:33" x14ac:dyDescent="0.25">
      <c r="B122" s="192"/>
      <c r="F122" s="192"/>
      <c r="G122" s="192"/>
      <c r="H122" s="192"/>
      <c r="J122" s="57"/>
      <c r="K122" s="57"/>
      <c r="L122" s="57"/>
      <c r="M122" s="57"/>
      <c r="N122" s="57"/>
      <c r="O122" s="57"/>
      <c r="AA122" s="640" t="str">
        <f t="shared" si="10"/>
        <v/>
      </c>
      <c r="AB122" s="640" t="str">
        <f t="shared" si="12"/>
        <v/>
      </c>
      <c r="AC122" s="640"/>
      <c r="AD122" s="890" t="str">
        <f t="shared" si="13"/>
        <v/>
      </c>
      <c r="AE122" s="890" t="str">
        <f t="shared" si="14"/>
        <v/>
      </c>
      <c r="AF122" s="890" t="str">
        <f t="shared" si="15"/>
        <v/>
      </c>
      <c r="AG122" s="192">
        <f t="shared" si="11"/>
        <v>0</v>
      </c>
    </row>
    <row r="123" spans="2:33" x14ac:dyDescent="0.25">
      <c r="B123" s="192"/>
      <c r="F123" s="192"/>
      <c r="G123" s="192"/>
      <c r="H123" s="192"/>
      <c r="J123" s="57"/>
      <c r="K123" s="57"/>
      <c r="L123" s="57"/>
      <c r="M123" s="57"/>
      <c r="N123" s="57"/>
      <c r="O123" s="57"/>
      <c r="AA123" s="640" t="str">
        <f t="shared" si="10"/>
        <v/>
      </c>
      <c r="AB123" s="640" t="str">
        <f t="shared" si="12"/>
        <v/>
      </c>
      <c r="AC123" s="640"/>
      <c r="AD123" s="890" t="str">
        <f t="shared" si="13"/>
        <v/>
      </c>
      <c r="AE123" s="890" t="str">
        <f t="shared" si="14"/>
        <v/>
      </c>
      <c r="AF123" s="890" t="str">
        <f t="shared" si="15"/>
        <v/>
      </c>
      <c r="AG123" s="192">
        <f t="shared" si="11"/>
        <v>0</v>
      </c>
    </row>
    <row r="124" spans="2:33" x14ac:dyDescent="0.25">
      <c r="B124" s="192"/>
      <c r="F124" s="192"/>
      <c r="G124" s="192"/>
      <c r="H124" s="192"/>
      <c r="J124" s="57"/>
      <c r="K124" s="57"/>
      <c r="L124" s="57"/>
      <c r="M124" s="57"/>
      <c r="N124" s="57"/>
      <c r="O124" s="57"/>
      <c r="AA124" s="640" t="str">
        <f t="shared" si="10"/>
        <v/>
      </c>
      <c r="AB124" s="640" t="str">
        <f t="shared" si="12"/>
        <v/>
      </c>
      <c r="AC124" s="640"/>
      <c r="AD124" s="890" t="str">
        <f t="shared" si="13"/>
        <v/>
      </c>
      <c r="AE124" s="890" t="str">
        <f t="shared" si="14"/>
        <v/>
      </c>
      <c r="AF124" s="890" t="str">
        <f t="shared" si="15"/>
        <v/>
      </c>
      <c r="AG124" s="192">
        <f t="shared" si="11"/>
        <v>0</v>
      </c>
    </row>
    <row r="125" spans="2:33" x14ac:dyDescent="0.25">
      <c r="B125" s="192"/>
      <c r="F125" s="192"/>
      <c r="G125" s="192"/>
      <c r="H125" s="192"/>
      <c r="J125" s="57"/>
      <c r="K125" s="57"/>
      <c r="L125" s="57"/>
      <c r="M125" s="57"/>
      <c r="N125" s="57"/>
      <c r="O125" s="57"/>
      <c r="AA125" s="640" t="str">
        <f t="shared" si="10"/>
        <v/>
      </c>
      <c r="AB125" s="640" t="str">
        <f t="shared" si="12"/>
        <v/>
      </c>
      <c r="AC125" s="640"/>
      <c r="AD125" s="890" t="str">
        <f t="shared" si="13"/>
        <v/>
      </c>
      <c r="AE125" s="890" t="str">
        <f t="shared" si="14"/>
        <v/>
      </c>
      <c r="AF125" s="890" t="str">
        <f t="shared" si="15"/>
        <v/>
      </c>
      <c r="AG125" s="192">
        <f t="shared" si="11"/>
        <v>0</v>
      </c>
    </row>
    <row r="126" spans="2:33" x14ac:dyDescent="0.25">
      <c r="B126" s="192"/>
      <c r="F126" s="192"/>
      <c r="G126" s="192"/>
      <c r="H126" s="192"/>
      <c r="J126" s="57"/>
      <c r="K126" s="57"/>
      <c r="L126" s="57"/>
      <c r="M126" s="57"/>
      <c r="N126" s="57"/>
      <c r="O126" s="57"/>
      <c r="AA126" s="640" t="str">
        <f t="shared" si="10"/>
        <v/>
      </c>
      <c r="AB126" s="640" t="str">
        <f t="shared" si="12"/>
        <v/>
      </c>
      <c r="AC126" s="640"/>
      <c r="AD126" s="890" t="str">
        <f t="shared" si="13"/>
        <v/>
      </c>
      <c r="AE126" s="890" t="str">
        <f t="shared" si="14"/>
        <v/>
      </c>
      <c r="AF126" s="890" t="str">
        <f t="shared" si="15"/>
        <v/>
      </c>
      <c r="AG126" s="192">
        <f t="shared" si="11"/>
        <v>0</v>
      </c>
    </row>
    <row r="127" spans="2:33" x14ac:dyDescent="0.25">
      <c r="B127" s="192"/>
      <c r="F127" s="192"/>
      <c r="G127" s="192"/>
      <c r="H127" s="192"/>
      <c r="J127" s="57"/>
      <c r="K127" s="57"/>
      <c r="L127" s="57"/>
      <c r="M127" s="57"/>
      <c r="N127" s="57"/>
      <c r="O127" s="57"/>
      <c r="AA127" s="640" t="str">
        <f t="shared" si="10"/>
        <v/>
      </c>
      <c r="AB127" s="640" t="str">
        <f t="shared" si="12"/>
        <v/>
      </c>
      <c r="AC127" s="640"/>
      <c r="AD127" s="890" t="str">
        <f t="shared" si="13"/>
        <v/>
      </c>
      <c r="AE127" s="890" t="str">
        <f t="shared" si="14"/>
        <v/>
      </c>
      <c r="AF127" s="890" t="str">
        <f t="shared" si="15"/>
        <v/>
      </c>
      <c r="AG127" s="192">
        <f t="shared" si="11"/>
        <v>0</v>
      </c>
    </row>
    <row r="128" spans="2:33" x14ac:dyDescent="0.25">
      <c r="B128" s="192"/>
      <c r="F128" s="192"/>
      <c r="G128" s="192"/>
      <c r="H128" s="192"/>
      <c r="J128" s="57"/>
      <c r="K128" s="57"/>
      <c r="L128" s="57"/>
      <c r="M128" s="57"/>
      <c r="N128" s="57"/>
      <c r="O128" s="57"/>
      <c r="AA128" s="640" t="str">
        <f t="shared" si="10"/>
        <v/>
      </c>
      <c r="AB128" s="640" t="str">
        <f t="shared" si="12"/>
        <v/>
      </c>
      <c r="AC128" s="640"/>
      <c r="AD128" s="890" t="str">
        <f t="shared" si="13"/>
        <v/>
      </c>
      <c r="AE128" s="890" t="str">
        <f t="shared" si="14"/>
        <v/>
      </c>
      <c r="AF128" s="890" t="str">
        <f t="shared" si="15"/>
        <v/>
      </c>
      <c r="AG128" s="192">
        <f t="shared" si="11"/>
        <v>0</v>
      </c>
    </row>
    <row r="129" spans="1:33" x14ac:dyDescent="0.25">
      <c r="B129" s="192"/>
      <c r="F129" s="192"/>
      <c r="G129" s="192"/>
      <c r="H129" s="192"/>
      <c r="J129" s="57"/>
      <c r="K129" s="57"/>
      <c r="L129" s="57"/>
      <c r="M129" s="57"/>
      <c r="N129" s="57"/>
      <c r="O129" s="57"/>
      <c r="AA129" s="640" t="str">
        <f t="shared" si="10"/>
        <v/>
      </c>
      <c r="AB129" s="640" t="str">
        <f t="shared" si="12"/>
        <v/>
      </c>
      <c r="AC129" s="640"/>
      <c r="AD129" s="890" t="str">
        <f t="shared" si="13"/>
        <v/>
      </c>
      <c r="AE129" s="890" t="str">
        <f t="shared" si="14"/>
        <v/>
      </c>
      <c r="AF129" s="890" t="str">
        <f t="shared" si="15"/>
        <v/>
      </c>
      <c r="AG129" s="192">
        <f t="shared" si="11"/>
        <v>0</v>
      </c>
    </row>
    <row r="130" spans="1:33" x14ac:dyDescent="0.25">
      <c r="B130" s="192"/>
      <c r="F130" s="192"/>
      <c r="G130" s="192"/>
      <c r="H130" s="192"/>
      <c r="J130" s="57"/>
      <c r="K130" s="57"/>
      <c r="L130" s="57"/>
      <c r="M130" s="57"/>
      <c r="N130" s="57"/>
      <c r="O130" s="57"/>
      <c r="AA130" s="640" t="str">
        <f t="shared" si="10"/>
        <v/>
      </c>
      <c r="AB130" s="640" t="str">
        <f t="shared" si="12"/>
        <v/>
      </c>
      <c r="AC130" s="640"/>
      <c r="AD130" s="890" t="str">
        <f t="shared" si="13"/>
        <v/>
      </c>
      <c r="AE130" s="890" t="str">
        <f t="shared" si="14"/>
        <v/>
      </c>
      <c r="AF130" s="890" t="str">
        <f t="shared" si="15"/>
        <v/>
      </c>
      <c r="AG130" s="192">
        <f t="shared" si="11"/>
        <v>0</v>
      </c>
    </row>
    <row r="131" spans="1:33" x14ac:dyDescent="0.25">
      <c r="B131" s="192"/>
      <c r="F131" s="192"/>
      <c r="G131" s="192"/>
      <c r="H131" s="192"/>
      <c r="J131" s="57"/>
      <c r="K131" s="57"/>
      <c r="L131" s="57"/>
      <c r="M131" s="57"/>
      <c r="N131" s="57"/>
      <c r="O131" s="57"/>
      <c r="AA131" s="640" t="str">
        <f t="shared" si="10"/>
        <v/>
      </c>
      <c r="AB131" s="640" t="str">
        <f t="shared" si="12"/>
        <v/>
      </c>
      <c r="AC131" s="640"/>
      <c r="AD131" s="890" t="str">
        <f t="shared" si="13"/>
        <v/>
      </c>
      <c r="AE131" s="890" t="str">
        <f t="shared" si="14"/>
        <v/>
      </c>
      <c r="AF131" s="890" t="str">
        <f t="shared" si="15"/>
        <v/>
      </c>
      <c r="AG131" s="192">
        <f t="shared" si="11"/>
        <v>0</v>
      </c>
    </row>
    <row r="132" spans="1:33" x14ac:dyDescent="0.25">
      <c r="B132" s="192"/>
      <c r="F132" s="192"/>
      <c r="G132" s="192"/>
      <c r="H132" s="192"/>
      <c r="J132" s="57"/>
      <c r="K132" s="57"/>
      <c r="L132" s="57"/>
      <c r="M132" s="57"/>
      <c r="N132" s="57"/>
      <c r="O132" s="57"/>
      <c r="AA132" s="640" t="str">
        <f t="shared" si="10"/>
        <v/>
      </c>
      <c r="AB132" s="640" t="str">
        <f t="shared" si="12"/>
        <v/>
      </c>
      <c r="AC132" s="640"/>
      <c r="AD132" s="890" t="str">
        <f t="shared" si="13"/>
        <v/>
      </c>
      <c r="AE132" s="890" t="str">
        <f t="shared" si="14"/>
        <v/>
      </c>
      <c r="AF132" s="890" t="str">
        <f t="shared" si="15"/>
        <v/>
      </c>
      <c r="AG132" s="192">
        <f t="shared" si="11"/>
        <v>0</v>
      </c>
    </row>
    <row r="133" spans="1:33" x14ac:dyDescent="0.25">
      <c r="B133" s="192"/>
      <c r="F133" s="192"/>
      <c r="G133" s="192"/>
      <c r="H133" s="192"/>
      <c r="J133" s="57"/>
      <c r="K133" s="57"/>
      <c r="L133" s="57"/>
      <c r="M133" s="57"/>
      <c r="N133" s="57"/>
      <c r="O133" s="57"/>
      <c r="AA133" s="640" t="str">
        <f t="shared" si="10"/>
        <v/>
      </c>
      <c r="AB133" s="640" t="str">
        <f t="shared" si="12"/>
        <v/>
      </c>
      <c r="AC133" s="640"/>
      <c r="AD133" s="890" t="str">
        <f t="shared" si="13"/>
        <v/>
      </c>
      <c r="AE133" s="890" t="str">
        <f t="shared" si="14"/>
        <v/>
      </c>
      <c r="AF133" s="890" t="str">
        <f t="shared" si="15"/>
        <v/>
      </c>
      <c r="AG133" s="192">
        <f t="shared" si="11"/>
        <v>0</v>
      </c>
    </row>
    <row r="134" spans="1:33" x14ac:dyDescent="0.25">
      <c r="B134" s="192"/>
      <c r="F134" s="192"/>
      <c r="G134" s="192"/>
      <c r="H134" s="192"/>
      <c r="J134" s="57"/>
      <c r="K134" s="57"/>
      <c r="L134" s="57"/>
      <c r="M134" s="57"/>
      <c r="N134" s="57"/>
      <c r="O134" s="57"/>
      <c r="AA134" s="640" t="str">
        <f t="shared" si="10"/>
        <v/>
      </c>
      <c r="AB134" s="640" t="str">
        <f t="shared" si="12"/>
        <v/>
      </c>
      <c r="AC134" s="640"/>
      <c r="AD134" s="890" t="str">
        <f t="shared" si="13"/>
        <v/>
      </c>
      <c r="AE134" s="890" t="str">
        <f t="shared" si="14"/>
        <v/>
      </c>
      <c r="AF134" s="890" t="str">
        <f t="shared" si="15"/>
        <v/>
      </c>
      <c r="AG134" s="192">
        <f t="shared" si="11"/>
        <v>0</v>
      </c>
    </row>
    <row r="135" spans="1:33" x14ac:dyDescent="0.25">
      <c r="B135" s="192"/>
      <c r="F135" s="192"/>
      <c r="G135" s="192"/>
      <c r="H135" s="192"/>
      <c r="J135" s="57"/>
      <c r="K135" s="57"/>
      <c r="L135" s="57"/>
      <c r="M135" s="57"/>
      <c r="N135" s="57"/>
      <c r="O135" s="57"/>
      <c r="AA135" s="640" t="str">
        <f t="shared" ref="AA135:AA198" si="16">IF(G135=0, IF(OR(H135&gt;0,F135&gt;0),C135*F135,""),"")</f>
        <v/>
      </c>
      <c r="AB135" s="640" t="str">
        <f t="shared" si="12"/>
        <v/>
      </c>
      <c r="AC135" s="640"/>
      <c r="AD135" s="890" t="str">
        <f t="shared" si="13"/>
        <v/>
      </c>
      <c r="AE135" s="890" t="str">
        <f t="shared" si="14"/>
        <v/>
      </c>
      <c r="AF135" s="890" t="str">
        <f t="shared" si="15"/>
        <v/>
      </c>
      <c r="AG135" s="192">
        <f t="shared" ref="AG135:AG198" si="17">(C135*G135)+(C135*H135)+(C135*I135)</f>
        <v>0</v>
      </c>
    </row>
    <row r="136" spans="1:33" x14ac:dyDescent="0.25">
      <c r="A136" s="109"/>
      <c r="B136" s="109"/>
      <c r="C136" s="109"/>
      <c r="J136" s="57"/>
      <c r="K136" s="57"/>
      <c r="L136" s="57"/>
      <c r="M136" s="57"/>
      <c r="N136" s="57"/>
      <c r="O136" s="57"/>
      <c r="AA136" s="640" t="str">
        <f t="shared" si="16"/>
        <v/>
      </c>
      <c r="AB136" s="640" t="str">
        <f t="shared" ref="AB136:AB199" si="18">IF(G136&gt;=1,IF(F136&gt;1,C136*(F136-2),""),"")</f>
        <v/>
      </c>
      <c r="AC136" s="640"/>
      <c r="AD136" s="890" t="str">
        <f t="shared" ref="AD136:AD199" si="19">IF(E136="YES",IF(G136=1,"",""),IF(G136=1,C136,IF(G136=2,C136,IF(G136=0,"",""))))</f>
        <v/>
      </c>
      <c r="AE136" s="890" t="str">
        <f t="shared" ref="AE136:AE199" si="20">IF(E136="YES",IF(G136=1,"",IF(H136=1,C136,"")),IF(H136=1,C136,IF(H136=2,C136,IF(H136=0,"",""))))</f>
        <v/>
      </c>
      <c r="AF136" s="890" t="str">
        <f t="shared" ref="AF136:AF199" si="21">IF(E136="YES",IF(I136=1,C136,""),IF(I136=1,C136,IF(I136=2,C136,IF(I136=0,"",""))))</f>
        <v/>
      </c>
      <c r="AG136" s="192">
        <f t="shared" si="17"/>
        <v>0</v>
      </c>
    </row>
    <row r="137" spans="1:33" x14ac:dyDescent="0.25">
      <c r="A137" s="109"/>
      <c r="B137" s="109"/>
      <c r="C137" s="109"/>
      <c r="J137" s="57"/>
      <c r="K137" s="57"/>
      <c r="L137" s="57"/>
      <c r="M137" s="57"/>
      <c r="N137" s="57"/>
      <c r="O137" s="57"/>
      <c r="AA137" s="640" t="str">
        <f t="shared" si="16"/>
        <v/>
      </c>
      <c r="AB137" s="640" t="str">
        <f t="shared" si="18"/>
        <v/>
      </c>
      <c r="AC137" s="640"/>
      <c r="AD137" s="890" t="str">
        <f t="shared" si="19"/>
        <v/>
      </c>
      <c r="AE137" s="890" t="str">
        <f t="shared" si="20"/>
        <v/>
      </c>
      <c r="AF137" s="890" t="str">
        <f t="shared" si="21"/>
        <v/>
      </c>
      <c r="AG137" s="192">
        <f t="shared" si="17"/>
        <v>0</v>
      </c>
    </row>
    <row r="138" spans="1:33" x14ac:dyDescent="0.25">
      <c r="A138" s="109"/>
      <c r="B138" s="109"/>
      <c r="C138" s="109"/>
      <c r="J138" s="57"/>
      <c r="K138" s="57"/>
      <c r="L138" s="57"/>
      <c r="M138" s="57"/>
      <c r="N138" s="57"/>
      <c r="O138" s="57"/>
      <c r="AA138" s="640" t="str">
        <f t="shared" si="16"/>
        <v/>
      </c>
      <c r="AB138" s="640" t="str">
        <f t="shared" si="18"/>
        <v/>
      </c>
      <c r="AC138" s="640"/>
      <c r="AD138" s="890" t="str">
        <f t="shared" si="19"/>
        <v/>
      </c>
      <c r="AE138" s="890" t="str">
        <f t="shared" si="20"/>
        <v/>
      </c>
      <c r="AF138" s="890" t="str">
        <f t="shared" si="21"/>
        <v/>
      </c>
      <c r="AG138" s="192">
        <f t="shared" si="17"/>
        <v>0</v>
      </c>
    </row>
    <row r="139" spans="1:33" x14ac:dyDescent="0.25">
      <c r="A139" s="109"/>
      <c r="B139" s="109"/>
      <c r="C139" s="109"/>
      <c r="J139" s="57"/>
      <c r="K139" s="57"/>
      <c r="L139" s="57"/>
      <c r="M139" s="57"/>
      <c r="N139" s="57"/>
      <c r="O139" s="57"/>
      <c r="AA139" s="640" t="str">
        <f t="shared" si="16"/>
        <v/>
      </c>
      <c r="AB139" s="640" t="str">
        <f t="shared" si="18"/>
        <v/>
      </c>
      <c r="AC139" s="640"/>
      <c r="AD139" s="890" t="str">
        <f t="shared" si="19"/>
        <v/>
      </c>
      <c r="AE139" s="890" t="str">
        <f t="shared" si="20"/>
        <v/>
      </c>
      <c r="AF139" s="890" t="str">
        <f t="shared" si="21"/>
        <v/>
      </c>
      <c r="AG139" s="192">
        <f t="shared" si="17"/>
        <v>0</v>
      </c>
    </row>
    <row r="140" spans="1:33" x14ac:dyDescent="0.25">
      <c r="A140" s="109"/>
      <c r="B140" s="109"/>
      <c r="C140" s="109"/>
      <c r="J140" s="57"/>
      <c r="K140" s="57"/>
      <c r="L140" s="57"/>
      <c r="M140" s="57"/>
      <c r="N140" s="57"/>
      <c r="O140" s="57"/>
      <c r="AA140" s="640" t="str">
        <f t="shared" si="16"/>
        <v/>
      </c>
      <c r="AB140" s="640" t="str">
        <f t="shared" si="18"/>
        <v/>
      </c>
      <c r="AC140" s="640"/>
      <c r="AD140" s="890" t="str">
        <f t="shared" si="19"/>
        <v/>
      </c>
      <c r="AE140" s="890" t="str">
        <f t="shared" si="20"/>
        <v/>
      </c>
      <c r="AF140" s="890" t="str">
        <f t="shared" si="21"/>
        <v/>
      </c>
      <c r="AG140" s="192">
        <f t="shared" si="17"/>
        <v>0</v>
      </c>
    </row>
    <row r="141" spans="1:33" x14ac:dyDescent="0.25">
      <c r="A141" s="109"/>
      <c r="B141" s="109"/>
      <c r="C141" s="109"/>
      <c r="J141" s="57"/>
      <c r="K141" s="57"/>
      <c r="L141" s="57"/>
      <c r="M141" s="57"/>
      <c r="N141" s="57"/>
      <c r="O141" s="57"/>
      <c r="AA141" s="640" t="str">
        <f t="shared" si="16"/>
        <v/>
      </c>
      <c r="AB141" s="640" t="str">
        <f t="shared" si="18"/>
        <v/>
      </c>
      <c r="AC141" s="640"/>
      <c r="AD141" s="890" t="str">
        <f t="shared" si="19"/>
        <v/>
      </c>
      <c r="AE141" s="890" t="str">
        <f t="shared" si="20"/>
        <v/>
      </c>
      <c r="AF141" s="890" t="str">
        <f t="shared" si="21"/>
        <v/>
      </c>
      <c r="AG141" s="192">
        <f t="shared" si="17"/>
        <v>0</v>
      </c>
    </row>
    <row r="142" spans="1:33" x14ac:dyDescent="0.25">
      <c r="A142" s="109"/>
      <c r="B142" s="109"/>
      <c r="C142" s="109"/>
      <c r="J142" s="57"/>
      <c r="K142" s="57"/>
      <c r="L142" s="57"/>
      <c r="M142" s="57"/>
      <c r="N142" s="57"/>
      <c r="O142" s="57"/>
      <c r="AA142" s="640" t="str">
        <f t="shared" si="16"/>
        <v/>
      </c>
      <c r="AB142" s="640" t="str">
        <f t="shared" si="18"/>
        <v/>
      </c>
      <c r="AC142" s="640"/>
      <c r="AD142" s="890" t="str">
        <f t="shared" si="19"/>
        <v/>
      </c>
      <c r="AE142" s="890" t="str">
        <f t="shared" si="20"/>
        <v/>
      </c>
      <c r="AF142" s="890" t="str">
        <f t="shared" si="21"/>
        <v/>
      </c>
      <c r="AG142" s="192">
        <f t="shared" si="17"/>
        <v>0</v>
      </c>
    </row>
    <row r="143" spans="1:33" x14ac:dyDescent="0.25">
      <c r="A143" s="109"/>
      <c r="B143" s="109"/>
      <c r="C143" s="109"/>
      <c r="J143" s="57"/>
      <c r="K143" s="57"/>
      <c r="L143" s="57"/>
      <c r="M143" s="57"/>
      <c r="N143" s="57"/>
      <c r="O143" s="57"/>
      <c r="AA143" s="640" t="str">
        <f t="shared" si="16"/>
        <v/>
      </c>
      <c r="AB143" s="640" t="str">
        <f t="shared" si="18"/>
        <v/>
      </c>
      <c r="AC143" s="640"/>
      <c r="AD143" s="890" t="str">
        <f t="shared" si="19"/>
        <v/>
      </c>
      <c r="AE143" s="890" t="str">
        <f t="shared" si="20"/>
        <v/>
      </c>
      <c r="AF143" s="890" t="str">
        <f t="shared" si="21"/>
        <v/>
      </c>
      <c r="AG143" s="192">
        <f t="shared" si="17"/>
        <v>0</v>
      </c>
    </row>
    <row r="144" spans="1:33" x14ac:dyDescent="0.25">
      <c r="A144" s="109"/>
      <c r="B144" s="109"/>
      <c r="C144" s="109"/>
      <c r="J144" s="57"/>
      <c r="K144" s="57"/>
      <c r="L144" s="57"/>
      <c r="M144" s="57"/>
      <c r="N144" s="57"/>
      <c r="O144" s="57"/>
      <c r="AA144" s="640" t="str">
        <f t="shared" si="16"/>
        <v/>
      </c>
      <c r="AB144" s="640" t="str">
        <f t="shared" si="18"/>
        <v/>
      </c>
      <c r="AC144" s="640"/>
      <c r="AD144" s="890" t="str">
        <f t="shared" si="19"/>
        <v/>
      </c>
      <c r="AE144" s="890" t="str">
        <f t="shared" si="20"/>
        <v/>
      </c>
      <c r="AF144" s="890" t="str">
        <f t="shared" si="21"/>
        <v/>
      </c>
      <c r="AG144" s="192">
        <f t="shared" si="17"/>
        <v>0</v>
      </c>
    </row>
    <row r="145" spans="1:33" x14ac:dyDescent="0.25">
      <c r="A145" s="109"/>
      <c r="B145" s="109"/>
      <c r="C145" s="109"/>
      <c r="J145" s="57"/>
      <c r="K145" s="57"/>
      <c r="L145" s="57"/>
      <c r="M145" s="57"/>
      <c r="N145" s="57"/>
      <c r="O145" s="57"/>
      <c r="AA145" s="640" t="str">
        <f t="shared" si="16"/>
        <v/>
      </c>
      <c r="AB145" s="640" t="str">
        <f t="shared" si="18"/>
        <v/>
      </c>
      <c r="AC145" s="640"/>
      <c r="AD145" s="890" t="str">
        <f t="shared" si="19"/>
        <v/>
      </c>
      <c r="AE145" s="890" t="str">
        <f t="shared" si="20"/>
        <v/>
      </c>
      <c r="AF145" s="890" t="str">
        <f t="shared" si="21"/>
        <v/>
      </c>
      <c r="AG145" s="192">
        <f t="shared" si="17"/>
        <v>0</v>
      </c>
    </row>
    <row r="146" spans="1:33" x14ac:dyDescent="0.25">
      <c r="A146" s="109"/>
      <c r="B146" s="109"/>
      <c r="C146" s="109"/>
      <c r="J146" s="57"/>
      <c r="K146" s="57"/>
      <c r="L146" s="57"/>
      <c r="M146" s="57"/>
      <c r="N146" s="57"/>
      <c r="O146" s="57"/>
      <c r="AA146" s="640" t="str">
        <f t="shared" si="16"/>
        <v/>
      </c>
      <c r="AB146" s="640" t="str">
        <f t="shared" si="18"/>
        <v/>
      </c>
      <c r="AC146" s="640"/>
      <c r="AD146" s="890" t="str">
        <f t="shared" si="19"/>
        <v/>
      </c>
      <c r="AE146" s="890" t="str">
        <f t="shared" si="20"/>
        <v/>
      </c>
      <c r="AF146" s="890" t="str">
        <f t="shared" si="21"/>
        <v/>
      </c>
      <c r="AG146" s="192">
        <f t="shared" si="17"/>
        <v>0</v>
      </c>
    </row>
    <row r="147" spans="1:33" x14ac:dyDescent="0.25">
      <c r="A147" s="109"/>
      <c r="B147" s="109"/>
      <c r="C147" s="109"/>
      <c r="J147" s="57"/>
      <c r="K147" s="57"/>
      <c r="L147" s="57"/>
      <c r="M147" s="57"/>
      <c r="N147" s="57"/>
      <c r="O147" s="57"/>
      <c r="AA147" s="640" t="str">
        <f t="shared" si="16"/>
        <v/>
      </c>
      <c r="AB147" s="640" t="str">
        <f t="shared" si="18"/>
        <v/>
      </c>
      <c r="AC147" s="640"/>
      <c r="AD147" s="890" t="str">
        <f t="shared" si="19"/>
        <v/>
      </c>
      <c r="AE147" s="890" t="str">
        <f t="shared" si="20"/>
        <v/>
      </c>
      <c r="AF147" s="890" t="str">
        <f t="shared" si="21"/>
        <v/>
      </c>
      <c r="AG147" s="192">
        <f t="shared" si="17"/>
        <v>0</v>
      </c>
    </row>
    <row r="148" spans="1:33" x14ac:dyDescent="0.25">
      <c r="A148" s="109"/>
      <c r="B148" s="109"/>
      <c r="C148" s="109"/>
      <c r="J148" s="57"/>
      <c r="K148" s="57"/>
      <c r="L148" s="57"/>
      <c r="M148" s="57"/>
      <c r="N148" s="57"/>
      <c r="O148" s="57"/>
      <c r="AA148" s="640" t="str">
        <f t="shared" si="16"/>
        <v/>
      </c>
      <c r="AB148" s="640" t="str">
        <f t="shared" si="18"/>
        <v/>
      </c>
      <c r="AC148" s="640"/>
      <c r="AD148" s="890" t="str">
        <f t="shared" si="19"/>
        <v/>
      </c>
      <c r="AE148" s="890" t="str">
        <f t="shared" si="20"/>
        <v/>
      </c>
      <c r="AF148" s="890" t="str">
        <f t="shared" si="21"/>
        <v/>
      </c>
      <c r="AG148" s="192">
        <f t="shared" si="17"/>
        <v>0</v>
      </c>
    </row>
    <row r="149" spans="1:33" x14ac:dyDescent="0.25">
      <c r="A149" s="109"/>
      <c r="B149" s="109"/>
      <c r="C149" s="109"/>
      <c r="J149" s="57"/>
      <c r="K149" s="57"/>
      <c r="L149" s="57"/>
      <c r="M149" s="57"/>
      <c r="N149" s="57"/>
      <c r="O149" s="57"/>
      <c r="AA149" s="640" t="str">
        <f t="shared" si="16"/>
        <v/>
      </c>
      <c r="AB149" s="640" t="str">
        <f t="shared" si="18"/>
        <v/>
      </c>
      <c r="AC149" s="640"/>
      <c r="AD149" s="890" t="str">
        <f t="shared" si="19"/>
        <v/>
      </c>
      <c r="AE149" s="890" t="str">
        <f t="shared" si="20"/>
        <v/>
      </c>
      <c r="AF149" s="890" t="str">
        <f t="shared" si="21"/>
        <v/>
      </c>
      <c r="AG149" s="192">
        <f t="shared" si="17"/>
        <v>0</v>
      </c>
    </row>
    <row r="150" spans="1:33" x14ac:dyDescent="0.25">
      <c r="A150" s="109"/>
      <c r="B150" s="109"/>
      <c r="C150" s="109"/>
      <c r="J150" s="57"/>
      <c r="K150" s="57"/>
      <c r="L150" s="57"/>
      <c r="M150" s="57"/>
      <c r="N150" s="57"/>
      <c r="O150" s="57"/>
      <c r="AA150" s="640" t="str">
        <f t="shared" si="16"/>
        <v/>
      </c>
      <c r="AB150" s="640" t="str">
        <f t="shared" si="18"/>
        <v/>
      </c>
      <c r="AC150" s="640"/>
      <c r="AD150" s="890" t="str">
        <f t="shared" si="19"/>
        <v/>
      </c>
      <c r="AE150" s="890" t="str">
        <f t="shared" si="20"/>
        <v/>
      </c>
      <c r="AF150" s="890" t="str">
        <f t="shared" si="21"/>
        <v/>
      </c>
      <c r="AG150" s="192">
        <f t="shared" si="17"/>
        <v>0</v>
      </c>
    </row>
    <row r="151" spans="1:33" x14ac:dyDescent="0.25">
      <c r="A151" s="109"/>
      <c r="B151" s="109"/>
      <c r="C151" s="109"/>
      <c r="J151" s="57"/>
      <c r="K151" s="57"/>
      <c r="L151" s="57"/>
      <c r="M151" s="57"/>
      <c r="N151" s="57"/>
      <c r="O151" s="57"/>
      <c r="AA151" s="640" t="str">
        <f t="shared" si="16"/>
        <v/>
      </c>
      <c r="AB151" s="640" t="str">
        <f t="shared" si="18"/>
        <v/>
      </c>
      <c r="AC151" s="640"/>
      <c r="AD151" s="890" t="str">
        <f t="shared" si="19"/>
        <v/>
      </c>
      <c r="AE151" s="890" t="str">
        <f t="shared" si="20"/>
        <v/>
      </c>
      <c r="AF151" s="890" t="str">
        <f t="shared" si="21"/>
        <v/>
      </c>
      <c r="AG151" s="192">
        <f t="shared" si="17"/>
        <v>0</v>
      </c>
    </row>
    <row r="152" spans="1:33" x14ac:dyDescent="0.25">
      <c r="A152" s="109"/>
      <c r="B152" s="109"/>
      <c r="C152" s="109"/>
      <c r="J152" s="57"/>
      <c r="K152" s="57"/>
      <c r="L152" s="57"/>
      <c r="M152" s="57"/>
      <c r="N152" s="57"/>
      <c r="O152" s="57"/>
      <c r="AA152" s="640" t="str">
        <f t="shared" si="16"/>
        <v/>
      </c>
      <c r="AB152" s="640" t="str">
        <f t="shared" si="18"/>
        <v/>
      </c>
      <c r="AC152" s="640"/>
      <c r="AD152" s="890" t="str">
        <f t="shared" si="19"/>
        <v/>
      </c>
      <c r="AE152" s="890" t="str">
        <f t="shared" si="20"/>
        <v/>
      </c>
      <c r="AF152" s="890" t="str">
        <f t="shared" si="21"/>
        <v/>
      </c>
      <c r="AG152" s="192">
        <f t="shared" si="17"/>
        <v>0</v>
      </c>
    </row>
    <row r="153" spans="1:33" x14ac:dyDescent="0.25">
      <c r="A153" s="109"/>
      <c r="B153" s="109"/>
      <c r="C153" s="109"/>
      <c r="J153" s="57"/>
      <c r="K153" s="57"/>
      <c r="L153" s="57"/>
      <c r="M153" s="57"/>
      <c r="N153" s="57"/>
      <c r="O153" s="57"/>
      <c r="AA153" s="640" t="str">
        <f t="shared" si="16"/>
        <v/>
      </c>
      <c r="AB153" s="640" t="str">
        <f t="shared" si="18"/>
        <v/>
      </c>
      <c r="AC153" s="640"/>
      <c r="AD153" s="890" t="str">
        <f t="shared" si="19"/>
        <v/>
      </c>
      <c r="AE153" s="890" t="str">
        <f t="shared" si="20"/>
        <v/>
      </c>
      <c r="AF153" s="890" t="str">
        <f t="shared" si="21"/>
        <v/>
      </c>
      <c r="AG153" s="192">
        <f t="shared" si="17"/>
        <v>0</v>
      </c>
    </row>
    <row r="154" spans="1:33" x14ac:dyDescent="0.25">
      <c r="A154" s="109"/>
      <c r="B154" s="109"/>
      <c r="C154" s="109"/>
      <c r="J154" s="57"/>
      <c r="K154" s="57"/>
      <c r="L154" s="57"/>
      <c r="M154" s="57"/>
      <c r="N154" s="57"/>
      <c r="O154" s="57"/>
      <c r="AA154" s="640" t="str">
        <f t="shared" si="16"/>
        <v/>
      </c>
      <c r="AB154" s="640" t="str">
        <f t="shared" si="18"/>
        <v/>
      </c>
      <c r="AC154" s="640"/>
      <c r="AD154" s="890" t="str">
        <f t="shared" si="19"/>
        <v/>
      </c>
      <c r="AE154" s="890" t="str">
        <f t="shared" si="20"/>
        <v/>
      </c>
      <c r="AF154" s="890" t="str">
        <f t="shared" si="21"/>
        <v/>
      </c>
      <c r="AG154" s="192">
        <f t="shared" si="17"/>
        <v>0</v>
      </c>
    </row>
    <row r="155" spans="1:33" x14ac:dyDescent="0.25">
      <c r="A155" s="109"/>
      <c r="B155" s="109"/>
      <c r="C155" s="109"/>
      <c r="J155" s="57"/>
      <c r="K155" s="57"/>
      <c r="L155" s="57"/>
      <c r="M155" s="57"/>
      <c r="N155" s="57"/>
      <c r="O155" s="57"/>
      <c r="AA155" s="640" t="str">
        <f t="shared" si="16"/>
        <v/>
      </c>
      <c r="AB155" s="640" t="str">
        <f t="shared" si="18"/>
        <v/>
      </c>
      <c r="AC155" s="640"/>
      <c r="AD155" s="890" t="str">
        <f t="shared" si="19"/>
        <v/>
      </c>
      <c r="AE155" s="890" t="str">
        <f t="shared" si="20"/>
        <v/>
      </c>
      <c r="AF155" s="890" t="str">
        <f t="shared" si="21"/>
        <v/>
      </c>
      <c r="AG155" s="192">
        <f t="shared" si="17"/>
        <v>0</v>
      </c>
    </row>
    <row r="156" spans="1:33" x14ac:dyDescent="0.25">
      <c r="A156" s="109"/>
      <c r="B156" s="109"/>
      <c r="C156" s="109"/>
      <c r="J156" s="57"/>
      <c r="K156" s="57"/>
      <c r="L156" s="57"/>
      <c r="M156" s="57"/>
      <c r="N156" s="57"/>
      <c r="O156" s="57"/>
      <c r="AA156" s="640" t="str">
        <f t="shared" si="16"/>
        <v/>
      </c>
      <c r="AB156" s="640" t="str">
        <f t="shared" si="18"/>
        <v/>
      </c>
      <c r="AC156" s="640"/>
      <c r="AD156" s="890" t="str">
        <f t="shared" si="19"/>
        <v/>
      </c>
      <c r="AE156" s="890" t="str">
        <f t="shared" si="20"/>
        <v/>
      </c>
      <c r="AF156" s="890" t="str">
        <f t="shared" si="21"/>
        <v/>
      </c>
      <c r="AG156" s="192">
        <f t="shared" si="17"/>
        <v>0</v>
      </c>
    </row>
    <row r="157" spans="1:33" x14ac:dyDescent="0.25">
      <c r="A157" s="109"/>
      <c r="B157" s="109"/>
      <c r="C157" s="109"/>
      <c r="J157" s="57"/>
      <c r="K157" s="57"/>
      <c r="L157" s="57"/>
      <c r="M157" s="57"/>
      <c r="N157" s="57"/>
      <c r="O157" s="57"/>
      <c r="AA157" s="640" t="str">
        <f t="shared" si="16"/>
        <v/>
      </c>
      <c r="AB157" s="640" t="str">
        <f t="shared" si="18"/>
        <v/>
      </c>
      <c r="AC157" s="640"/>
      <c r="AD157" s="890" t="str">
        <f t="shared" si="19"/>
        <v/>
      </c>
      <c r="AE157" s="890" t="str">
        <f t="shared" si="20"/>
        <v/>
      </c>
      <c r="AF157" s="890" t="str">
        <f t="shared" si="21"/>
        <v/>
      </c>
      <c r="AG157" s="192">
        <f t="shared" si="17"/>
        <v>0</v>
      </c>
    </row>
    <row r="158" spans="1:33" x14ac:dyDescent="0.25">
      <c r="A158" s="109"/>
      <c r="B158" s="109"/>
      <c r="C158" s="109"/>
      <c r="J158" s="57"/>
      <c r="K158" s="57"/>
      <c r="L158" s="57"/>
      <c r="M158" s="57"/>
      <c r="N158" s="57"/>
      <c r="O158" s="57"/>
      <c r="AA158" s="640" t="str">
        <f t="shared" si="16"/>
        <v/>
      </c>
      <c r="AB158" s="640" t="str">
        <f t="shared" si="18"/>
        <v/>
      </c>
      <c r="AC158" s="640"/>
      <c r="AD158" s="890" t="str">
        <f t="shared" si="19"/>
        <v/>
      </c>
      <c r="AE158" s="890" t="str">
        <f t="shared" si="20"/>
        <v/>
      </c>
      <c r="AF158" s="890" t="str">
        <f t="shared" si="21"/>
        <v/>
      </c>
      <c r="AG158" s="192">
        <f t="shared" si="17"/>
        <v>0</v>
      </c>
    </row>
    <row r="159" spans="1:33" x14ac:dyDescent="0.25">
      <c r="A159" s="109"/>
      <c r="B159" s="109"/>
      <c r="C159" s="109"/>
      <c r="J159" s="57"/>
      <c r="K159" s="57"/>
      <c r="L159" s="57"/>
      <c r="M159" s="57"/>
      <c r="N159" s="57"/>
      <c r="O159" s="57"/>
      <c r="AA159" s="640" t="str">
        <f t="shared" si="16"/>
        <v/>
      </c>
      <c r="AB159" s="640" t="str">
        <f t="shared" si="18"/>
        <v/>
      </c>
      <c r="AC159" s="640"/>
      <c r="AD159" s="890" t="str">
        <f t="shared" si="19"/>
        <v/>
      </c>
      <c r="AE159" s="890" t="str">
        <f t="shared" si="20"/>
        <v/>
      </c>
      <c r="AF159" s="890" t="str">
        <f t="shared" si="21"/>
        <v/>
      </c>
      <c r="AG159" s="192">
        <f t="shared" si="17"/>
        <v>0</v>
      </c>
    </row>
    <row r="160" spans="1:33" x14ac:dyDescent="0.25">
      <c r="A160" s="109"/>
      <c r="B160" s="109"/>
      <c r="C160" s="109"/>
      <c r="J160" s="57"/>
      <c r="K160" s="57"/>
      <c r="L160" s="57"/>
      <c r="M160" s="57"/>
      <c r="N160" s="57"/>
      <c r="O160" s="57"/>
      <c r="AA160" s="640" t="str">
        <f t="shared" si="16"/>
        <v/>
      </c>
      <c r="AB160" s="640" t="str">
        <f t="shared" si="18"/>
        <v/>
      </c>
      <c r="AC160" s="640"/>
      <c r="AD160" s="890" t="str">
        <f t="shared" si="19"/>
        <v/>
      </c>
      <c r="AE160" s="890" t="str">
        <f t="shared" si="20"/>
        <v/>
      </c>
      <c r="AF160" s="890" t="str">
        <f t="shared" si="21"/>
        <v/>
      </c>
      <c r="AG160" s="192">
        <f t="shared" si="17"/>
        <v>0</v>
      </c>
    </row>
    <row r="161" spans="1:33" x14ac:dyDescent="0.25">
      <c r="A161" s="109"/>
      <c r="B161" s="109"/>
      <c r="C161" s="109"/>
      <c r="J161" s="57"/>
      <c r="K161" s="57"/>
      <c r="L161" s="57"/>
      <c r="M161" s="57"/>
      <c r="N161" s="57"/>
      <c r="O161" s="57"/>
      <c r="AA161" s="640" t="str">
        <f t="shared" si="16"/>
        <v/>
      </c>
      <c r="AB161" s="640" t="str">
        <f t="shared" si="18"/>
        <v/>
      </c>
      <c r="AC161" s="640"/>
      <c r="AD161" s="890" t="str">
        <f t="shared" si="19"/>
        <v/>
      </c>
      <c r="AE161" s="890" t="str">
        <f t="shared" si="20"/>
        <v/>
      </c>
      <c r="AF161" s="890" t="str">
        <f t="shared" si="21"/>
        <v/>
      </c>
      <c r="AG161" s="192">
        <f t="shared" si="17"/>
        <v>0</v>
      </c>
    </row>
    <row r="162" spans="1:33" x14ac:dyDescent="0.25">
      <c r="A162" s="109"/>
      <c r="B162" s="109"/>
      <c r="C162" s="109"/>
      <c r="J162" s="57"/>
      <c r="K162" s="57"/>
      <c r="L162" s="57"/>
      <c r="M162" s="57"/>
      <c r="N162" s="57"/>
      <c r="O162" s="57"/>
      <c r="AA162" s="640" t="str">
        <f t="shared" si="16"/>
        <v/>
      </c>
      <c r="AB162" s="640" t="str">
        <f t="shared" si="18"/>
        <v/>
      </c>
      <c r="AC162" s="640"/>
      <c r="AD162" s="890" t="str">
        <f t="shared" si="19"/>
        <v/>
      </c>
      <c r="AE162" s="890" t="str">
        <f t="shared" si="20"/>
        <v/>
      </c>
      <c r="AF162" s="890" t="str">
        <f t="shared" si="21"/>
        <v/>
      </c>
      <c r="AG162" s="192">
        <f t="shared" si="17"/>
        <v>0</v>
      </c>
    </row>
    <row r="163" spans="1:33" x14ac:dyDescent="0.25">
      <c r="A163" s="109"/>
      <c r="B163" s="109"/>
      <c r="C163" s="109"/>
      <c r="J163" s="57"/>
      <c r="K163" s="57"/>
      <c r="L163" s="57"/>
      <c r="M163" s="57"/>
      <c r="N163" s="57"/>
      <c r="O163" s="57"/>
      <c r="AA163" s="640" t="str">
        <f t="shared" si="16"/>
        <v/>
      </c>
      <c r="AB163" s="640" t="str">
        <f t="shared" si="18"/>
        <v/>
      </c>
      <c r="AC163" s="640"/>
      <c r="AD163" s="890" t="str">
        <f t="shared" si="19"/>
        <v/>
      </c>
      <c r="AE163" s="890" t="str">
        <f t="shared" si="20"/>
        <v/>
      </c>
      <c r="AF163" s="890" t="str">
        <f t="shared" si="21"/>
        <v/>
      </c>
      <c r="AG163" s="192">
        <f t="shared" si="17"/>
        <v>0</v>
      </c>
    </row>
    <row r="164" spans="1:33" x14ac:dyDescent="0.25">
      <c r="A164" s="109"/>
      <c r="B164" s="109"/>
      <c r="C164" s="109"/>
      <c r="J164" s="57"/>
      <c r="K164" s="57"/>
      <c r="L164" s="57"/>
      <c r="M164" s="57"/>
      <c r="N164" s="57"/>
      <c r="O164" s="57"/>
      <c r="AA164" s="640" t="str">
        <f t="shared" si="16"/>
        <v/>
      </c>
      <c r="AB164" s="640" t="str">
        <f t="shared" si="18"/>
        <v/>
      </c>
      <c r="AC164" s="640"/>
      <c r="AD164" s="890" t="str">
        <f t="shared" si="19"/>
        <v/>
      </c>
      <c r="AE164" s="890" t="str">
        <f t="shared" si="20"/>
        <v/>
      </c>
      <c r="AF164" s="890" t="str">
        <f t="shared" si="21"/>
        <v/>
      </c>
      <c r="AG164" s="192">
        <f t="shared" si="17"/>
        <v>0</v>
      </c>
    </row>
    <row r="165" spans="1:33" x14ac:dyDescent="0.25">
      <c r="A165" s="109"/>
      <c r="B165" s="109"/>
      <c r="C165" s="109"/>
      <c r="J165" s="57"/>
      <c r="K165" s="57"/>
      <c r="L165" s="57"/>
      <c r="M165" s="57"/>
      <c r="N165" s="57"/>
      <c r="O165" s="57"/>
      <c r="AA165" s="640" t="str">
        <f t="shared" si="16"/>
        <v/>
      </c>
      <c r="AB165" s="640" t="str">
        <f t="shared" si="18"/>
        <v/>
      </c>
      <c r="AC165" s="640"/>
      <c r="AD165" s="890" t="str">
        <f t="shared" si="19"/>
        <v/>
      </c>
      <c r="AE165" s="890" t="str">
        <f t="shared" si="20"/>
        <v/>
      </c>
      <c r="AF165" s="890" t="str">
        <f t="shared" si="21"/>
        <v/>
      </c>
      <c r="AG165" s="192">
        <f t="shared" si="17"/>
        <v>0</v>
      </c>
    </row>
    <row r="166" spans="1:33" x14ac:dyDescent="0.25">
      <c r="A166" s="109"/>
      <c r="B166" s="109"/>
      <c r="C166" s="109"/>
      <c r="J166" s="57"/>
      <c r="K166" s="57"/>
      <c r="L166" s="57"/>
      <c r="M166" s="57"/>
      <c r="N166" s="57"/>
      <c r="O166" s="57"/>
      <c r="AA166" s="640" t="str">
        <f t="shared" si="16"/>
        <v/>
      </c>
      <c r="AB166" s="640" t="str">
        <f t="shared" si="18"/>
        <v/>
      </c>
      <c r="AC166" s="640"/>
      <c r="AD166" s="890" t="str">
        <f t="shared" si="19"/>
        <v/>
      </c>
      <c r="AE166" s="890" t="str">
        <f t="shared" si="20"/>
        <v/>
      </c>
      <c r="AF166" s="890" t="str">
        <f t="shared" si="21"/>
        <v/>
      </c>
      <c r="AG166" s="192">
        <f t="shared" si="17"/>
        <v>0</v>
      </c>
    </row>
    <row r="167" spans="1:33" x14ac:dyDescent="0.25">
      <c r="A167" s="109"/>
      <c r="B167" s="109"/>
      <c r="C167" s="109"/>
      <c r="J167" s="57"/>
      <c r="K167" s="57"/>
      <c r="L167" s="57"/>
      <c r="M167" s="57"/>
      <c r="N167" s="57"/>
      <c r="O167" s="57"/>
      <c r="AA167" s="640" t="str">
        <f t="shared" si="16"/>
        <v/>
      </c>
      <c r="AB167" s="640" t="str">
        <f t="shared" si="18"/>
        <v/>
      </c>
      <c r="AC167" s="640"/>
      <c r="AD167" s="890" t="str">
        <f t="shared" si="19"/>
        <v/>
      </c>
      <c r="AE167" s="890" t="str">
        <f t="shared" si="20"/>
        <v/>
      </c>
      <c r="AF167" s="890" t="str">
        <f t="shared" si="21"/>
        <v/>
      </c>
      <c r="AG167" s="192">
        <f t="shared" si="17"/>
        <v>0</v>
      </c>
    </row>
    <row r="168" spans="1:33" x14ac:dyDescent="0.25">
      <c r="A168" s="109"/>
      <c r="B168" s="109"/>
      <c r="C168" s="109"/>
      <c r="J168" s="57"/>
      <c r="K168" s="57"/>
      <c r="L168" s="57"/>
      <c r="M168" s="57"/>
      <c r="N168" s="57"/>
      <c r="O168" s="57"/>
      <c r="AA168" s="640" t="str">
        <f t="shared" si="16"/>
        <v/>
      </c>
      <c r="AB168" s="640" t="str">
        <f t="shared" si="18"/>
        <v/>
      </c>
      <c r="AC168" s="640"/>
      <c r="AD168" s="890" t="str">
        <f t="shared" si="19"/>
        <v/>
      </c>
      <c r="AE168" s="890" t="str">
        <f t="shared" si="20"/>
        <v/>
      </c>
      <c r="AF168" s="890" t="str">
        <f t="shared" si="21"/>
        <v/>
      </c>
      <c r="AG168" s="192">
        <f t="shared" si="17"/>
        <v>0</v>
      </c>
    </row>
    <row r="169" spans="1:33" x14ac:dyDescent="0.25">
      <c r="A169" s="109"/>
      <c r="B169" s="109"/>
      <c r="C169" s="109"/>
      <c r="J169" s="57"/>
      <c r="K169" s="57"/>
      <c r="L169" s="57"/>
      <c r="M169" s="57"/>
      <c r="N169" s="57"/>
      <c r="O169" s="57"/>
      <c r="AA169" s="640" t="str">
        <f t="shared" si="16"/>
        <v/>
      </c>
      <c r="AB169" s="640" t="str">
        <f t="shared" si="18"/>
        <v/>
      </c>
      <c r="AC169" s="640"/>
      <c r="AD169" s="890" t="str">
        <f t="shared" si="19"/>
        <v/>
      </c>
      <c r="AE169" s="890" t="str">
        <f t="shared" si="20"/>
        <v/>
      </c>
      <c r="AF169" s="890" t="str">
        <f t="shared" si="21"/>
        <v/>
      </c>
      <c r="AG169" s="192">
        <f t="shared" si="17"/>
        <v>0</v>
      </c>
    </row>
    <row r="170" spans="1:33" x14ac:dyDescent="0.25">
      <c r="A170" s="109"/>
      <c r="B170" s="109"/>
      <c r="C170" s="109"/>
      <c r="J170" s="57"/>
      <c r="K170" s="57"/>
      <c r="L170" s="57"/>
      <c r="M170" s="57"/>
      <c r="N170" s="57"/>
      <c r="O170" s="57"/>
      <c r="AA170" s="640" t="str">
        <f t="shared" si="16"/>
        <v/>
      </c>
      <c r="AB170" s="640" t="str">
        <f t="shared" si="18"/>
        <v/>
      </c>
      <c r="AC170" s="640"/>
      <c r="AD170" s="890" t="str">
        <f t="shared" si="19"/>
        <v/>
      </c>
      <c r="AE170" s="890" t="str">
        <f t="shared" si="20"/>
        <v/>
      </c>
      <c r="AF170" s="890" t="str">
        <f t="shared" si="21"/>
        <v/>
      </c>
      <c r="AG170" s="192">
        <f t="shared" si="17"/>
        <v>0</v>
      </c>
    </row>
    <row r="171" spans="1:33" x14ac:dyDescent="0.25">
      <c r="A171" s="109"/>
      <c r="B171" s="109"/>
      <c r="C171" s="109"/>
      <c r="J171" s="57"/>
      <c r="K171" s="57"/>
      <c r="L171" s="57"/>
      <c r="M171" s="57"/>
      <c r="N171" s="57"/>
      <c r="O171" s="57"/>
      <c r="AA171" s="640" t="str">
        <f t="shared" si="16"/>
        <v/>
      </c>
      <c r="AB171" s="640" t="str">
        <f t="shared" si="18"/>
        <v/>
      </c>
      <c r="AC171" s="640"/>
      <c r="AD171" s="890" t="str">
        <f t="shared" si="19"/>
        <v/>
      </c>
      <c r="AE171" s="890" t="str">
        <f t="shared" si="20"/>
        <v/>
      </c>
      <c r="AF171" s="890" t="str">
        <f t="shared" si="21"/>
        <v/>
      </c>
      <c r="AG171" s="192">
        <f t="shared" si="17"/>
        <v>0</v>
      </c>
    </row>
    <row r="172" spans="1:33" x14ac:dyDescent="0.25">
      <c r="A172" s="109"/>
      <c r="B172" s="109"/>
      <c r="C172" s="109"/>
      <c r="J172" s="57"/>
      <c r="K172" s="57"/>
      <c r="L172" s="57"/>
      <c r="M172" s="57"/>
      <c r="N172" s="57"/>
      <c r="O172" s="57"/>
      <c r="AA172" s="640" t="str">
        <f t="shared" si="16"/>
        <v/>
      </c>
      <c r="AB172" s="640" t="str">
        <f t="shared" si="18"/>
        <v/>
      </c>
      <c r="AC172" s="640"/>
      <c r="AD172" s="890" t="str">
        <f t="shared" si="19"/>
        <v/>
      </c>
      <c r="AE172" s="890" t="str">
        <f t="shared" si="20"/>
        <v/>
      </c>
      <c r="AF172" s="890" t="str">
        <f t="shared" si="21"/>
        <v/>
      </c>
      <c r="AG172" s="192">
        <f t="shared" si="17"/>
        <v>0</v>
      </c>
    </row>
    <row r="173" spans="1:33" x14ac:dyDescent="0.25">
      <c r="A173" s="109"/>
      <c r="B173" s="109"/>
      <c r="C173" s="109"/>
      <c r="J173" s="57"/>
      <c r="K173" s="57"/>
      <c r="L173" s="57"/>
      <c r="M173" s="57"/>
      <c r="N173" s="57"/>
      <c r="O173" s="57"/>
      <c r="AA173" s="640" t="str">
        <f t="shared" si="16"/>
        <v/>
      </c>
      <c r="AB173" s="640" t="str">
        <f t="shared" si="18"/>
        <v/>
      </c>
      <c r="AC173" s="640"/>
      <c r="AD173" s="890" t="str">
        <f t="shared" si="19"/>
        <v/>
      </c>
      <c r="AE173" s="890" t="str">
        <f t="shared" si="20"/>
        <v/>
      </c>
      <c r="AF173" s="890" t="str">
        <f t="shared" si="21"/>
        <v/>
      </c>
      <c r="AG173" s="192">
        <f t="shared" si="17"/>
        <v>0</v>
      </c>
    </row>
    <row r="174" spans="1:33" x14ac:dyDescent="0.25">
      <c r="A174" s="109"/>
      <c r="B174" s="109"/>
      <c r="C174" s="109"/>
      <c r="J174" s="57"/>
      <c r="K174" s="57"/>
      <c r="L174" s="57"/>
      <c r="M174" s="57"/>
      <c r="N174" s="57"/>
      <c r="O174" s="57"/>
      <c r="AA174" s="640" t="str">
        <f t="shared" si="16"/>
        <v/>
      </c>
      <c r="AB174" s="640" t="str">
        <f t="shared" si="18"/>
        <v/>
      </c>
      <c r="AC174" s="640"/>
      <c r="AD174" s="890" t="str">
        <f t="shared" si="19"/>
        <v/>
      </c>
      <c r="AE174" s="890" t="str">
        <f t="shared" si="20"/>
        <v/>
      </c>
      <c r="AF174" s="890" t="str">
        <f t="shared" si="21"/>
        <v/>
      </c>
      <c r="AG174" s="192">
        <f t="shared" si="17"/>
        <v>0</v>
      </c>
    </row>
    <row r="175" spans="1:33" x14ac:dyDescent="0.25">
      <c r="A175" s="109"/>
      <c r="B175" s="109"/>
      <c r="C175" s="109"/>
      <c r="J175" s="57"/>
      <c r="K175" s="57"/>
      <c r="L175" s="57"/>
      <c r="M175" s="57"/>
      <c r="N175" s="57"/>
      <c r="O175" s="57"/>
      <c r="AA175" s="640" t="str">
        <f t="shared" si="16"/>
        <v/>
      </c>
      <c r="AB175" s="640" t="str">
        <f t="shared" si="18"/>
        <v/>
      </c>
      <c r="AC175" s="640"/>
      <c r="AD175" s="890" t="str">
        <f t="shared" si="19"/>
        <v/>
      </c>
      <c r="AE175" s="890" t="str">
        <f t="shared" si="20"/>
        <v/>
      </c>
      <c r="AF175" s="890" t="str">
        <f t="shared" si="21"/>
        <v/>
      </c>
      <c r="AG175" s="192">
        <f t="shared" si="17"/>
        <v>0</v>
      </c>
    </row>
    <row r="176" spans="1:33" x14ac:dyDescent="0.25">
      <c r="A176" s="109"/>
      <c r="B176" s="109"/>
      <c r="C176" s="109"/>
      <c r="J176" s="57"/>
      <c r="K176" s="57"/>
      <c r="L176" s="57"/>
      <c r="M176" s="57"/>
      <c r="N176" s="57"/>
      <c r="O176" s="57"/>
      <c r="AA176" s="640" t="str">
        <f t="shared" si="16"/>
        <v/>
      </c>
      <c r="AB176" s="640" t="str">
        <f t="shared" si="18"/>
        <v/>
      </c>
      <c r="AC176" s="640"/>
      <c r="AD176" s="890" t="str">
        <f t="shared" si="19"/>
        <v/>
      </c>
      <c r="AE176" s="890" t="str">
        <f t="shared" si="20"/>
        <v/>
      </c>
      <c r="AF176" s="890" t="str">
        <f t="shared" si="21"/>
        <v/>
      </c>
      <c r="AG176" s="192">
        <f t="shared" si="17"/>
        <v>0</v>
      </c>
    </row>
    <row r="177" spans="1:33" x14ac:dyDescent="0.25">
      <c r="A177" s="109"/>
      <c r="B177" s="109"/>
      <c r="C177" s="109"/>
      <c r="J177" s="57"/>
      <c r="K177" s="57"/>
      <c r="L177" s="57"/>
      <c r="M177" s="57"/>
      <c r="N177" s="57"/>
      <c r="O177" s="57"/>
      <c r="AA177" s="640" t="str">
        <f t="shared" si="16"/>
        <v/>
      </c>
      <c r="AB177" s="640" t="str">
        <f t="shared" si="18"/>
        <v/>
      </c>
      <c r="AC177" s="640"/>
      <c r="AD177" s="890" t="str">
        <f t="shared" si="19"/>
        <v/>
      </c>
      <c r="AE177" s="890" t="str">
        <f t="shared" si="20"/>
        <v/>
      </c>
      <c r="AF177" s="890" t="str">
        <f t="shared" si="21"/>
        <v/>
      </c>
      <c r="AG177" s="192">
        <f t="shared" si="17"/>
        <v>0</v>
      </c>
    </row>
    <row r="178" spans="1:33" x14ac:dyDescent="0.25">
      <c r="A178" s="109"/>
      <c r="B178" s="109"/>
      <c r="C178" s="109"/>
      <c r="J178" s="57"/>
      <c r="K178" s="57"/>
      <c r="L178" s="57"/>
      <c r="M178" s="57"/>
      <c r="N178" s="57"/>
      <c r="O178" s="57"/>
      <c r="AA178" s="640" t="str">
        <f t="shared" si="16"/>
        <v/>
      </c>
      <c r="AB178" s="640" t="str">
        <f t="shared" si="18"/>
        <v/>
      </c>
      <c r="AC178" s="640"/>
      <c r="AD178" s="890" t="str">
        <f t="shared" si="19"/>
        <v/>
      </c>
      <c r="AE178" s="890" t="str">
        <f t="shared" si="20"/>
        <v/>
      </c>
      <c r="AF178" s="890" t="str">
        <f t="shared" si="21"/>
        <v/>
      </c>
      <c r="AG178" s="192">
        <f t="shared" si="17"/>
        <v>0</v>
      </c>
    </row>
    <row r="179" spans="1:33" x14ac:dyDescent="0.25">
      <c r="A179" s="109"/>
      <c r="B179" s="109"/>
      <c r="C179" s="109"/>
      <c r="J179" s="57"/>
      <c r="K179" s="57"/>
      <c r="L179" s="57"/>
      <c r="M179" s="57"/>
      <c r="N179" s="57"/>
      <c r="O179" s="57"/>
      <c r="AA179" s="640" t="str">
        <f t="shared" si="16"/>
        <v/>
      </c>
      <c r="AB179" s="640" t="str">
        <f t="shared" si="18"/>
        <v/>
      </c>
      <c r="AC179" s="640"/>
      <c r="AD179" s="890" t="str">
        <f t="shared" si="19"/>
        <v/>
      </c>
      <c r="AE179" s="890" t="str">
        <f t="shared" si="20"/>
        <v/>
      </c>
      <c r="AF179" s="890" t="str">
        <f t="shared" si="21"/>
        <v/>
      </c>
      <c r="AG179" s="192">
        <f t="shared" si="17"/>
        <v>0</v>
      </c>
    </row>
    <row r="180" spans="1:33" x14ac:dyDescent="0.25">
      <c r="A180" s="109"/>
      <c r="B180" s="109"/>
      <c r="C180" s="109"/>
      <c r="J180" s="57"/>
      <c r="K180" s="57"/>
      <c r="L180" s="57"/>
      <c r="M180" s="57"/>
      <c r="N180" s="57"/>
      <c r="O180" s="57"/>
      <c r="AA180" s="640" t="str">
        <f t="shared" si="16"/>
        <v/>
      </c>
      <c r="AB180" s="640" t="str">
        <f t="shared" si="18"/>
        <v/>
      </c>
      <c r="AC180" s="640"/>
      <c r="AD180" s="890" t="str">
        <f t="shared" si="19"/>
        <v/>
      </c>
      <c r="AE180" s="890" t="str">
        <f t="shared" si="20"/>
        <v/>
      </c>
      <c r="AF180" s="890" t="str">
        <f t="shared" si="21"/>
        <v/>
      </c>
      <c r="AG180" s="192">
        <f t="shared" si="17"/>
        <v>0</v>
      </c>
    </row>
    <row r="181" spans="1:33" x14ac:dyDescent="0.25">
      <c r="A181" s="109"/>
      <c r="B181" s="109"/>
      <c r="C181" s="109"/>
      <c r="J181" s="57"/>
      <c r="K181" s="57"/>
      <c r="L181" s="57"/>
      <c r="M181" s="57"/>
      <c r="N181" s="57"/>
      <c r="O181" s="57"/>
      <c r="AA181" s="640" t="str">
        <f t="shared" si="16"/>
        <v/>
      </c>
      <c r="AB181" s="640" t="str">
        <f t="shared" si="18"/>
        <v/>
      </c>
      <c r="AC181" s="640"/>
      <c r="AD181" s="890" t="str">
        <f t="shared" si="19"/>
        <v/>
      </c>
      <c r="AE181" s="890" t="str">
        <f t="shared" si="20"/>
        <v/>
      </c>
      <c r="AF181" s="890" t="str">
        <f t="shared" si="21"/>
        <v/>
      </c>
      <c r="AG181" s="192">
        <f t="shared" si="17"/>
        <v>0</v>
      </c>
    </row>
    <row r="182" spans="1:33" x14ac:dyDescent="0.25">
      <c r="A182" s="109"/>
      <c r="B182" s="109"/>
      <c r="C182" s="109"/>
      <c r="J182" s="57"/>
      <c r="K182" s="57"/>
      <c r="L182" s="57"/>
      <c r="M182" s="57"/>
      <c r="N182" s="57"/>
      <c r="O182" s="57"/>
      <c r="AA182" s="640" t="str">
        <f t="shared" si="16"/>
        <v/>
      </c>
      <c r="AB182" s="640" t="str">
        <f t="shared" si="18"/>
        <v/>
      </c>
      <c r="AC182" s="640"/>
      <c r="AD182" s="890" t="str">
        <f t="shared" si="19"/>
        <v/>
      </c>
      <c r="AE182" s="890" t="str">
        <f t="shared" si="20"/>
        <v/>
      </c>
      <c r="AF182" s="890" t="str">
        <f t="shared" si="21"/>
        <v/>
      </c>
      <c r="AG182" s="192">
        <f t="shared" si="17"/>
        <v>0</v>
      </c>
    </row>
    <row r="183" spans="1:33" x14ac:dyDescent="0.25">
      <c r="A183" s="109"/>
      <c r="B183" s="109"/>
      <c r="C183" s="109"/>
      <c r="J183" s="57"/>
      <c r="K183" s="57"/>
      <c r="L183" s="57"/>
      <c r="M183" s="57"/>
      <c r="N183" s="57"/>
      <c r="O183" s="57"/>
      <c r="AA183" s="640" t="str">
        <f t="shared" si="16"/>
        <v/>
      </c>
      <c r="AB183" s="640" t="str">
        <f t="shared" si="18"/>
        <v/>
      </c>
      <c r="AC183" s="640"/>
      <c r="AD183" s="890" t="str">
        <f t="shared" si="19"/>
        <v/>
      </c>
      <c r="AE183" s="890" t="str">
        <f t="shared" si="20"/>
        <v/>
      </c>
      <c r="AF183" s="890" t="str">
        <f t="shared" si="21"/>
        <v/>
      </c>
      <c r="AG183" s="192">
        <f t="shared" si="17"/>
        <v>0</v>
      </c>
    </row>
    <row r="184" spans="1:33" x14ac:dyDescent="0.25">
      <c r="A184" s="109"/>
      <c r="B184" s="109"/>
      <c r="C184" s="109"/>
      <c r="J184" s="57"/>
      <c r="K184" s="57"/>
      <c r="L184" s="57"/>
      <c r="M184" s="57"/>
      <c r="N184" s="57"/>
      <c r="O184" s="57"/>
      <c r="AA184" s="640" t="str">
        <f t="shared" si="16"/>
        <v/>
      </c>
      <c r="AB184" s="640" t="str">
        <f t="shared" si="18"/>
        <v/>
      </c>
      <c r="AC184" s="640"/>
      <c r="AD184" s="890" t="str">
        <f t="shared" si="19"/>
        <v/>
      </c>
      <c r="AE184" s="890" t="str">
        <f t="shared" si="20"/>
        <v/>
      </c>
      <c r="AF184" s="890" t="str">
        <f t="shared" si="21"/>
        <v/>
      </c>
      <c r="AG184" s="192">
        <f t="shared" si="17"/>
        <v>0</v>
      </c>
    </row>
    <row r="185" spans="1:33" x14ac:dyDescent="0.25">
      <c r="A185" s="109"/>
      <c r="B185" s="109"/>
      <c r="C185" s="109"/>
      <c r="J185" s="57"/>
      <c r="K185" s="57"/>
      <c r="L185" s="57"/>
      <c r="M185" s="57"/>
      <c r="N185" s="57"/>
      <c r="O185" s="57"/>
      <c r="AA185" s="640" t="str">
        <f t="shared" si="16"/>
        <v/>
      </c>
      <c r="AB185" s="640" t="str">
        <f t="shared" si="18"/>
        <v/>
      </c>
      <c r="AC185" s="640"/>
      <c r="AD185" s="890" t="str">
        <f t="shared" si="19"/>
        <v/>
      </c>
      <c r="AE185" s="890" t="str">
        <f t="shared" si="20"/>
        <v/>
      </c>
      <c r="AF185" s="890" t="str">
        <f t="shared" si="21"/>
        <v/>
      </c>
      <c r="AG185" s="192">
        <f t="shared" si="17"/>
        <v>0</v>
      </c>
    </row>
    <row r="186" spans="1:33" x14ac:dyDescent="0.25">
      <c r="A186" s="109"/>
      <c r="B186" s="109"/>
      <c r="C186" s="109"/>
      <c r="J186" s="57"/>
      <c r="K186" s="57"/>
      <c r="L186" s="57"/>
      <c r="M186" s="57"/>
      <c r="N186" s="57"/>
      <c r="O186" s="57"/>
      <c r="AA186" s="640" t="str">
        <f t="shared" si="16"/>
        <v/>
      </c>
      <c r="AB186" s="640" t="str">
        <f t="shared" si="18"/>
        <v/>
      </c>
      <c r="AC186" s="640"/>
      <c r="AD186" s="890" t="str">
        <f t="shared" si="19"/>
        <v/>
      </c>
      <c r="AE186" s="890" t="str">
        <f t="shared" si="20"/>
        <v/>
      </c>
      <c r="AF186" s="890" t="str">
        <f t="shared" si="21"/>
        <v/>
      </c>
      <c r="AG186" s="192">
        <f t="shared" si="17"/>
        <v>0</v>
      </c>
    </row>
    <row r="187" spans="1:33" x14ac:dyDescent="0.25">
      <c r="A187" s="109"/>
      <c r="B187" s="109"/>
      <c r="C187" s="109"/>
      <c r="J187" s="57"/>
      <c r="K187" s="57"/>
      <c r="L187" s="57"/>
      <c r="M187" s="57"/>
      <c r="N187" s="57"/>
      <c r="O187" s="57"/>
      <c r="AA187" s="640" t="str">
        <f t="shared" si="16"/>
        <v/>
      </c>
      <c r="AB187" s="640" t="str">
        <f t="shared" si="18"/>
        <v/>
      </c>
      <c r="AC187" s="640"/>
      <c r="AD187" s="890" t="str">
        <f t="shared" si="19"/>
        <v/>
      </c>
      <c r="AE187" s="890" t="str">
        <f t="shared" si="20"/>
        <v/>
      </c>
      <c r="AF187" s="890" t="str">
        <f t="shared" si="21"/>
        <v/>
      </c>
      <c r="AG187" s="192">
        <f t="shared" si="17"/>
        <v>0</v>
      </c>
    </row>
    <row r="188" spans="1:33" x14ac:dyDescent="0.25">
      <c r="A188" s="109"/>
      <c r="B188" s="109"/>
      <c r="C188" s="109"/>
      <c r="J188" s="57"/>
      <c r="K188" s="57"/>
      <c r="L188" s="57"/>
      <c r="M188" s="57"/>
      <c r="N188" s="57"/>
      <c r="O188" s="57"/>
      <c r="AA188" s="640" t="str">
        <f t="shared" si="16"/>
        <v/>
      </c>
      <c r="AB188" s="640" t="str">
        <f t="shared" si="18"/>
        <v/>
      </c>
      <c r="AC188" s="640"/>
      <c r="AD188" s="890" t="str">
        <f t="shared" si="19"/>
        <v/>
      </c>
      <c r="AE188" s="890" t="str">
        <f t="shared" si="20"/>
        <v/>
      </c>
      <c r="AF188" s="890" t="str">
        <f t="shared" si="21"/>
        <v/>
      </c>
      <c r="AG188" s="192">
        <f t="shared" si="17"/>
        <v>0</v>
      </c>
    </row>
    <row r="189" spans="1:33" x14ac:dyDescent="0.25">
      <c r="A189" s="109"/>
      <c r="B189" s="109"/>
      <c r="C189" s="109"/>
      <c r="J189" s="57"/>
      <c r="K189" s="57"/>
      <c r="L189" s="57"/>
      <c r="M189" s="57"/>
      <c r="N189" s="57"/>
      <c r="O189" s="57"/>
      <c r="AA189" s="640" t="str">
        <f t="shared" si="16"/>
        <v/>
      </c>
      <c r="AB189" s="640" t="str">
        <f t="shared" si="18"/>
        <v/>
      </c>
      <c r="AC189" s="640"/>
      <c r="AD189" s="890" t="str">
        <f t="shared" si="19"/>
        <v/>
      </c>
      <c r="AE189" s="890" t="str">
        <f t="shared" si="20"/>
        <v/>
      </c>
      <c r="AF189" s="890" t="str">
        <f t="shared" si="21"/>
        <v/>
      </c>
      <c r="AG189" s="192">
        <f t="shared" si="17"/>
        <v>0</v>
      </c>
    </row>
    <row r="190" spans="1:33" x14ac:dyDescent="0.25">
      <c r="A190" s="109"/>
      <c r="B190" s="109"/>
      <c r="C190" s="109"/>
      <c r="J190" s="57"/>
      <c r="K190" s="57"/>
      <c r="L190" s="57"/>
      <c r="M190" s="57"/>
      <c r="N190" s="57"/>
      <c r="O190" s="57"/>
      <c r="AA190" s="640" t="str">
        <f t="shared" si="16"/>
        <v/>
      </c>
      <c r="AB190" s="640" t="str">
        <f t="shared" si="18"/>
        <v/>
      </c>
      <c r="AC190" s="640"/>
      <c r="AD190" s="890" t="str">
        <f t="shared" si="19"/>
        <v/>
      </c>
      <c r="AE190" s="890" t="str">
        <f t="shared" si="20"/>
        <v/>
      </c>
      <c r="AF190" s="890" t="str">
        <f t="shared" si="21"/>
        <v/>
      </c>
      <c r="AG190" s="192">
        <f t="shared" si="17"/>
        <v>0</v>
      </c>
    </row>
    <row r="191" spans="1:33" x14ac:dyDescent="0.25">
      <c r="A191" s="109"/>
      <c r="B191" s="109"/>
      <c r="C191" s="109"/>
      <c r="J191" s="57"/>
      <c r="K191" s="57"/>
      <c r="L191" s="57"/>
      <c r="M191" s="57"/>
      <c r="N191" s="57"/>
      <c r="O191" s="57"/>
      <c r="AA191" s="640" t="str">
        <f t="shared" si="16"/>
        <v/>
      </c>
      <c r="AB191" s="640" t="str">
        <f t="shared" si="18"/>
        <v/>
      </c>
      <c r="AC191" s="640"/>
      <c r="AD191" s="890" t="str">
        <f t="shared" si="19"/>
        <v/>
      </c>
      <c r="AE191" s="890" t="str">
        <f t="shared" si="20"/>
        <v/>
      </c>
      <c r="AF191" s="890" t="str">
        <f t="shared" si="21"/>
        <v/>
      </c>
      <c r="AG191" s="192">
        <f t="shared" si="17"/>
        <v>0</v>
      </c>
    </row>
    <row r="192" spans="1:33" x14ac:dyDescent="0.25">
      <c r="A192" s="109"/>
      <c r="B192" s="109"/>
      <c r="C192" s="109"/>
      <c r="J192" s="57"/>
      <c r="K192" s="57"/>
      <c r="L192" s="57"/>
      <c r="M192" s="57"/>
      <c r="N192" s="57"/>
      <c r="O192" s="57"/>
      <c r="AA192" s="640" t="str">
        <f t="shared" si="16"/>
        <v/>
      </c>
      <c r="AB192" s="640" t="str">
        <f t="shared" si="18"/>
        <v/>
      </c>
      <c r="AC192" s="640"/>
      <c r="AD192" s="890" t="str">
        <f t="shared" si="19"/>
        <v/>
      </c>
      <c r="AE192" s="890" t="str">
        <f t="shared" si="20"/>
        <v/>
      </c>
      <c r="AF192" s="890" t="str">
        <f t="shared" si="21"/>
        <v/>
      </c>
      <c r="AG192" s="192">
        <f t="shared" si="17"/>
        <v>0</v>
      </c>
    </row>
    <row r="193" spans="1:33" x14ac:dyDescent="0.25">
      <c r="A193" s="109"/>
      <c r="B193" s="109"/>
      <c r="C193" s="109"/>
      <c r="J193" s="57"/>
      <c r="K193" s="57"/>
      <c r="L193" s="57"/>
      <c r="M193" s="57"/>
      <c r="N193" s="57"/>
      <c r="O193" s="57"/>
      <c r="AA193" s="640" t="str">
        <f t="shared" si="16"/>
        <v/>
      </c>
      <c r="AB193" s="640" t="str">
        <f t="shared" si="18"/>
        <v/>
      </c>
      <c r="AC193" s="640"/>
      <c r="AD193" s="890" t="str">
        <f t="shared" si="19"/>
        <v/>
      </c>
      <c r="AE193" s="890" t="str">
        <f t="shared" si="20"/>
        <v/>
      </c>
      <c r="AF193" s="890" t="str">
        <f t="shared" si="21"/>
        <v/>
      </c>
      <c r="AG193" s="192">
        <f t="shared" si="17"/>
        <v>0</v>
      </c>
    </row>
    <row r="194" spans="1:33" x14ac:dyDescent="0.25">
      <c r="A194" s="109"/>
      <c r="B194" s="109"/>
      <c r="C194" s="109"/>
      <c r="J194" s="57"/>
      <c r="K194" s="57"/>
      <c r="L194" s="57"/>
      <c r="M194" s="57"/>
      <c r="N194" s="57"/>
      <c r="O194" s="57"/>
      <c r="AA194" s="640" t="str">
        <f t="shared" si="16"/>
        <v/>
      </c>
      <c r="AB194" s="640" t="str">
        <f t="shared" si="18"/>
        <v/>
      </c>
      <c r="AC194" s="640"/>
      <c r="AD194" s="890" t="str">
        <f t="shared" si="19"/>
        <v/>
      </c>
      <c r="AE194" s="890" t="str">
        <f t="shared" si="20"/>
        <v/>
      </c>
      <c r="AF194" s="890" t="str">
        <f t="shared" si="21"/>
        <v/>
      </c>
      <c r="AG194" s="192">
        <f t="shared" si="17"/>
        <v>0</v>
      </c>
    </row>
    <row r="195" spans="1:33" x14ac:dyDescent="0.25">
      <c r="A195" s="109"/>
      <c r="B195" s="109"/>
      <c r="C195" s="109"/>
      <c r="J195" s="57"/>
      <c r="K195" s="57"/>
      <c r="L195" s="57"/>
      <c r="M195" s="57"/>
      <c r="N195" s="57"/>
      <c r="O195" s="57"/>
      <c r="AA195" s="640" t="str">
        <f t="shared" si="16"/>
        <v/>
      </c>
      <c r="AB195" s="640" t="str">
        <f t="shared" si="18"/>
        <v/>
      </c>
      <c r="AC195" s="640"/>
      <c r="AD195" s="890" t="str">
        <f t="shared" si="19"/>
        <v/>
      </c>
      <c r="AE195" s="890" t="str">
        <f t="shared" si="20"/>
        <v/>
      </c>
      <c r="AF195" s="890" t="str">
        <f t="shared" si="21"/>
        <v/>
      </c>
      <c r="AG195" s="192">
        <f t="shared" si="17"/>
        <v>0</v>
      </c>
    </row>
    <row r="196" spans="1:33" x14ac:dyDescent="0.25">
      <c r="A196" s="109"/>
      <c r="B196" s="109"/>
      <c r="C196" s="109"/>
      <c r="J196" s="57"/>
      <c r="K196" s="57"/>
      <c r="L196" s="57"/>
      <c r="M196" s="57"/>
      <c r="N196" s="57"/>
      <c r="O196" s="57"/>
      <c r="AA196" s="640" t="str">
        <f t="shared" si="16"/>
        <v/>
      </c>
      <c r="AB196" s="640" t="str">
        <f t="shared" si="18"/>
        <v/>
      </c>
      <c r="AC196" s="640"/>
      <c r="AD196" s="890" t="str">
        <f t="shared" si="19"/>
        <v/>
      </c>
      <c r="AE196" s="890" t="str">
        <f t="shared" si="20"/>
        <v/>
      </c>
      <c r="AF196" s="890" t="str">
        <f t="shared" si="21"/>
        <v/>
      </c>
      <c r="AG196" s="192">
        <f t="shared" si="17"/>
        <v>0</v>
      </c>
    </row>
    <row r="197" spans="1:33" x14ac:dyDescent="0.25">
      <c r="A197" s="109"/>
      <c r="B197" s="109"/>
      <c r="C197" s="109"/>
      <c r="J197" s="57"/>
      <c r="K197" s="57"/>
      <c r="L197" s="57"/>
      <c r="M197" s="57"/>
      <c r="N197" s="57"/>
      <c r="O197" s="57"/>
      <c r="AA197" s="640" t="str">
        <f t="shared" si="16"/>
        <v/>
      </c>
      <c r="AB197" s="640" t="str">
        <f t="shared" si="18"/>
        <v/>
      </c>
      <c r="AC197" s="640"/>
      <c r="AD197" s="890" t="str">
        <f t="shared" si="19"/>
        <v/>
      </c>
      <c r="AE197" s="890" t="str">
        <f t="shared" si="20"/>
        <v/>
      </c>
      <c r="AF197" s="890" t="str">
        <f t="shared" si="21"/>
        <v/>
      </c>
      <c r="AG197" s="192">
        <f t="shared" si="17"/>
        <v>0</v>
      </c>
    </row>
    <row r="198" spans="1:33" x14ac:dyDescent="0.25">
      <c r="A198" s="109"/>
      <c r="B198" s="109"/>
      <c r="C198" s="109"/>
      <c r="J198" s="57"/>
      <c r="K198" s="57"/>
      <c r="L198" s="57"/>
      <c r="M198" s="57"/>
      <c r="N198" s="57"/>
      <c r="O198" s="57"/>
      <c r="AA198" s="640" t="str">
        <f t="shared" si="16"/>
        <v/>
      </c>
      <c r="AB198" s="640" t="str">
        <f t="shared" si="18"/>
        <v/>
      </c>
      <c r="AC198" s="640"/>
      <c r="AD198" s="890" t="str">
        <f t="shared" si="19"/>
        <v/>
      </c>
      <c r="AE198" s="890" t="str">
        <f t="shared" si="20"/>
        <v/>
      </c>
      <c r="AF198" s="890" t="str">
        <f t="shared" si="21"/>
        <v/>
      </c>
      <c r="AG198" s="192">
        <f t="shared" si="17"/>
        <v>0</v>
      </c>
    </row>
    <row r="199" spans="1:33" x14ac:dyDescent="0.25">
      <c r="A199" s="109"/>
      <c r="B199" s="109"/>
      <c r="C199" s="109"/>
      <c r="J199" s="57"/>
      <c r="K199" s="57"/>
      <c r="L199" s="57"/>
      <c r="M199" s="57"/>
      <c r="N199" s="57"/>
      <c r="O199" s="57"/>
      <c r="AA199" s="640" t="str">
        <f t="shared" ref="AA199:AA262" si="22">IF(G199=0, IF(OR(H199&gt;0,F199&gt;0),C199*F199,""),"")</f>
        <v/>
      </c>
      <c r="AB199" s="640" t="str">
        <f t="shared" si="18"/>
        <v/>
      </c>
      <c r="AC199" s="640"/>
      <c r="AD199" s="890" t="str">
        <f t="shared" si="19"/>
        <v/>
      </c>
      <c r="AE199" s="890" t="str">
        <f t="shared" si="20"/>
        <v/>
      </c>
      <c r="AF199" s="890" t="str">
        <f t="shared" si="21"/>
        <v/>
      </c>
      <c r="AG199" s="192">
        <f t="shared" ref="AG199:AG262" si="23">(C199*G199)+(C199*H199)+(C199*I199)</f>
        <v>0</v>
      </c>
    </row>
    <row r="200" spans="1:33" x14ac:dyDescent="0.25">
      <c r="A200" s="109"/>
      <c r="B200" s="109"/>
      <c r="C200" s="109"/>
      <c r="J200" s="57"/>
      <c r="K200" s="57"/>
      <c r="L200" s="57"/>
      <c r="M200" s="57"/>
      <c r="N200" s="57"/>
      <c r="O200" s="57"/>
      <c r="AA200" s="640" t="str">
        <f t="shared" si="22"/>
        <v/>
      </c>
      <c r="AB200" s="640" t="str">
        <f t="shared" ref="AB200:AB263" si="24">IF(G200&gt;=1,IF(F200&gt;1,C200*(F200-2),""),"")</f>
        <v/>
      </c>
      <c r="AC200" s="640"/>
      <c r="AD200" s="890" t="str">
        <f t="shared" ref="AD200:AD263" si="25">IF(E200="YES",IF(G200=1,"",""),IF(G200=1,C200,IF(G200=2,C200,IF(G200=0,"",""))))</f>
        <v/>
      </c>
      <c r="AE200" s="890" t="str">
        <f t="shared" ref="AE200:AE263" si="26">IF(E200="YES",IF(G200=1,"",IF(H200=1,C200,"")),IF(H200=1,C200,IF(H200=2,C200,IF(H200=0,"",""))))</f>
        <v/>
      </c>
      <c r="AF200" s="890" t="str">
        <f t="shared" ref="AF200:AF263" si="27">IF(E200="YES",IF(I200=1,C200,""),IF(I200=1,C200,IF(I200=2,C200,IF(I200=0,"",""))))</f>
        <v/>
      </c>
      <c r="AG200" s="192">
        <f t="shared" si="23"/>
        <v>0</v>
      </c>
    </row>
    <row r="201" spans="1:33" x14ac:dyDescent="0.25">
      <c r="A201" s="109"/>
      <c r="B201" s="109"/>
      <c r="C201" s="109"/>
      <c r="J201" s="57"/>
      <c r="K201" s="57"/>
      <c r="L201" s="57"/>
      <c r="M201" s="57"/>
      <c r="N201" s="57"/>
      <c r="O201" s="57"/>
      <c r="AA201" s="640" t="str">
        <f t="shared" si="22"/>
        <v/>
      </c>
      <c r="AB201" s="640" t="str">
        <f t="shared" si="24"/>
        <v/>
      </c>
      <c r="AC201" s="640"/>
      <c r="AD201" s="890" t="str">
        <f t="shared" si="25"/>
        <v/>
      </c>
      <c r="AE201" s="890" t="str">
        <f t="shared" si="26"/>
        <v/>
      </c>
      <c r="AF201" s="890" t="str">
        <f t="shared" si="27"/>
        <v/>
      </c>
      <c r="AG201" s="192">
        <f t="shared" si="23"/>
        <v>0</v>
      </c>
    </row>
    <row r="202" spans="1:33" x14ac:dyDescent="0.25">
      <c r="A202" s="109"/>
      <c r="B202" s="109"/>
      <c r="C202" s="109"/>
      <c r="J202" s="57"/>
      <c r="K202" s="57"/>
      <c r="L202" s="57"/>
      <c r="M202" s="57"/>
      <c r="N202" s="57"/>
      <c r="O202" s="57"/>
      <c r="AA202" s="640" t="str">
        <f t="shared" si="22"/>
        <v/>
      </c>
      <c r="AB202" s="640" t="str">
        <f t="shared" si="24"/>
        <v/>
      </c>
      <c r="AC202" s="640"/>
      <c r="AD202" s="890" t="str">
        <f t="shared" si="25"/>
        <v/>
      </c>
      <c r="AE202" s="890" t="str">
        <f t="shared" si="26"/>
        <v/>
      </c>
      <c r="AF202" s="890" t="str">
        <f t="shared" si="27"/>
        <v/>
      </c>
      <c r="AG202" s="192">
        <f t="shared" si="23"/>
        <v>0</v>
      </c>
    </row>
    <row r="203" spans="1:33" x14ac:dyDescent="0.25">
      <c r="A203" s="109"/>
      <c r="B203" s="109"/>
      <c r="C203" s="109"/>
      <c r="J203" s="57"/>
      <c r="K203" s="57"/>
      <c r="L203" s="57"/>
      <c r="M203" s="57"/>
      <c r="N203" s="57"/>
      <c r="O203" s="57"/>
      <c r="AA203" s="640" t="str">
        <f t="shared" si="22"/>
        <v/>
      </c>
      <c r="AB203" s="640" t="str">
        <f t="shared" si="24"/>
        <v/>
      </c>
      <c r="AC203" s="640"/>
      <c r="AD203" s="890" t="str">
        <f t="shared" si="25"/>
        <v/>
      </c>
      <c r="AE203" s="890" t="str">
        <f t="shared" si="26"/>
        <v/>
      </c>
      <c r="AF203" s="890" t="str">
        <f t="shared" si="27"/>
        <v/>
      </c>
      <c r="AG203" s="192">
        <f t="shared" si="23"/>
        <v>0</v>
      </c>
    </row>
    <row r="204" spans="1:33" x14ac:dyDescent="0.25">
      <c r="A204" s="109"/>
      <c r="B204" s="109"/>
      <c r="C204" s="109"/>
      <c r="J204" s="57"/>
      <c r="K204" s="57"/>
      <c r="L204" s="57"/>
      <c r="M204" s="57"/>
      <c r="N204" s="57"/>
      <c r="O204" s="57"/>
      <c r="AA204" s="640" t="str">
        <f t="shared" si="22"/>
        <v/>
      </c>
      <c r="AB204" s="640" t="str">
        <f t="shared" si="24"/>
        <v/>
      </c>
      <c r="AC204" s="640"/>
      <c r="AD204" s="890" t="str">
        <f t="shared" si="25"/>
        <v/>
      </c>
      <c r="AE204" s="890" t="str">
        <f t="shared" si="26"/>
        <v/>
      </c>
      <c r="AF204" s="890" t="str">
        <f t="shared" si="27"/>
        <v/>
      </c>
      <c r="AG204" s="192">
        <f t="shared" si="23"/>
        <v>0</v>
      </c>
    </row>
    <row r="205" spans="1:33" x14ac:dyDescent="0.25">
      <c r="A205" s="109"/>
      <c r="B205" s="109"/>
      <c r="C205" s="109"/>
      <c r="J205" s="57"/>
      <c r="K205" s="57"/>
      <c r="L205" s="57"/>
      <c r="M205" s="57"/>
      <c r="N205" s="57"/>
      <c r="O205" s="57"/>
      <c r="AA205" s="640" t="str">
        <f t="shared" si="22"/>
        <v/>
      </c>
      <c r="AB205" s="640" t="str">
        <f t="shared" si="24"/>
        <v/>
      </c>
      <c r="AC205" s="640"/>
      <c r="AD205" s="890" t="str">
        <f t="shared" si="25"/>
        <v/>
      </c>
      <c r="AE205" s="890" t="str">
        <f t="shared" si="26"/>
        <v/>
      </c>
      <c r="AF205" s="890" t="str">
        <f t="shared" si="27"/>
        <v/>
      </c>
      <c r="AG205" s="192">
        <f t="shared" si="23"/>
        <v>0</v>
      </c>
    </row>
    <row r="206" spans="1:33" x14ac:dyDescent="0.25">
      <c r="A206" s="109"/>
      <c r="B206" s="109"/>
      <c r="C206" s="109"/>
      <c r="J206" s="57"/>
      <c r="K206" s="57"/>
      <c r="L206" s="57"/>
      <c r="M206" s="57"/>
      <c r="N206" s="57"/>
      <c r="O206" s="57"/>
      <c r="AA206" s="640" t="str">
        <f t="shared" si="22"/>
        <v/>
      </c>
      <c r="AB206" s="640" t="str">
        <f t="shared" si="24"/>
        <v/>
      </c>
      <c r="AC206" s="640"/>
      <c r="AD206" s="890" t="str">
        <f t="shared" si="25"/>
        <v/>
      </c>
      <c r="AE206" s="890" t="str">
        <f t="shared" si="26"/>
        <v/>
      </c>
      <c r="AF206" s="890" t="str">
        <f t="shared" si="27"/>
        <v/>
      </c>
      <c r="AG206" s="192">
        <f t="shared" si="23"/>
        <v>0</v>
      </c>
    </row>
    <row r="207" spans="1:33" x14ac:dyDescent="0.25">
      <c r="A207" s="109"/>
      <c r="B207" s="109"/>
      <c r="C207" s="109"/>
      <c r="J207" s="57"/>
      <c r="K207" s="57"/>
      <c r="L207" s="57"/>
      <c r="M207" s="57"/>
      <c r="N207" s="57"/>
      <c r="O207" s="57"/>
      <c r="AA207" s="640" t="str">
        <f t="shared" si="22"/>
        <v/>
      </c>
      <c r="AB207" s="640" t="str">
        <f t="shared" si="24"/>
        <v/>
      </c>
      <c r="AC207" s="640"/>
      <c r="AD207" s="890" t="str">
        <f t="shared" si="25"/>
        <v/>
      </c>
      <c r="AE207" s="890" t="str">
        <f t="shared" si="26"/>
        <v/>
      </c>
      <c r="AF207" s="890" t="str">
        <f t="shared" si="27"/>
        <v/>
      </c>
      <c r="AG207" s="192">
        <f t="shared" si="23"/>
        <v>0</v>
      </c>
    </row>
    <row r="208" spans="1:33" x14ac:dyDescent="0.25">
      <c r="A208" s="109"/>
      <c r="B208" s="109"/>
      <c r="C208" s="109"/>
      <c r="J208" s="57"/>
      <c r="K208" s="57"/>
      <c r="L208" s="57"/>
      <c r="M208" s="57"/>
      <c r="N208" s="57"/>
      <c r="O208" s="57"/>
      <c r="AA208" s="640" t="str">
        <f t="shared" si="22"/>
        <v/>
      </c>
      <c r="AB208" s="640" t="str">
        <f t="shared" si="24"/>
        <v/>
      </c>
      <c r="AC208" s="640"/>
      <c r="AD208" s="890" t="str">
        <f t="shared" si="25"/>
        <v/>
      </c>
      <c r="AE208" s="890" t="str">
        <f t="shared" si="26"/>
        <v/>
      </c>
      <c r="AF208" s="890" t="str">
        <f t="shared" si="27"/>
        <v/>
      </c>
      <c r="AG208" s="192">
        <f t="shared" si="23"/>
        <v>0</v>
      </c>
    </row>
    <row r="209" spans="1:33" x14ac:dyDescent="0.25">
      <c r="A209" s="109"/>
      <c r="B209" s="109"/>
      <c r="C209" s="109"/>
      <c r="J209" s="57"/>
      <c r="K209" s="57"/>
      <c r="L209" s="57"/>
      <c r="M209" s="57"/>
      <c r="N209" s="57"/>
      <c r="O209" s="57"/>
      <c r="AA209" s="640" t="str">
        <f t="shared" si="22"/>
        <v/>
      </c>
      <c r="AB209" s="640" t="str">
        <f t="shared" si="24"/>
        <v/>
      </c>
      <c r="AC209" s="640"/>
      <c r="AD209" s="890" t="str">
        <f t="shared" si="25"/>
        <v/>
      </c>
      <c r="AE209" s="890" t="str">
        <f t="shared" si="26"/>
        <v/>
      </c>
      <c r="AF209" s="890" t="str">
        <f t="shared" si="27"/>
        <v/>
      </c>
      <c r="AG209" s="192">
        <f t="shared" si="23"/>
        <v>0</v>
      </c>
    </row>
    <row r="210" spans="1:33" x14ac:dyDescent="0.25">
      <c r="A210" s="109"/>
      <c r="B210" s="109"/>
      <c r="C210" s="109"/>
      <c r="J210" s="57"/>
      <c r="K210" s="57"/>
      <c r="L210" s="57"/>
      <c r="M210" s="57"/>
      <c r="N210" s="57"/>
      <c r="O210" s="57"/>
      <c r="AA210" s="640" t="str">
        <f t="shared" si="22"/>
        <v/>
      </c>
      <c r="AB210" s="640" t="str">
        <f t="shared" si="24"/>
        <v/>
      </c>
      <c r="AC210" s="640"/>
      <c r="AD210" s="890" t="str">
        <f t="shared" si="25"/>
        <v/>
      </c>
      <c r="AE210" s="890" t="str">
        <f t="shared" si="26"/>
        <v/>
      </c>
      <c r="AF210" s="890" t="str">
        <f t="shared" si="27"/>
        <v/>
      </c>
      <c r="AG210" s="192">
        <f t="shared" si="23"/>
        <v>0</v>
      </c>
    </row>
    <row r="211" spans="1:33" x14ac:dyDescent="0.25">
      <c r="A211" s="109"/>
      <c r="B211" s="109"/>
      <c r="C211" s="109"/>
      <c r="J211" s="57"/>
      <c r="K211" s="57"/>
      <c r="L211" s="57"/>
      <c r="M211" s="57"/>
      <c r="N211" s="57"/>
      <c r="O211" s="57"/>
      <c r="AA211" s="640" t="str">
        <f t="shared" si="22"/>
        <v/>
      </c>
      <c r="AB211" s="640" t="str">
        <f t="shared" si="24"/>
        <v/>
      </c>
      <c r="AC211" s="640"/>
      <c r="AD211" s="890" t="str">
        <f t="shared" si="25"/>
        <v/>
      </c>
      <c r="AE211" s="890" t="str">
        <f t="shared" si="26"/>
        <v/>
      </c>
      <c r="AF211" s="890" t="str">
        <f t="shared" si="27"/>
        <v/>
      </c>
      <c r="AG211" s="192">
        <f t="shared" si="23"/>
        <v>0</v>
      </c>
    </row>
    <row r="212" spans="1:33" x14ac:dyDescent="0.25">
      <c r="A212" s="109"/>
      <c r="B212" s="109"/>
      <c r="C212" s="109"/>
      <c r="J212" s="57"/>
      <c r="K212" s="57"/>
      <c r="L212" s="57"/>
      <c r="M212" s="57"/>
      <c r="N212" s="57"/>
      <c r="O212" s="57"/>
      <c r="AA212" s="640" t="str">
        <f t="shared" si="22"/>
        <v/>
      </c>
      <c r="AB212" s="640" t="str">
        <f t="shared" si="24"/>
        <v/>
      </c>
      <c r="AC212" s="640"/>
      <c r="AD212" s="890" t="str">
        <f t="shared" si="25"/>
        <v/>
      </c>
      <c r="AE212" s="890" t="str">
        <f t="shared" si="26"/>
        <v/>
      </c>
      <c r="AF212" s="890" t="str">
        <f t="shared" si="27"/>
        <v/>
      </c>
      <c r="AG212" s="192">
        <f t="shared" si="23"/>
        <v>0</v>
      </c>
    </row>
    <row r="213" spans="1:33" x14ac:dyDescent="0.25">
      <c r="A213" s="109"/>
      <c r="B213" s="109"/>
      <c r="C213" s="109"/>
      <c r="J213" s="57"/>
      <c r="K213" s="57"/>
      <c r="L213" s="57"/>
      <c r="M213" s="57"/>
      <c r="N213" s="57"/>
      <c r="O213" s="57"/>
      <c r="AA213" s="640" t="str">
        <f t="shared" si="22"/>
        <v/>
      </c>
      <c r="AB213" s="640" t="str">
        <f t="shared" si="24"/>
        <v/>
      </c>
      <c r="AC213" s="640"/>
      <c r="AD213" s="890" t="str">
        <f t="shared" si="25"/>
        <v/>
      </c>
      <c r="AE213" s="890" t="str">
        <f t="shared" si="26"/>
        <v/>
      </c>
      <c r="AF213" s="890" t="str">
        <f t="shared" si="27"/>
        <v/>
      </c>
      <c r="AG213" s="192">
        <f t="shared" si="23"/>
        <v>0</v>
      </c>
    </row>
    <row r="214" spans="1:33" x14ac:dyDescent="0.25">
      <c r="A214" s="109"/>
      <c r="B214" s="109"/>
      <c r="C214" s="109"/>
      <c r="J214" s="57"/>
      <c r="K214" s="57"/>
      <c r="L214" s="57"/>
      <c r="M214" s="57"/>
      <c r="N214" s="57"/>
      <c r="O214" s="57"/>
      <c r="AA214" s="640" t="str">
        <f t="shared" si="22"/>
        <v/>
      </c>
      <c r="AB214" s="640" t="str">
        <f t="shared" si="24"/>
        <v/>
      </c>
      <c r="AC214" s="640"/>
      <c r="AD214" s="890" t="str">
        <f t="shared" si="25"/>
        <v/>
      </c>
      <c r="AE214" s="890" t="str">
        <f t="shared" si="26"/>
        <v/>
      </c>
      <c r="AF214" s="890" t="str">
        <f t="shared" si="27"/>
        <v/>
      </c>
      <c r="AG214" s="192">
        <f t="shared" si="23"/>
        <v>0</v>
      </c>
    </row>
    <row r="215" spans="1:33" x14ac:dyDescent="0.25">
      <c r="A215" s="109"/>
      <c r="B215" s="109"/>
      <c r="C215" s="109"/>
      <c r="J215" s="57"/>
      <c r="K215" s="57"/>
      <c r="L215" s="57"/>
      <c r="M215" s="57"/>
      <c r="N215" s="57"/>
      <c r="O215" s="57"/>
      <c r="AA215" s="640" t="str">
        <f t="shared" si="22"/>
        <v/>
      </c>
      <c r="AB215" s="640" t="str">
        <f t="shared" si="24"/>
        <v/>
      </c>
      <c r="AC215" s="640"/>
      <c r="AD215" s="890" t="str">
        <f t="shared" si="25"/>
        <v/>
      </c>
      <c r="AE215" s="890" t="str">
        <f t="shared" si="26"/>
        <v/>
      </c>
      <c r="AF215" s="890" t="str">
        <f t="shared" si="27"/>
        <v/>
      </c>
      <c r="AG215" s="192">
        <f t="shared" si="23"/>
        <v>0</v>
      </c>
    </row>
    <row r="216" spans="1:33" x14ac:dyDescent="0.25">
      <c r="A216" s="109"/>
      <c r="B216" s="109"/>
      <c r="C216" s="109"/>
      <c r="J216" s="57"/>
      <c r="K216" s="57"/>
      <c r="L216" s="57"/>
      <c r="M216" s="57"/>
      <c r="N216" s="57"/>
      <c r="O216" s="57"/>
      <c r="AA216" s="640" t="str">
        <f t="shared" si="22"/>
        <v/>
      </c>
      <c r="AB216" s="640" t="str">
        <f t="shared" si="24"/>
        <v/>
      </c>
      <c r="AC216" s="640"/>
      <c r="AD216" s="890" t="str">
        <f t="shared" si="25"/>
        <v/>
      </c>
      <c r="AE216" s="890" t="str">
        <f t="shared" si="26"/>
        <v/>
      </c>
      <c r="AF216" s="890" t="str">
        <f t="shared" si="27"/>
        <v/>
      </c>
      <c r="AG216" s="192">
        <f t="shared" si="23"/>
        <v>0</v>
      </c>
    </row>
    <row r="217" spans="1:33" x14ac:dyDescent="0.25">
      <c r="A217" s="109"/>
      <c r="B217" s="109"/>
      <c r="C217" s="109"/>
      <c r="J217" s="57"/>
      <c r="K217" s="57"/>
      <c r="L217" s="57"/>
      <c r="M217" s="57"/>
      <c r="N217" s="57"/>
      <c r="O217" s="57"/>
      <c r="AA217" s="640" t="str">
        <f t="shared" si="22"/>
        <v/>
      </c>
      <c r="AB217" s="640" t="str">
        <f t="shared" si="24"/>
        <v/>
      </c>
      <c r="AC217" s="640"/>
      <c r="AD217" s="890" t="str">
        <f t="shared" si="25"/>
        <v/>
      </c>
      <c r="AE217" s="890" t="str">
        <f t="shared" si="26"/>
        <v/>
      </c>
      <c r="AF217" s="890" t="str">
        <f t="shared" si="27"/>
        <v/>
      </c>
      <c r="AG217" s="192">
        <f t="shared" si="23"/>
        <v>0</v>
      </c>
    </row>
    <row r="218" spans="1:33" x14ac:dyDescent="0.25">
      <c r="A218" s="109"/>
      <c r="B218" s="109"/>
      <c r="C218" s="109"/>
      <c r="J218" s="57"/>
      <c r="K218" s="57"/>
      <c r="L218" s="57"/>
      <c r="M218" s="57"/>
      <c r="N218" s="57"/>
      <c r="O218" s="57"/>
      <c r="AA218" s="640" t="str">
        <f t="shared" si="22"/>
        <v/>
      </c>
      <c r="AB218" s="640" t="str">
        <f t="shared" si="24"/>
        <v/>
      </c>
      <c r="AC218" s="640"/>
      <c r="AD218" s="890" t="str">
        <f t="shared" si="25"/>
        <v/>
      </c>
      <c r="AE218" s="890" t="str">
        <f t="shared" si="26"/>
        <v/>
      </c>
      <c r="AF218" s="890" t="str">
        <f t="shared" si="27"/>
        <v/>
      </c>
      <c r="AG218" s="192">
        <f t="shared" si="23"/>
        <v>0</v>
      </c>
    </row>
    <row r="219" spans="1:33" x14ac:dyDescent="0.25">
      <c r="A219" s="109"/>
      <c r="B219" s="109"/>
      <c r="C219" s="109"/>
      <c r="J219" s="57"/>
      <c r="K219" s="57"/>
      <c r="L219" s="57"/>
      <c r="M219" s="57"/>
      <c r="N219" s="57"/>
      <c r="O219" s="57"/>
      <c r="AA219" s="640" t="str">
        <f t="shared" si="22"/>
        <v/>
      </c>
      <c r="AB219" s="640" t="str">
        <f t="shared" si="24"/>
        <v/>
      </c>
      <c r="AC219" s="640"/>
      <c r="AD219" s="890" t="str">
        <f t="shared" si="25"/>
        <v/>
      </c>
      <c r="AE219" s="890" t="str">
        <f t="shared" si="26"/>
        <v/>
      </c>
      <c r="AF219" s="890" t="str">
        <f t="shared" si="27"/>
        <v/>
      </c>
      <c r="AG219" s="192">
        <f t="shared" si="23"/>
        <v>0</v>
      </c>
    </row>
    <row r="220" spans="1:33" x14ac:dyDescent="0.25">
      <c r="A220" s="109"/>
      <c r="B220" s="109"/>
      <c r="C220" s="109"/>
      <c r="J220" s="57"/>
      <c r="K220" s="57"/>
      <c r="L220" s="57"/>
      <c r="M220" s="57"/>
      <c r="N220" s="57"/>
      <c r="O220" s="57"/>
      <c r="AA220" s="640" t="str">
        <f t="shared" si="22"/>
        <v/>
      </c>
      <c r="AB220" s="640" t="str">
        <f t="shared" si="24"/>
        <v/>
      </c>
      <c r="AC220" s="640"/>
      <c r="AD220" s="890" t="str">
        <f t="shared" si="25"/>
        <v/>
      </c>
      <c r="AE220" s="890" t="str">
        <f t="shared" si="26"/>
        <v/>
      </c>
      <c r="AF220" s="890" t="str">
        <f t="shared" si="27"/>
        <v/>
      </c>
      <c r="AG220" s="192">
        <f t="shared" si="23"/>
        <v>0</v>
      </c>
    </row>
    <row r="221" spans="1:33" x14ac:dyDescent="0.25">
      <c r="A221" s="109"/>
      <c r="B221" s="109"/>
      <c r="C221" s="109"/>
      <c r="J221" s="57"/>
      <c r="K221" s="57"/>
      <c r="L221" s="57"/>
      <c r="M221" s="57"/>
      <c r="N221" s="57"/>
      <c r="O221" s="57"/>
      <c r="AA221" s="640" t="str">
        <f t="shared" si="22"/>
        <v/>
      </c>
      <c r="AB221" s="640" t="str">
        <f t="shared" si="24"/>
        <v/>
      </c>
      <c r="AC221" s="640"/>
      <c r="AD221" s="890" t="str">
        <f t="shared" si="25"/>
        <v/>
      </c>
      <c r="AE221" s="890" t="str">
        <f t="shared" si="26"/>
        <v/>
      </c>
      <c r="AF221" s="890" t="str">
        <f t="shared" si="27"/>
        <v/>
      </c>
      <c r="AG221" s="192">
        <f t="shared" si="23"/>
        <v>0</v>
      </c>
    </row>
    <row r="222" spans="1:33" x14ac:dyDescent="0.25">
      <c r="A222" s="109"/>
      <c r="B222" s="109"/>
      <c r="C222" s="109"/>
      <c r="J222" s="57"/>
      <c r="K222" s="57"/>
      <c r="L222" s="57"/>
      <c r="M222" s="57"/>
      <c r="N222" s="57"/>
      <c r="O222" s="57"/>
      <c r="AA222" s="640" t="str">
        <f t="shared" si="22"/>
        <v/>
      </c>
      <c r="AB222" s="640" t="str">
        <f t="shared" si="24"/>
        <v/>
      </c>
      <c r="AC222" s="640"/>
      <c r="AD222" s="890" t="str">
        <f t="shared" si="25"/>
        <v/>
      </c>
      <c r="AE222" s="890" t="str">
        <f t="shared" si="26"/>
        <v/>
      </c>
      <c r="AF222" s="890" t="str">
        <f t="shared" si="27"/>
        <v/>
      </c>
      <c r="AG222" s="192">
        <f t="shared" si="23"/>
        <v>0</v>
      </c>
    </row>
    <row r="223" spans="1:33" x14ac:dyDescent="0.25">
      <c r="A223" s="109"/>
      <c r="B223" s="109"/>
      <c r="C223" s="109"/>
      <c r="J223" s="57"/>
      <c r="K223" s="57"/>
      <c r="L223" s="57"/>
      <c r="M223" s="57"/>
      <c r="N223" s="57"/>
      <c r="O223" s="57"/>
      <c r="AA223" s="640" t="str">
        <f t="shared" si="22"/>
        <v/>
      </c>
      <c r="AB223" s="640" t="str">
        <f t="shared" si="24"/>
        <v/>
      </c>
      <c r="AC223" s="640"/>
      <c r="AD223" s="890" t="str">
        <f t="shared" si="25"/>
        <v/>
      </c>
      <c r="AE223" s="890" t="str">
        <f t="shared" si="26"/>
        <v/>
      </c>
      <c r="AF223" s="890" t="str">
        <f t="shared" si="27"/>
        <v/>
      </c>
      <c r="AG223" s="192">
        <f t="shared" si="23"/>
        <v>0</v>
      </c>
    </row>
    <row r="224" spans="1:33" x14ac:dyDescent="0.25">
      <c r="A224" s="109"/>
      <c r="B224" s="109"/>
      <c r="C224" s="109"/>
      <c r="J224" s="57"/>
      <c r="K224" s="57"/>
      <c r="L224" s="57"/>
      <c r="M224" s="57"/>
      <c r="N224" s="57"/>
      <c r="O224" s="57"/>
      <c r="AA224" s="640" t="str">
        <f t="shared" si="22"/>
        <v/>
      </c>
      <c r="AB224" s="640" t="str">
        <f t="shared" si="24"/>
        <v/>
      </c>
      <c r="AC224" s="640"/>
      <c r="AD224" s="890" t="str">
        <f t="shared" si="25"/>
        <v/>
      </c>
      <c r="AE224" s="890" t="str">
        <f t="shared" si="26"/>
        <v/>
      </c>
      <c r="AF224" s="890" t="str">
        <f t="shared" si="27"/>
        <v/>
      </c>
      <c r="AG224" s="192">
        <f t="shared" si="23"/>
        <v>0</v>
      </c>
    </row>
    <row r="225" spans="1:33" x14ac:dyDescent="0.25">
      <c r="A225" s="109"/>
      <c r="B225" s="109"/>
      <c r="C225" s="109"/>
      <c r="J225" s="57"/>
      <c r="K225" s="57"/>
      <c r="L225" s="57"/>
      <c r="M225" s="57"/>
      <c r="N225" s="57"/>
      <c r="O225" s="57"/>
      <c r="AA225" s="640" t="str">
        <f t="shared" si="22"/>
        <v/>
      </c>
      <c r="AB225" s="640" t="str">
        <f t="shared" si="24"/>
        <v/>
      </c>
      <c r="AC225" s="640"/>
      <c r="AD225" s="890" t="str">
        <f t="shared" si="25"/>
        <v/>
      </c>
      <c r="AE225" s="890" t="str">
        <f t="shared" si="26"/>
        <v/>
      </c>
      <c r="AF225" s="890" t="str">
        <f t="shared" si="27"/>
        <v/>
      </c>
      <c r="AG225" s="192">
        <f t="shared" si="23"/>
        <v>0</v>
      </c>
    </row>
    <row r="226" spans="1:33" x14ac:dyDescent="0.25">
      <c r="A226" s="109"/>
      <c r="B226" s="109"/>
      <c r="C226" s="109"/>
      <c r="J226" s="57"/>
      <c r="K226" s="57"/>
      <c r="L226" s="57"/>
      <c r="M226" s="57"/>
      <c r="N226" s="57"/>
      <c r="O226" s="57"/>
      <c r="AA226" s="640" t="str">
        <f t="shared" si="22"/>
        <v/>
      </c>
      <c r="AB226" s="640" t="str">
        <f t="shared" si="24"/>
        <v/>
      </c>
      <c r="AC226" s="640"/>
      <c r="AD226" s="890" t="str">
        <f t="shared" si="25"/>
        <v/>
      </c>
      <c r="AE226" s="890" t="str">
        <f t="shared" si="26"/>
        <v/>
      </c>
      <c r="AF226" s="890" t="str">
        <f t="shared" si="27"/>
        <v/>
      </c>
      <c r="AG226" s="192">
        <f t="shared" si="23"/>
        <v>0</v>
      </c>
    </row>
    <row r="227" spans="1:33" x14ac:dyDescent="0.25">
      <c r="A227" s="109"/>
      <c r="B227" s="109"/>
      <c r="C227" s="109"/>
      <c r="J227" s="57"/>
      <c r="K227" s="57"/>
      <c r="L227" s="57"/>
      <c r="M227" s="57"/>
      <c r="N227" s="57"/>
      <c r="O227" s="57"/>
      <c r="AA227" s="640" t="str">
        <f t="shared" si="22"/>
        <v/>
      </c>
      <c r="AB227" s="640" t="str">
        <f t="shared" si="24"/>
        <v/>
      </c>
      <c r="AC227" s="640"/>
      <c r="AD227" s="890" t="str">
        <f t="shared" si="25"/>
        <v/>
      </c>
      <c r="AE227" s="890" t="str">
        <f t="shared" si="26"/>
        <v/>
      </c>
      <c r="AF227" s="890" t="str">
        <f t="shared" si="27"/>
        <v/>
      </c>
      <c r="AG227" s="192">
        <f t="shared" si="23"/>
        <v>0</v>
      </c>
    </row>
    <row r="228" spans="1:33" x14ac:dyDescent="0.25">
      <c r="A228" s="109"/>
      <c r="B228" s="109"/>
      <c r="C228" s="109"/>
      <c r="J228" s="57"/>
      <c r="K228" s="57"/>
      <c r="L228" s="57"/>
      <c r="M228" s="57"/>
      <c r="N228" s="57"/>
      <c r="O228" s="57"/>
      <c r="AA228" s="640" t="str">
        <f t="shared" si="22"/>
        <v/>
      </c>
      <c r="AB228" s="640" t="str">
        <f t="shared" si="24"/>
        <v/>
      </c>
      <c r="AC228" s="640"/>
      <c r="AD228" s="890" t="str">
        <f t="shared" si="25"/>
        <v/>
      </c>
      <c r="AE228" s="890" t="str">
        <f t="shared" si="26"/>
        <v/>
      </c>
      <c r="AF228" s="890" t="str">
        <f t="shared" si="27"/>
        <v/>
      </c>
      <c r="AG228" s="192">
        <f t="shared" si="23"/>
        <v>0</v>
      </c>
    </row>
    <row r="229" spans="1:33" x14ac:dyDescent="0.25">
      <c r="A229" s="109"/>
      <c r="B229" s="109"/>
      <c r="C229" s="109"/>
      <c r="J229" s="57"/>
      <c r="K229" s="57"/>
      <c r="L229" s="57"/>
      <c r="M229" s="57"/>
      <c r="N229" s="57"/>
      <c r="O229" s="57"/>
      <c r="AA229" s="640" t="str">
        <f t="shared" si="22"/>
        <v/>
      </c>
      <c r="AB229" s="640" t="str">
        <f t="shared" si="24"/>
        <v/>
      </c>
      <c r="AC229" s="640"/>
      <c r="AD229" s="890" t="str">
        <f t="shared" si="25"/>
        <v/>
      </c>
      <c r="AE229" s="890" t="str">
        <f t="shared" si="26"/>
        <v/>
      </c>
      <c r="AF229" s="890" t="str">
        <f t="shared" si="27"/>
        <v/>
      </c>
      <c r="AG229" s="192">
        <f t="shared" si="23"/>
        <v>0</v>
      </c>
    </row>
    <row r="230" spans="1:33" x14ac:dyDescent="0.25">
      <c r="A230" s="109"/>
      <c r="B230" s="109"/>
      <c r="C230" s="109"/>
      <c r="J230" s="57"/>
      <c r="K230" s="57"/>
      <c r="L230" s="57"/>
      <c r="M230" s="57"/>
      <c r="N230" s="57"/>
      <c r="O230" s="57"/>
      <c r="AA230" s="640" t="str">
        <f t="shared" si="22"/>
        <v/>
      </c>
      <c r="AB230" s="640" t="str">
        <f t="shared" si="24"/>
        <v/>
      </c>
      <c r="AC230" s="640"/>
      <c r="AD230" s="890" t="str">
        <f t="shared" si="25"/>
        <v/>
      </c>
      <c r="AE230" s="890" t="str">
        <f t="shared" si="26"/>
        <v/>
      </c>
      <c r="AF230" s="890" t="str">
        <f t="shared" si="27"/>
        <v/>
      </c>
      <c r="AG230" s="192">
        <f t="shared" si="23"/>
        <v>0</v>
      </c>
    </row>
    <row r="231" spans="1:33" x14ac:dyDescent="0.25">
      <c r="A231" s="109"/>
      <c r="B231" s="109"/>
      <c r="C231" s="109"/>
      <c r="J231" s="57"/>
      <c r="K231" s="57"/>
      <c r="L231" s="57"/>
      <c r="M231" s="57"/>
      <c r="N231" s="57"/>
      <c r="O231" s="57"/>
      <c r="AA231" s="640" t="str">
        <f t="shared" si="22"/>
        <v/>
      </c>
      <c r="AB231" s="640" t="str">
        <f t="shared" si="24"/>
        <v/>
      </c>
      <c r="AC231" s="640"/>
      <c r="AD231" s="890" t="str">
        <f t="shared" si="25"/>
        <v/>
      </c>
      <c r="AE231" s="890" t="str">
        <f t="shared" si="26"/>
        <v/>
      </c>
      <c r="AF231" s="890" t="str">
        <f t="shared" si="27"/>
        <v/>
      </c>
      <c r="AG231" s="192">
        <f t="shared" si="23"/>
        <v>0</v>
      </c>
    </row>
    <row r="232" spans="1:33" x14ac:dyDescent="0.25">
      <c r="A232" s="109"/>
      <c r="B232" s="109"/>
      <c r="C232" s="109"/>
      <c r="J232" s="57"/>
      <c r="K232" s="57"/>
      <c r="L232" s="57"/>
      <c r="M232" s="57"/>
      <c r="N232" s="57"/>
      <c r="O232" s="57"/>
      <c r="AA232" s="640" t="str">
        <f t="shared" si="22"/>
        <v/>
      </c>
      <c r="AB232" s="640" t="str">
        <f t="shared" si="24"/>
        <v/>
      </c>
      <c r="AC232" s="640"/>
      <c r="AD232" s="890" t="str">
        <f t="shared" si="25"/>
        <v/>
      </c>
      <c r="AE232" s="890" t="str">
        <f t="shared" si="26"/>
        <v/>
      </c>
      <c r="AF232" s="890" t="str">
        <f t="shared" si="27"/>
        <v/>
      </c>
      <c r="AG232" s="192">
        <f t="shared" si="23"/>
        <v>0</v>
      </c>
    </row>
    <row r="233" spans="1:33" x14ac:dyDescent="0.25">
      <c r="A233" s="109"/>
      <c r="B233" s="109"/>
      <c r="C233" s="109"/>
      <c r="J233" s="57"/>
      <c r="K233" s="57"/>
      <c r="L233" s="57"/>
      <c r="M233" s="57"/>
      <c r="N233" s="57"/>
      <c r="O233" s="57"/>
      <c r="AA233" s="640" t="str">
        <f t="shared" si="22"/>
        <v/>
      </c>
      <c r="AB233" s="640" t="str">
        <f t="shared" si="24"/>
        <v/>
      </c>
      <c r="AC233" s="640"/>
      <c r="AD233" s="890" t="str">
        <f t="shared" si="25"/>
        <v/>
      </c>
      <c r="AE233" s="890" t="str">
        <f t="shared" si="26"/>
        <v/>
      </c>
      <c r="AF233" s="890" t="str">
        <f t="shared" si="27"/>
        <v/>
      </c>
      <c r="AG233" s="192">
        <f t="shared" si="23"/>
        <v>0</v>
      </c>
    </row>
    <row r="234" spans="1:33" x14ac:dyDescent="0.25">
      <c r="A234" s="109"/>
      <c r="B234" s="109"/>
      <c r="C234" s="109"/>
      <c r="J234" s="57"/>
      <c r="K234" s="57"/>
      <c r="L234" s="57"/>
      <c r="M234" s="57"/>
      <c r="N234" s="57"/>
      <c r="O234" s="57"/>
      <c r="AA234" s="640" t="str">
        <f t="shared" si="22"/>
        <v/>
      </c>
      <c r="AB234" s="640" t="str">
        <f t="shared" si="24"/>
        <v/>
      </c>
      <c r="AC234" s="640"/>
      <c r="AD234" s="890" t="str">
        <f t="shared" si="25"/>
        <v/>
      </c>
      <c r="AE234" s="890" t="str">
        <f t="shared" si="26"/>
        <v/>
      </c>
      <c r="AF234" s="890" t="str">
        <f t="shared" si="27"/>
        <v/>
      </c>
      <c r="AG234" s="192">
        <f t="shared" si="23"/>
        <v>0</v>
      </c>
    </row>
    <row r="235" spans="1:33" x14ac:dyDescent="0.25">
      <c r="A235" s="109"/>
      <c r="B235" s="109"/>
      <c r="C235" s="109"/>
      <c r="J235" s="57"/>
      <c r="K235" s="57"/>
      <c r="L235" s="57"/>
      <c r="M235" s="57"/>
      <c r="N235" s="57"/>
      <c r="O235" s="57"/>
      <c r="AA235" s="640" t="str">
        <f t="shared" si="22"/>
        <v/>
      </c>
      <c r="AB235" s="640" t="str">
        <f t="shared" si="24"/>
        <v/>
      </c>
      <c r="AC235" s="640"/>
      <c r="AD235" s="890" t="str">
        <f t="shared" si="25"/>
        <v/>
      </c>
      <c r="AE235" s="890" t="str">
        <f t="shared" si="26"/>
        <v/>
      </c>
      <c r="AF235" s="890" t="str">
        <f t="shared" si="27"/>
        <v/>
      </c>
      <c r="AG235" s="192">
        <f t="shared" si="23"/>
        <v>0</v>
      </c>
    </row>
    <row r="236" spans="1:33" x14ac:dyDescent="0.25">
      <c r="A236" s="109"/>
      <c r="B236" s="109"/>
      <c r="C236" s="109"/>
      <c r="J236" s="57"/>
      <c r="K236" s="57"/>
      <c r="L236" s="57"/>
      <c r="M236" s="57"/>
      <c r="N236" s="57"/>
      <c r="O236" s="57"/>
      <c r="AA236" s="640" t="str">
        <f t="shared" si="22"/>
        <v/>
      </c>
      <c r="AB236" s="640" t="str">
        <f t="shared" si="24"/>
        <v/>
      </c>
      <c r="AC236" s="640"/>
      <c r="AD236" s="890" t="str">
        <f t="shared" si="25"/>
        <v/>
      </c>
      <c r="AE236" s="890" t="str">
        <f t="shared" si="26"/>
        <v/>
      </c>
      <c r="AF236" s="890" t="str">
        <f t="shared" si="27"/>
        <v/>
      </c>
      <c r="AG236" s="192">
        <f t="shared" si="23"/>
        <v>0</v>
      </c>
    </row>
    <row r="237" spans="1:33" x14ac:dyDescent="0.25">
      <c r="A237" s="109"/>
      <c r="B237" s="109"/>
      <c r="C237" s="109"/>
      <c r="J237" s="57"/>
      <c r="K237" s="57"/>
      <c r="L237" s="57"/>
      <c r="M237" s="57"/>
      <c r="N237" s="57"/>
      <c r="O237" s="57"/>
      <c r="AA237" s="640" t="str">
        <f t="shared" si="22"/>
        <v/>
      </c>
      <c r="AB237" s="640" t="str">
        <f t="shared" si="24"/>
        <v/>
      </c>
      <c r="AC237" s="640"/>
      <c r="AD237" s="890" t="str">
        <f t="shared" si="25"/>
        <v/>
      </c>
      <c r="AE237" s="890" t="str">
        <f t="shared" si="26"/>
        <v/>
      </c>
      <c r="AF237" s="890" t="str">
        <f t="shared" si="27"/>
        <v/>
      </c>
      <c r="AG237" s="192">
        <f t="shared" si="23"/>
        <v>0</v>
      </c>
    </row>
    <row r="238" spans="1:33" x14ac:dyDescent="0.25">
      <c r="A238" s="109"/>
      <c r="B238" s="109"/>
      <c r="C238" s="109"/>
      <c r="J238" s="57"/>
      <c r="K238" s="57"/>
      <c r="L238" s="57"/>
      <c r="M238" s="57"/>
      <c r="N238" s="57"/>
      <c r="O238" s="57"/>
      <c r="AA238" s="640" t="str">
        <f t="shared" si="22"/>
        <v/>
      </c>
      <c r="AB238" s="640" t="str">
        <f t="shared" si="24"/>
        <v/>
      </c>
      <c r="AC238" s="640"/>
      <c r="AD238" s="890" t="str">
        <f t="shared" si="25"/>
        <v/>
      </c>
      <c r="AE238" s="890" t="str">
        <f t="shared" si="26"/>
        <v/>
      </c>
      <c r="AF238" s="890" t="str">
        <f t="shared" si="27"/>
        <v/>
      </c>
      <c r="AG238" s="192">
        <f t="shared" si="23"/>
        <v>0</v>
      </c>
    </row>
    <row r="239" spans="1:33" x14ac:dyDescent="0.25">
      <c r="A239" s="109"/>
      <c r="B239" s="109"/>
      <c r="C239" s="109"/>
      <c r="J239" s="57"/>
      <c r="K239" s="57"/>
      <c r="L239" s="57"/>
      <c r="M239" s="57"/>
      <c r="N239" s="57"/>
      <c r="O239" s="57"/>
      <c r="AA239" s="640" t="str">
        <f t="shared" si="22"/>
        <v/>
      </c>
      <c r="AB239" s="640" t="str">
        <f t="shared" si="24"/>
        <v/>
      </c>
      <c r="AC239" s="640"/>
      <c r="AD239" s="890" t="str">
        <f t="shared" si="25"/>
        <v/>
      </c>
      <c r="AE239" s="890" t="str">
        <f t="shared" si="26"/>
        <v/>
      </c>
      <c r="AF239" s="890" t="str">
        <f t="shared" si="27"/>
        <v/>
      </c>
      <c r="AG239" s="192">
        <f t="shared" si="23"/>
        <v>0</v>
      </c>
    </row>
    <row r="240" spans="1:33" x14ac:dyDescent="0.25">
      <c r="A240" s="109"/>
      <c r="B240" s="109"/>
      <c r="C240" s="109"/>
      <c r="J240" s="57"/>
      <c r="K240" s="57"/>
      <c r="L240" s="57"/>
      <c r="M240" s="57"/>
      <c r="N240" s="57"/>
      <c r="O240" s="57"/>
      <c r="AA240" s="640" t="str">
        <f t="shared" si="22"/>
        <v/>
      </c>
      <c r="AB240" s="640" t="str">
        <f t="shared" si="24"/>
        <v/>
      </c>
      <c r="AC240" s="640"/>
      <c r="AD240" s="890" t="str">
        <f t="shared" si="25"/>
        <v/>
      </c>
      <c r="AE240" s="890" t="str">
        <f t="shared" si="26"/>
        <v/>
      </c>
      <c r="AF240" s="890" t="str">
        <f t="shared" si="27"/>
        <v/>
      </c>
      <c r="AG240" s="192">
        <f t="shared" si="23"/>
        <v>0</v>
      </c>
    </row>
    <row r="241" spans="1:33" x14ac:dyDescent="0.25">
      <c r="A241" s="109"/>
      <c r="B241" s="109"/>
      <c r="C241" s="109"/>
      <c r="J241" s="57"/>
      <c r="K241" s="57"/>
      <c r="L241" s="57"/>
      <c r="M241" s="57"/>
      <c r="N241" s="57"/>
      <c r="O241" s="57"/>
      <c r="AA241" s="640" t="str">
        <f t="shared" si="22"/>
        <v/>
      </c>
      <c r="AB241" s="640" t="str">
        <f t="shared" si="24"/>
        <v/>
      </c>
      <c r="AC241" s="640"/>
      <c r="AD241" s="890" t="str">
        <f t="shared" si="25"/>
        <v/>
      </c>
      <c r="AE241" s="890" t="str">
        <f t="shared" si="26"/>
        <v/>
      </c>
      <c r="AF241" s="890" t="str">
        <f t="shared" si="27"/>
        <v/>
      </c>
      <c r="AG241" s="192">
        <f t="shared" si="23"/>
        <v>0</v>
      </c>
    </row>
    <row r="242" spans="1:33" x14ac:dyDescent="0.25">
      <c r="A242" s="109"/>
      <c r="B242" s="109"/>
      <c r="C242" s="109"/>
      <c r="J242" s="57"/>
      <c r="K242" s="57"/>
      <c r="L242" s="57"/>
      <c r="M242" s="57"/>
      <c r="N242" s="57"/>
      <c r="O242" s="57"/>
      <c r="AA242" s="640" t="str">
        <f t="shared" si="22"/>
        <v/>
      </c>
      <c r="AB242" s="640" t="str">
        <f t="shared" si="24"/>
        <v/>
      </c>
      <c r="AC242" s="640"/>
      <c r="AD242" s="890" t="str">
        <f t="shared" si="25"/>
        <v/>
      </c>
      <c r="AE242" s="890" t="str">
        <f t="shared" si="26"/>
        <v/>
      </c>
      <c r="AF242" s="890" t="str">
        <f t="shared" si="27"/>
        <v/>
      </c>
      <c r="AG242" s="192">
        <f t="shared" si="23"/>
        <v>0</v>
      </c>
    </row>
    <row r="243" spans="1:33" x14ac:dyDescent="0.25">
      <c r="A243" s="109"/>
      <c r="B243" s="109"/>
      <c r="C243" s="109"/>
      <c r="J243" s="57"/>
      <c r="K243" s="57"/>
      <c r="L243" s="57"/>
      <c r="M243" s="57"/>
      <c r="N243" s="57"/>
      <c r="O243" s="57"/>
      <c r="AA243" s="640" t="str">
        <f t="shared" si="22"/>
        <v/>
      </c>
      <c r="AB243" s="640" t="str">
        <f t="shared" si="24"/>
        <v/>
      </c>
      <c r="AC243" s="640"/>
      <c r="AD243" s="890" t="str">
        <f t="shared" si="25"/>
        <v/>
      </c>
      <c r="AE243" s="890" t="str">
        <f t="shared" si="26"/>
        <v/>
      </c>
      <c r="AF243" s="890" t="str">
        <f t="shared" si="27"/>
        <v/>
      </c>
      <c r="AG243" s="192">
        <f t="shared" si="23"/>
        <v>0</v>
      </c>
    </row>
    <row r="244" spans="1:33" x14ac:dyDescent="0.25">
      <c r="A244" s="109"/>
      <c r="B244" s="109"/>
      <c r="C244" s="109"/>
      <c r="J244" s="57"/>
      <c r="K244" s="57"/>
      <c r="L244" s="57"/>
      <c r="M244" s="57"/>
      <c r="N244" s="57"/>
      <c r="O244" s="57"/>
      <c r="AA244" s="640" t="str">
        <f t="shared" si="22"/>
        <v/>
      </c>
      <c r="AB244" s="640" t="str">
        <f t="shared" si="24"/>
        <v/>
      </c>
      <c r="AC244" s="640"/>
      <c r="AD244" s="890" t="str">
        <f t="shared" si="25"/>
        <v/>
      </c>
      <c r="AE244" s="890" t="str">
        <f t="shared" si="26"/>
        <v/>
      </c>
      <c r="AF244" s="890" t="str">
        <f t="shared" si="27"/>
        <v/>
      </c>
      <c r="AG244" s="192">
        <f t="shared" si="23"/>
        <v>0</v>
      </c>
    </row>
    <row r="245" spans="1:33" x14ac:dyDescent="0.25">
      <c r="A245" s="109"/>
      <c r="B245" s="109"/>
      <c r="C245" s="109"/>
      <c r="J245" s="57"/>
      <c r="K245" s="57"/>
      <c r="L245" s="57"/>
      <c r="M245" s="57"/>
      <c r="N245" s="57"/>
      <c r="O245" s="57"/>
      <c r="AA245" s="640" t="str">
        <f t="shared" si="22"/>
        <v/>
      </c>
      <c r="AB245" s="640" t="str">
        <f t="shared" si="24"/>
        <v/>
      </c>
      <c r="AC245" s="640"/>
      <c r="AD245" s="890" t="str">
        <f t="shared" si="25"/>
        <v/>
      </c>
      <c r="AE245" s="890" t="str">
        <f t="shared" si="26"/>
        <v/>
      </c>
      <c r="AF245" s="890" t="str">
        <f t="shared" si="27"/>
        <v/>
      </c>
      <c r="AG245" s="192">
        <f t="shared" si="23"/>
        <v>0</v>
      </c>
    </row>
    <row r="246" spans="1:33" x14ac:dyDescent="0.25">
      <c r="A246" s="109"/>
      <c r="B246" s="109"/>
      <c r="C246" s="109"/>
      <c r="J246" s="57"/>
      <c r="K246" s="57"/>
      <c r="L246" s="57"/>
      <c r="M246" s="57"/>
      <c r="N246" s="57"/>
      <c r="O246" s="57"/>
      <c r="AA246" s="640" t="str">
        <f t="shared" si="22"/>
        <v/>
      </c>
      <c r="AB246" s="640" t="str">
        <f t="shared" si="24"/>
        <v/>
      </c>
      <c r="AC246" s="640"/>
      <c r="AD246" s="890" t="str">
        <f t="shared" si="25"/>
        <v/>
      </c>
      <c r="AE246" s="890" t="str">
        <f t="shared" si="26"/>
        <v/>
      </c>
      <c r="AF246" s="890" t="str">
        <f t="shared" si="27"/>
        <v/>
      </c>
      <c r="AG246" s="192">
        <f t="shared" si="23"/>
        <v>0</v>
      </c>
    </row>
    <row r="247" spans="1:33" x14ac:dyDescent="0.25">
      <c r="A247" s="109"/>
      <c r="B247" s="109"/>
      <c r="C247" s="109"/>
      <c r="J247" s="57"/>
      <c r="K247" s="57"/>
      <c r="L247" s="57"/>
      <c r="M247" s="57"/>
      <c r="N247" s="57"/>
      <c r="O247" s="57"/>
      <c r="AA247" s="640" t="str">
        <f t="shared" si="22"/>
        <v/>
      </c>
      <c r="AB247" s="640" t="str">
        <f t="shared" si="24"/>
        <v/>
      </c>
      <c r="AC247" s="640"/>
      <c r="AD247" s="890" t="str">
        <f t="shared" si="25"/>
        <v/>
      </c>
      <c r="AE247" s="890" t="str">
        <f t="shared" si="26"/>
        <v/>
      </c>
      <c r="AF247" s="890" t="str">
        <f t="shared" si="27"/>
        <v/>
      </c>
      <c r="AG247" s="192">
        <f t="shared" si="23"/>
        <v>0</v>
      </c>
    </row>
    <row r="248" spans="1:33" x14ac:dyDescent="0.25">
      <c r="A248" s="109"/>
      <c r="B248" s="109"/>
      <c r="C248" s="109"/>
      <c r="J248" s="57"/>
      <c r="K248" s="57"/>
      <c r="L248" s="57"/>
      <c r="M248" s="57"/>
      <c r="N248" s="57"/>
      <c r="O248" s="57"/>
      <c r="AA248" s="640" t="str">
        <f t="shared" si="22"/>
        <v/>
      </c>
      <c r="AB248" s="640" t="str">
        <f t="shared" si="24"/>
        <v/>
      </c>
      <c r="AC248" s="640"/>
      <c r="AD248" s="890" t="str">
        <f t="shared" si="25"/>
        <v/>
      </c>
      <c r="AE248" s="890" t="str">
        <f t="shared" si="26"/>
        <v/>
      </c>
      <c r="AF248" s="890" t="str">
        <f t="shared" si="27"/>
        <v/>
      </c>
      <c r="AG248" s="192">
        <f t="shared" si="23"/>
        <v>0</v>
      </c>
    </row>
    <row r="249" spans="1:33" x14ac:dyDescent="0.25">
      <c r="A249" s="109"/>
      <c r="B249" s="109"/>
      <c r="C249" s="109"/>
      <c r="J249" s="57"/>
      <c r="K249" s="57"/>
      <c r="L249" s="57"/>
      <c r="M249" s="57"/>
      <c r="N249" s="57"/>
      <c r="O249" s="57"/>
      <c r="AA249" s="640" t="str">
        <f t="shared" si="22"/>
        <v/>
      </c>
      <c r="AB249" s="640" t="str">
        <f t="shared" si="24"/>
        <v/>
      </c>
      <c r="AC249" s="640"/>
      <c r="AD249" s="890" t="str">
        <f t="shared" si="25"/>
        <v/>
      </c>
      <c r="AE249" s="890" t="str">
        <f t="shared" si="26"/>
        <v/>
      </c>
      <c r="AF249" s="890" t="str">
        <f t="shared" si="27"/>
        <v/>
      </c>
      <c r="AG249" s="192">
        <f t="shared" si="23"/>
        <v>0</v>
      </c>
    </row>
    <row r="250" spans="1:33" x14ac:dyDescent="0.25">
      <c r="A250" s="109"/>
      <c r="B250" s="109"/>
      <c r="C250" s="109"/>
      <c r="J250" s="57"/>
      <c r="K250" s="57"/>
      <c r="L250" s="57"/>
      <c r="M250" s="57"/>
      <c r="N250" s="57"/>
      <c r="O250" s="57"/>
      <c r="AA250" s="640" t="str">
        <f t="shared" si="22"/>
        <v/>
      </c>
      <c r="AB250" s="640" t="str">
        <f t="shared" si="24"/>
        <v/>
      </c>
      <c r="AC250" s="640"/>
      <c r="AD250" s="890" t="str">
        <f t="shared" si="25"/>
        <v/>
      </c>
      <c r="AE250" s="890" t="str">
        <f t="shared" si="26"/>
        <v/>
      </c>
      <c r="AF250" s="890" t="str">
        <f t="shared" si="27"/>
        <v/>
      </c>
      <c r="AG250" s="192">
        <f t="shared" si="23"/>
        <v>0</v>
      </c>
    </row>
    <row r="251" spans="1:33" x14ac:dyDescent="0.25">
      <c r="A251" s="109"/>
      <c r="B251" s="109"/>
      <c r="C251" s="109"/>
      <c r="J251" s="57"/>
      <c r="K251" s="57"/>
      <c r="L251" s="57"/>
      <c r="M251" s="57"/>
      <c r="N251" s="57"/>
      <c r="O251" s="57"/>
      <c r="AA251" s="640" t="str">
        <f t="shared" si="22"/>
        <v/>
      </c>
      <c r="AB251" s="640" t="str">
        <f t="shared" si="24"/>
        <v/>
      </c>
      <c r="AC251" s="640"/>
      <c r="AD251" s="890" t="str">
        <f t="shared" si="25"/>
        <v/>
      </c>
      <c r="AE251" s="890" t="str">
        <f t="shared" si="26"/>
        <v/>
      </c>
      <c r="AF251" s="890" t="str">
        <f t="shared" si="27"/>
        <v/>
      </c>
      <c r="AG251" s="192">
        <f t="shared" si="23"/>
        <v>0</v>
      </c>
    </row>
    <row r="252" spans="1:33" x14ac:dyDescent="0.25">
      <c r="A252" s="109"/>
      <c r="B252" s="109"/>
      <c r="C252" s="109"/>
      <c r="J252" s="57"/>
      <c r="K252" s="57"/>
      <c r="L252" s="57"/>
      <c r="M252" s="57"/>
      <c r="N252" s="57"/>
      <c r="O252" s="57"/>
      <c r="AA252" s="640" t="str">
        <f t="shared" si="22"/>
        <v/>
      </c>
      <c r="AB252" s="640" t="str">
        <f t="shared" si="24"/>
        <v/>
      </c>
      <c r="AC252" s="640"/>
      <c r="AD252" s="890" t="str">
        <f t="shared" si="25"/>
        <v/>
      </c>
      <c r="AE252" s="890" t="str">
        <f t="shared" si="26"/>
        <v/>
      </c>
      <c r="AF252" s="890" t="str">
        <f t="shared" si="27"/>
        <v/>
      </c>
      <c r="AG252" s="192">
        <f t="shared" si="23"/>
        <v>0</v>
      </c>
    </row>
    <row r="253" spans="1:33" x14ac:dyDescent="0.25">
      <c r="A253" s="109"/>
      <c r="B253" s="109"/>
      <c r="C253" s="109"/>
      <c r="J253" s="57"/>
      <c r="K253" s="57"/>
      <c r="L253" s="57"/>
      <c r="M253" s="57"/>
      <c r="N253" s="57"/>
      <c r="O253" s="57"/>
      <c r="AA253" s="640" t="str">
        <f t="shared" si="22"/>
        <v/>
      </c>
      <c r="AB253" s="640" t="str">
        <f t="shared" si="24"/>
        <v/>
      </c>
      <c r="AC253" s="640"/>
      <c r="AD253" s="890" t="str">
        <f t="shared" si="25"/>
        <v/>
      </c>
      <c r="AE253" s="890" t="str">
        <f t="shared" si="26"/>
        <v/>
      </c>
      <c r="AF253" s="890" t="str">
        <f t="shared" si="27"/>
        <v/>
      </c>
      <c r="AG253" s="192">
        <f t="shared" si="23"/>
        <v>0</v>
      </c>
    </row>
    <row r="254" spans="1:33" x14ac:dyDescent="0.25">
      <c r="A254" s="109"/>
      <c r="B254" s="109"/>
      <c r="C254" s="109"/>
      <c r="J254" s="57"/>
      <c r="K254" s="57"/>
      <c r="L254" s="57"/>
      <c r="M254" s="57"/>
      <c r="N254" s="57"/>
      <c r="O254" s="57"/>
      <c r="AA254" s="640" t="str">
        <f t="shared" si="22"/>
        <v/>
      </c>
      <c r="AB254" s="640" t="str">
        <f t="shared" si="24"/>
        <v/>
      </c>
      <c r="AC254" s="640"/>
      <c r="AD254" s="890" t="str">
        <f t="shared" si="25"/>
        <v/>
      </c>
      <c r="AE254" s="890" t="str">
        <f t="shared" si="26"/>
        <v/>
      </c>
      <c r="AF254" s="890" t="str">
        <f t="shared" si="27"/>
        <v/>
      </c>
      <c r="AG254" s="192">
        <f t="shared" si="23"/>
        <v>0</v>
      </c>
    </row>
    <row r="255" spans="1:33" x14ac:dyDescent="0.25">
      <c r="A255" s="109"/>
      <c r="B255" s="109"/>
      <c r="C255" s="109"/>
      <c r="J255" s="57"/>
      <c r="K255" s="57"/>
      <c r="L255" s="57"/>
      <c r="M255" s="57"/>
      <c r="N255" s="57"/>
      <c r="O255" s="57"/>
      <c r="AA255" s="640" t="str">
        <f t="shared" si="22"/>
        <v/>
      </c>
      <c r="AB255" s="640" t="str">
        <f t="shared" si="24"/>
        <v/>
      </c>
      <c r="AC255" s="640"/>
      <c r="AD255" s="890" t="str">
        <f t="shared" si="25"/>
        <v/>
      </c>
      <c r="AE255" s="890" t="str">
        <f t="shared" si="26"/>
        <v/>
      </c>
      <c r="AF255" s="890" t="str">
        <f t="shared" si="27"/>
        <v/>
      </c>
      <c r="AG255" s="192">
        <f t="shared" si="23"/>
        <v>0</v>
      </c>
    </row>
    <row r="256" spans="1:33" x14ac:dyDescent="0.25">
      <c r="A256" s="109"/>
      <c r="B256" s="109"/>
      <c r="C256" s="109"/>
      <c r="J256" s="57"/>
      <c r="K256" s="57"/>
      <c r="L256" s="57"/>
      <c r="M256" s="57"/>
      <c r="N256" s="57"/>
      <c r="O256" s="57"/>
      <c r="AA256" s="640" t="str">
        <f t="shared" si="22"/>
        <v/>
      </c>
      <c r="AB256" s="640" t="str">
        <f t="shared" si="24"/>
        <v/>
      </c>
      <c r="AC256" s="640"/>
      <c r="AD256" s="890" t="str">
        <f t="shared" si="25"/>
        <v/>
      </c>
      <c r="AE256" s="890" t="str">
        <f t="shared" si="26"/>
        <v/>
      </c>
      <c r="AF256" s="890" t="str">
        <f t="shared" si="27"/>
        <v/>
      </c>
      <c r="AG256" s="192">
        <f t="shared" si="23"/>
        <v>0</v>
      </c>
    </row>
    <row r="257" spans="1:33" x14ac:dyDescent="0.25">
      <c r="A257" s="109"/>
      <c r="B257" s="109"/>
      <c r="C257" s="109"/>
      <c r="J257" s="57"/>
      <c r="K257" s="57"/>
      <c r="L257" s="57"/>
      <c r="M257" s="57"/>
      <c r="N257" s="57"/>
      <c r="O257" s="57"/>
      <c r="AA257" s="640" t="str">
        <f t="shared" si="22"/>
        <v/>
      </c>
      <c r="AB257" s="640" t="str">
        <f t="shared" si="24"/>
        <v/>
      </c>
      <c r="AC257" s="640"/>
      <c r="AD257" s="890" t="str">
        <f t="shared" si="25"/>
        <v/>
      </c>
      <c r="AE257" s="890" t="str">
        <f t="shared" si="26"/>
        <v/>
      </c>
      <c r="AF257" s="890" t="str">
        <f t="shared" si="27"/>
        <v/>
      </c>
      <c r="AG257" s="192">
        <f t="shared" si="23"/>
        <v>0</v>
      </c>
    </row>
    <row r="258" spans="1:33" x14ac:dyDescent="0.25">
      <c r="A258" s="109"/>
      <c r="B258" s="109"/>
      <c r="C258" s="109"/>
      <c r="J258" s="57"/>
      <c r="K258" s="57"/>
      <c r="L258" s="57"/>
      <c r="M258" s="57"/>
      <c r="N258" s="57"/>
      <c r="O258" s="57"/>
      <c r="AA258" s="640" t="str">
        <f t="shared" si="22"/>
        <v/>
      </c>
      <c r="AB258" s="640" t="str">
        <f t="shared" si="24"/>
        <v/>
      </c>
      <c r="AC258" s="640"/>
      <c r="AD258" s="890" t="str">
        <f t="shared" si="25"/>
        <v/>
      </c>
      <c r="AE258" s="890" t="str">
        <f t="shared" si="26"/>
        <v/>
      </c>
      <c r="AF258" s="890" t="str">
        <f t="shared" si="27"/>
        <v/>
      </c>
      <c r="AG258" s="192">
        <f t="shared" si="23"/>
        <v>0</v>
      </c>
    </row>
    <row r="259" spans="1:33" x14ac:dyDescent="0.25">
      <c r="A259" s="109"/>
      <c r="B259" s="109"/>
      <c r="C259" s="109"/>
      <c r="J259" s="57"/>
      <c r="K259" s="57"/>
      <c r="L259" s="57"/>
      <c r="M259" s="57"/>
      <c r="N259" s="57"/>
      <c r="O259" s="57"/>
      <c r="AA259" s="640" t="str">
        <f t="shared" si="22"/>
        <v/>
      </c>
      <c r="AB259" s="640" t="str">
        <f t="shared" si="24"/>
        <v/>
      </c>
      <c r="AC259" s="640"/>
      <c r="AD259" s="890" t="str">
        <f t="shared" si="25"/>
        <v/>
      </c>
      <c r="AE259" s="890" t="str">
        <f t="shared" si="26"/>
        <v/>
      </c>
      <c r="AF259" s="890" t="str">
        <f t="shared" si="27"/>
        <v/>
      </c>
      <c r="AG259" s="192">
        <f t="shared" si="23"/>
        <v>0</v>
      </c>
    </row>
    <row r="260" spans="1:33" x14ac:dyDescent="0.25">
      <c r="A260" s="109"/>
      <c r="B260" s="109"/>
      <c r="C260" s="109"/>
      <c r="J260" s="57"/>
      <c r="K260" s="57"/>
      <c r="L260" s="57"/>
      <c r="M260" s="57"/>
      <c r="N260" s="57"/>
      <c r="O260" s="57"/>
      <c r="AA260" s="640" t="str">
        <f t="shared" si="22"/>
        <v/>
      </c>
      <c r="AB260" s="640" t="str">
        <f t="shared" si="24"/>
        <v/>
      </c>
      <c r="AC260" s="640"/>
      <c r="AD260" s="890" t="str">
        <f t="shared" si="25"/>
        <v/>
      </c>
      <c r="AE260" s="890" t="str">
        <f t="shared" si="26"/>
        <v/>
      </c>
      <c r="AF260" s="890" t="str">
        <f t="shared" si="27"/>
        <v/>
      </c>
      <c r="AG260" s="192">
        <f t="shared" si="23"/>
        <v>0</v>
      </c>
    </row>
    <row r="261" spans="1:33" x14ac:dyDescent="0.25">
      <c r="A261" s="109"/>
      <c r="B261" s="109"/>
      <c r="C261" s="109"/>
      <c r="J261" s="57"/>
      <c r="K261" s="57"/>
      <c r="L261" s="57"/>
      <c r="M261" s="57"/>
      <c r="N261" s="57"/>
      <c r="O261" s="57"/>
      <c r="AA261" s="640" t="str">
        <f t="shared" si="22"/>
        <v/>
      </c>
      <c r="AB261" s="640" t="str">
        <f t="shared" si="24"/>
        <v/>
      </c>
      <c r="AC261" s="640"/>
      <c r="AD261" s="890" t="str">
        <f t="shared" si="25"/>
        <v/>
      </c>
      <c r="AE261" s="890" t="str">
        <f t="shared" si="26"/>
        <v/>
      </c>
      <c r="AF261" s="890" t="str">
        <f t="shared" si="27"/>
        <v/>
      </c>
      <c r="AG261" s="192">
        <f t="shared" si="23"/>
        <v>0</v>
      </c>
    </row>
    <row r="262" spans="1:33" x14ac:dyDescent="0.25">
      <c r="A262" s="109"/>
      <c r="B262" s="109"/>
      <c r="C262" s="109"/>
      <c r="J262" s="57"/>
      <c r="K262" s="57"/>
      <c r="L262" s="57"/>
      <c r="M262" s="57"/>
      <c r="N262" s="57"/>
      <c r="O262" s="57"/>
      <c r="AA262" s="640" t="str">
        <f t="shared" si="22"/>
        <v/>
      </c>
      <c r="AB262" s="640" t="str">
        <f t="shared" si="24"/>
        <v/>
      </c>
      <c r="AC262" s="640"/>
      <c r="AD262" s="890" t="str">
        <f t="shared" si="25"/>
        <v/>
      </c>
      <c r="AE262" s="890" t="str">
        <f t="shared" si="26"/>
        <v/>
      </c>
      <c r="AF262" s="890" t="str">
        <f t="shared" si="27"/>
        <v/>
      </c>
      <c r="AG262" s="192">
        <f t="shared" si="23"/>
        <v>0</v>
      </c>
    </row>
    <row r="263" spans="1:33" x14ac:dyDescent="0.25">
      <c r="A263" s="109"/>
      <c r="B263" s="109"/>
      <c r="C263" s="109"/>
      <c r="J263" s="57"/>
      <c r="K263" s="57"/>
      <c r="L263" s="57"/>
      <c r="M263" s="57"/>
      <c r="N263" s="57"/>
      <c r="O263" s="57"/>
      <c r="AA263" s="640" t="str">
        <f t="shared" ref="AA263:AA326" si="28">IF(G263=0, IF(OR(H263&gt;0,F263&gt;0),C263*F263,""),"")</f>
        <v/>
      </c>
      <c r="AB263" s="640" t="str">
        <f t="shared" si="24"/>
        <v/>
      </c>
      <c r="AC263" s="640"/>
      <c r="AD263" s="890" t="str">
        <f t="shared" si="25"/>
        <v/>
      </c>
      <c r="AE263" s="890" t="str">
        <f t="shared" si="26"/>
        <v/>
      </c>
      <c r="AF263" s="890" t="str">
        <f t="shared" si="27"/>
        <v/>
      </c>
      <c r="AG263" s="192">
        <f t="shared" ref="AG263:AG326" si="29">(C263*G263)+(C263*H263)+(C263*I263)</f>
        <v>0</v>
      </c>
    </row>
    <row r="264" spans="1:33" x14ac:dyDescent="0.25">
      <c r="A264" s="109"/>
      <c r="B264" s="109"/>
      <c r="C264" s="109"/>
      <c r="J264" s="57"/>
      <c r="K264" s="57"/>
      <c r="L264" s="57"/>
      <c r="M264" s="57"/>
      <c r="N264" s="57"/>
      <c r="O264" s="57"/>
      <c r="AA264" s="640" t="str">
        <f t="shared" si="28"/>
        <v/>
      </c>
      <c r="AB264" s="640" t="str">
        <f t="shared" ref="AB264:AB327" si="30">IF(G264&gt;=1,IF(F264&gt;1,C264*(F264-2),""),"")</f>
        <v/>
      </c>
      <c r="AC264" s="640"/>
      <c r="AD264" s="890" t="str">
        <f t="shared" ref="AD264:AD327" si="31">IF(E264="YES",IF(G264=1,"",""),IF(G264=1,C264,IF(G264=2,C264,IF(G264=0,"",""))))</f>
        <v/>
      </c>
      <c r="AE264" s="890" t="str">
        <f t="shared" ref="AE264:AE327" si="32">IF(E264="YES",IF(G264=1,"",IF(H264=1,C264,"")),IF(H264=1,C264,IF(H264=2,C264,IF(H264=0,"",""))))</f>
        <v/>
      </c>
      <c r="AF264" s="890" t="str">
        <f t="shared" ref="AF264:AF327" si="33">IF(E264="YES",IF(I264=1,C264,""),IF(I264=1,C264,IF(I264=2,C264,IF(I264=0,"",""))))</f>
        <v/>
      </c>
      <c r="AG264" s="192">
        <f t="shared" si="29"/>
        <v>0</v>
      </c>
    </row>
    <row r="265" spans="1:33" x14ac:dyDescent="0.25">
      <c r="A265" s="109"/>
      <c r="B265" s="109"/>
      <c r="C265" s="109"/>
      <c r="J265" s="57"/>
      <c r="K265" s="57"/>
      <c r="L265" s="57"/>
      <c r="M265" s="57"/>
      <c r="N265" s="57"/>
      <c r="O265" s="57"/>
      <c r="AA265" s="640" t="str">
        <f t="shared" si="28"/>
        <v/>
      </c>
      <c r="AB265" s="640" t="str">
        <f t="shared" si="30"/>
        <v/>
      </c>
      <c r="AC265" s="640"/>
      <c r="AD265" s="890" t="str">
        <f t="shared" si="31"/>
        <v/>
      </c>
      <c r="AE265" s="890" t="str">
        <f t="shared" si="32"/>
        <v/>
      </c>
      <c r="AF265" s="890" t="str">
        <f t="shared" si="33"/>
        <v/>
      </c>
      <c r="AG265" s="192">
        <f t="shared" si="29"/>
        <v>0</v>
      </c>
    </row>
    <row r="266" spans="1:33" x14ac:dyDescent="0.25">
      <c r="A266" s="109"/>
      <c r="B266" s="109"/>
      <c r="C266" s="109"/>
      <c r="J266" s="57"/>
      <c r="K266" s="57"/>
      <c r="L266" s="57"/>
      <c r="M266" s="57"/>
      <c r="N266" s="57"/>
      <c r="O266" s="57"/>
      <c r="AA266" s="640" t="str">
        <f t="shared" si="28"/>
        <v/>
      </c>
      <c r="AB266" s="640" t="str">
        <f t="shared" si="30"/>
        <v/>
      </c>
      <c r="AC266" s="640"/>
      <c r="AD266" s="890" t="str">
        <f t="shared" si="31"/>
        <v/>
      </c>
      <c r="AE266" s="890" t="str">
        <f t="shared" si="32"/>
        <v/>
      </c>
      <c r="AF266" s="890" t="str">
        <f t="shared" si="33"/>
        <v/>
      </c>
      <c r="AG266" s="192">
        <f t="shared" si="29"/>
        <v>0</v>
      </c>
    </row>
    <row r="267" spans="1:33" x14ac:dyDescent="0.25">
      <c r="A267" s="109"/>
      <c r="B267" s="109"/>
      <c r="C267" s="109"/>
      <c r="J267" s="57"/>
      <c r="K267" s="57"/>
      <c r="L267" s="57"/>
      <c r="M267" s="57"/>
      <c r="N267" s="57"/>
      <c r="O267" s="57"/>
      <c r="AA267" s="640" t="str">
        <f t="shared" si="28"/>
        <v/>
      </c>
      <c r="AB267" s="640" t="str">
        <f t="shared" si="30"/>
        <v/>
      </c>
      <c r="AC267" s="640"/>
      <c r="AD267" s="890" t="str">
        <f t="shared" si="31"/>
        <v/>
      </c>
      <c r="AE267" s="890" t="str">
        <f t="shared" si="32"/>
        <v/>
      </c>
      <c r="AF267" s="890" t="str">
        <f t="shared" si="33"/>
        <v/>
      </c>
      <c r="AG267" s="192">
        <f t="shared" si="29"/>
        <v>0</v>
      </c>
    </row>
    <row r="268" spans="1:33" x14ac:dyDescent="0.25">
      <c r="A268" s="109"/>
      <c r="B268" s="109"/>
      <c r="C268" s="109"/>
      <c r="J268" s="57"/>
      <c r="K268" s="57"/>
      <c r="L268" s="57"/>
      <c r="M268" s="57"/>
      <c r="N268" s="57"/>
      <c r="O268" s="57"/>
      <c r="AA268" s="640" t="str">
        <f t="shared" si="28"/>
        <v/>
      </c>
      <c r="AB268" s="640" t="str">
        <f t="shared" si="30"/>
        <v/>
      </c>
      <c r="AC268" s="640"/>
      <c r="AD268" s="890" t="str">
        <f t="shared" si="31"/>
        <v/>
      </c>
      <c r="AE268" s="890" t="str">
        <f t="shared" si="32"/>
        <v/>
      </c>
      <c r="AF268" s="890" t="str">
        <f t="shared" si="33"/>
        <v/>
      </c>
      <c r="AG268" s="192">
        <f t="shared" si="29"/>
        <v>0</v>
      </c>
    </row>
    <row r="269" spans="1:33" x14ac:dyDescent="0.25">
      <c r="A269" s="109"/>
      <c r="B269" s="109"/>
      <c r="C269" s="109"/>
      <c r="J269" s="57"/>
      <c r="K269" s="57"/>
      <c r="L269" s="57"/>
      <c r="M269" s="57"/>
      <c r="N269" s="57"/>
      <c r="O269" s="57"/>
      <c r="AA269" s="640" t="str">
        <f t="shared" si="28"/>
        <v/>
      </c>
      <c r="AB269" s="640" t="str">
        <f t="shared" si="30"/>
        <v/>
      </c>
      <c r="AC269" s="640"/>
      <c r="AD269" s="890" t="str">
        <f t="shared" si="31"/>
        <v/>
      </c>
      <c r="AE269" s="890" t="str">
        <f t="shared" si="32"/>
        <v/>
      </c>
      <c r="AF269" s="890" t="str">
        <f t="shared" si="33"/>
        <v/>
      </c>
      <c r="AG269" s="192">
        <f t="shared" si="29"/>
        <v>0</v>
      </c>
    </row>
    <row r="270" spans="1:33" x14ac:dyDescent="0.25">
      <c r="A270" s="109"/>
      <c r="B270" s="109"/>
      <c r="C270" s="109"/>
      <c r="J270" s="57"/>
      <c r="K270" s="57"/>
      <c r="L270" s="57"/>
      <c r="M270" s="57"/>
      <c r="N270" s="57"/>
      <c r="O270" s="57"/>
      <c r="AA270" s="640" t="str">
        <f t="shared" si="28"/>
        <v/>
      </c>
      <c r="AB270" s="640" t="str">
        <f t="shared" si="30"/>
        <v/>
      </c>
      <c r="AC270" s="640"/>
      <c r="AD270" s="890" t="str">
        <f t="shared" si="31"/>
        <v/>
      </c>
      <c r="AE270" s="890" t="str">
        <f t="shared" si="32"/>
        <v/>
      </c>
      <c r="AF270" s="890" t="str">
        <f t="shared" si="33"/>
        <v/>
      </c>
      <c r="AG270" s="192">
        <f t="shared" si="29"/>
        <v>0</v>
      </c>
    </row>
    <row r="271" spans="1:33" x14ac:dyDescent="0.25">
      <c r="A271" s="109"/>
      <c r="B271" s="109"/>
      <c r="C271" s="109"/>
      <c r="J271" s="57"/>
      <c r="K271" s="57"/>
      <c r="L271" s="57"/>
      <c r="M271" s="57"/>
      <c r="N271" s="57"/>
      <c r="O271" s="57"/>
      <c r="AA271" s="640" t="str">
        <f t="shared" si="28"/>
        <v/>
      </c>
      <c r="AB271" s="640" t="str">
        <f t="shared" si="30"/>
        <v/>
      </c>
      <c r="AC271" s="640"/>
      <c r="AD271" s="890" t="str">
        <f t="shared" si="31"/>
        <v/>
      </c>
      <c r="AE271" s="890" t="str">
        <f t="shared" si="32"/>
        <v/>
      </c>
      <c r="AF271" s="890" t="str">
        <f t="shared" si="33"/>
        <v/>
      </c>
      <c r="AG271" s="192">
        <f t="shared" si="29"/>
        <v>0</v>
      </c>
    </row>
    <row r="272" spans="1:33" x14ac:dyDescent="0.25">
      <c r="A272" s="109"/>
      <c r="B272" s="109"/>
      <c r="C272" s="109"/>
      <c r="J272" s="57"/>
      <c r="K272" s="57"/>
      <c r="L272" s="57"/>
      <c r="M272" s="57"/>
      <c r="N272" s="57"/>
      <c r="O272" s="57"/>
      <c r="AA272" s="640" t="str">
        <f t="shared" si="28"/>
        <v/>
      </c>
      <c r="AB272" s="640" t="str">
        <f t="shared" si="30"/>
        <v/>
      </c>
      <c r="AC272" s="640"/>
      <c r="AD272" s="890" t="str">
        <f t="shared" si="31"/>
        <v/>
      </c>
      <c r="AE272" s="890" t="str">
        <f t="shared" si="32"/>
        <v/>
      </c>
      <c r="AF272" s="890" t="str">
        <f t="shared" si="33"/>
        <v/>
      </c>
      <c r="AG272" s="192">
        <f t="shared" si="29"/>
        <v>0</v>
      </c>
    </row>
    <row r="273" spans="1:33" x14ac:dyDescent="0.25">
      <c r="A273" s="57"/>
      <c r="B273" s="57"/>
      <c r="C273" s="109"/>
      <c r="F273" s="57"/>
      <c r="J273" s="57"/>
      <c r="K273" s="57"/>
      <c r="L273" s="57"/>
      <c r="M273" s="57"/>
      <c r="N273" s="57"/>
      <c r="O273" s="57"/>
      <c r="AA273" s="640" t="str">
        <f t="shared" si="28"/>
        <v/>
      </c>
      <c r="AB273" s="640" t="str">
        <f t="shared" si="30"/>
        <v/>
      </c>
      <c r="AC273" s="640"/>
      <c r="AD273" s="890" t="str">
        <f t="shared" si="31"/>
        <v/>
      </c>
      <c r="AE273" s="890" t="str">
        <f t="shared" si="32"/>
        <v/>
      </c>
      <c r="AF273" s="890" t="str">
        <f t="shared" si="33"/>
        <v/>
      </c>
      <c r="AG273" s="192">
        <f t="shared" si="29"/>
        <v>0</v>
      </c>
    </row>
    <row r="274" spans="1:33" x14ac:dyDescent="0.25">
      <c r="A274" s="57"/>
      <c r="B274" s="57"/>
      <c r="C274" s="109"/>
      <c r="F274" s="57"/>
      <c r="J274" s="57"/>
      <c r="K274" s="57"/>
      <c r="L274" s="57"/>
      <c r="M274" s="57"/>
      <c r="N274" s="57"/>
      <c r="O274" s="57"/>
      <c r="AA274" s="640" t="str">
        <f t="shared" si="28"/>
        <v/>
      </c>
      <c r="AB274" s="640" t="str">
        <f t="shared" si="30"/>
        <v/>
      </c>
      <c r="AC274" s="640"/>
      <c r="AD274" s="890" t="str">
        <f t="shared" si="31"/>
        <v/>
      </c>
      <c r="AE274" s="890" t="str">
        <f t="shared" si="32"/>
        <v/>
      </c>
      <c r="AF274" s="890" t="str">
        <f t="shared" si="33"/>
        <v/>
      </c>
      <c r="AG274" s="192">
        <f t="shared" si="29"/>
        <v>0</v>
      </c>
    </row>
    <row r="275" spans="1:33" x14ac:dyDescent="0.25">
      <c r="A275" s="57"/>
      <c r="B275" s="57"/>
      <c r="C275" s="109"/>
      <c r="F275" s="57"/>
      <c r="J275" s="57"/>
      <c r="K275" s="57"/>
      <c r="L275" s="57"/>
      <c r="M275" s="57"/>
      <c r="N275" s="57"/>
      <c r="O275" s="57"/>
      <c r="AA275" s="640" t="str">
        <f t="shared" si="28"/>
        <v/>
      </c>
      <c r="AB275" s="640" t="str">
        <f t="shared" si="30"/>
        <v/>
      </c>
      <c r="AC275" s="640"/>
      <c r="AD275" s="890" t="str">
        <f t="shared" si="31"/>
        <v/>
      </c>
      <c r="AE275" s="890" t="str">
        <f t="shared" si="32"/>
        <v/>
      </c>
      <c r="AF275" s="890" t="str">
        <f t="shared" si="33"/>
        <v/>
      </c>
      <c r="AG275" s="192">
        <f t="shared" si="29"/>
        <v>0</v>
      </c>
    </row>
    <row r="276" spans="1:33" x14ac:dyDescent="0.25">
      <c r="A276" s="57"/>
      <c r="B276" s="57"/>
      <c r="C276" s="109"/>
      <c r="F276" s="57"/>
      <c r="J276" s="57"/>
      <c r="K276" s="57"/>
      <c r="L276" s="57"/>
      <c r="M276" s="57"/>
      <c r="N276" s="57"/>
      <c r="O276" s="57"/>
      <c r="AA276" s="640" t="str">
        <f t="shared" si="28"/>
        <v/>
      </c>
      <c r="AB276" s="640" t="str">
        <f t="shared" si="30"/>
        <v/>
      </c>
      <c r="AC276" s="640"/>
      <c r="AD276" s="890" t="str">
        <f t="shared" si="31"/>
        <v/>
      </c>
      <c r="AE276" s="890" t="str">
        <f t="shared" si="32"/>
        <v/>
      </c>
      <c r="AF276" s="890" t="str">
        <f t="shared" si="33"/>
        <v/>
      </c>
      <c r="AG276" s="192">
        <f t="shared" si="29"/>
        <v>0</v>
      </c>
    </row>
    <row r="277" spans="1:33" x14ac:dyDescent="0.25">
      <c r="A277" s="57"/>
      <c r="B277" s="57"/>
      <c r="C277" s="109"/>
      <c r="F277" s="57"/>
      <c r="J277" s="57"/>
      <c r="K277" s="57"/>
      <c r="L277" s="57"/>
      <c r="M277" s="57"/>
      <c r="N277" s="57"/>
      <c r="O277" s="57"/>
      <c r="AA277" s="640" t="str">
        <f t="shared" si="28"/>
        <v/>
      </c>
      <c r="AB277" s="640" t="str">
        <f t="shared" si="30"/>
        <v/>
      </c>
      <c r="AC277" s="640"/>
      <c r="AD277" s="890" t="str">
        <f t="shared" si="31"/>
        <v/>
      </c>
      <c r="AE277" s="890" t="str">
        <f t="shared" si="32"/>
        <v/>
      </c>
      <c r="AF277" s="890" t="str">
        <f t="shared" si="33"/>
        <v/>
      </c>
      <c r="AG277" s="192">
        <f t="shared" si="29"/>
        <v>0</v>
      </c>
    </row>
    <row r="278" spans="1:33" x14ac:dyDescent="0.25">
      <c r="A278" s="57"/>
      <c r="B278" s="57"/>
      <c r="C278" s="109"/>
      <c r="F278" s="57"/>
      <c r="J278" s="57"/>
      <c r="K278" s="57"/>
      <c r="L278" s="57"/>
      <c r="M278" s="57"/>
      <c r="N278" s="57"/>
      <c r="O278" s="57"/>
      <c r="AA278" s="640" t="str">
        <f t="shared" si="28"/>
        <v/>
      </c>
      <c r="AB278" s="640" t="str">
        <f t="shared" si="30"/>
        <v/>
      </c>
      <c r="AC278" s="640"/>
      <c r="AD278" s="890" t="str">
        <f t="shared" si="31"/>
        <v/>
      </c>
      <c r="AE278" s="890" t="str">
        <f t="shared" si="32"/>
        <v/>
      </c>
      <c r="AF278" s="890" t="str">
        <f t="shared" si="33"/>
        <v/>
      </c>
      <c r="AG278" s="192">
        <f t="shared" si="29"/>
        <v>0</v>
      </c>
    </row>
    <row r="279" spans="1:33" x14ac:dyDescent="0.25">
      <c r="A279" s="57"/>
      <c r="B279" s="57"/>
      <c r="C279" s="109"/>
      <c r="F279" s="57"/>
      <c r="J279" s="57"/>
      <c r="K279" s="57"/>
      <c r="L279" s="57"/>
      <c r="M279" s="57"/>
      <c r="N279" s="57"/>
      <c r="O279" s="57"/>
      <c r="AA279" s="640" t="str">
        <f t="shared" si="28"/>
        <v/>
      </c>
      <c r="AB279" s="640" t="str">
        <f t="shared" si="30"/>
        <v/>
      </c>
      <c r="AC279" s="640"/>
      <c r="AD279" s="890" t="str">
        <f t="shared" si="31"/>
        <v/>
      </c>
      <c r="AE279" s="890" t="str">
        <f t="shared" si="32"/>
        <v/>
      </c>
      <c r="AF279" s="890" t="str">
        <f t="shared" si="33"/>
        <v/>
      </c>
      <c r="AG279" s="192">
        <f t="shared" si="29"/>
        <v>0</v>
      </c>
    </row>
    <row r="280" spans="1:33" x14ac:dyDescent="0.25">
      <c r="A280" s="57"/>
      <c r="B280" s="57"/>
      <c r="C280" s="109"/>
      <c r="F280" s="57"/>
      <c r="J280" s="57"/>
      <c r="K280" s="57"/>
      <c r="L280" s="57"/>
      <c r="M280" s="57"/>
      <c r="N280" s="57"/>
      <c r="O280" s="57"/>
      <c r="AA280" s="640" t="str">
        <f t="shared" si="28"/>
        <v/>
      </c>
      <c r="AB280" s="640" t="str">
        <f t="shared" si="30"/>
        <v/>
      </c>
      <c r="AC280" s="640"/>
      <c r="AD280" s="890" t="str">
        <f t="shared" si="31"/>
        <v/>
      </c>
      <c r="AE280" s="890" t="str">
        <f t="shared" si="32"/>
        <v/>
      </c>
      <c r="AF280" s="890" t="str">
        <f t="shared" si="33"/>
        <v/>
      </c>
      <c r="AG280" s="192">
        <f t="shared" si="29"/>
        <v>0</v>
      </c>
    </row>
    <row r="281" spans="1:33" x14ac:dyDescent="0.25">
      <c r="A281" s="57"/>
      <c r="B281" s="57"/>
      <c r="C281" s="109"/>
      <c r="F281" s="57"/>
      <c r="J281" s="57"/>
      <c r="K281" s="57"/>
      <c r="L281" s="57"/>
      <c r="M281" s="57"/>
      <c r="N281" s="57"/>
      <c r="O281" s="57"/>
      <c r="AA281" s="640" t="str">
        <f t="shared" si="28"/>
        <v/>
      </c>
      <c r="AB281" s="640" t="str">
        <f t="shared" si="30"/>
        <v/>
      </c>
      <c r="AC281" s="640"/>
      <c r="AD281" s="890" t="str">
        <f t="shared" si="31"/>
        <v/>
      </c>
      <c r="AE281" s="890" t="str">
        <f t="shared" si="32"/>
        <v/>
      </c>
      <c r="AF281" s="890" t="str">
        <f t="shared" si="33"/>
        <v/>
      </c>
      <c r="AG281" s="192">
        <f t="shared" si="29"/>
        <v>0</v>
      </c>
    </row>
    <row r="282" spans="1:33" x14ac:dyDescent="0.25">
      <c r="A282" s="57"/>
      <c r="B282" s="57"/>
      <c r="C282" s="109"/>
      <c r="F282" s="57"/>
      <c r="J282" s="57"/>
      <c r="K282" s="57"/>
      <c r="L282" s="57"/>
      <c r="M282" s="57"/>
      <c r="N282" s="57"/>
      <c r="O282" s="57"/>
      <c r="AA282" s="640" t="str">
        <f t="shared" si="28"/>
        <v/>
      </c>
      <c r="AB282" s="640" t="str">
        <f t="shared" si="30"/>
        <v/>
      </c>
      <c r="AC282" s="640"/>
      <c r="AD282" s="890" t="str">
        <f t="shared" si="31"/>
        <v/>
      </c>
      <c r="AE282" s="890" t="str">
        <f t="shared" si="32"/>
        <v/>
      </c>
      <c r="AF282" s="890" t="str">
        <f t="shared" si="33"/>
        <v/>
      </c>
      <c r="AG282" s="192">
        <f t="shared" si="29"/>
        <v>0</v>
      </c>
    </row>
    <row r="283" spans="1:33" x14ac:dyDescent="0.25">
      <c r="A283" s="57"/>
      <c r="B283" s="57"/>
      <c r="C283" s="109"/>
      <c r="F283" s="57"/>
      <c r="J283" s="57"/>
      <c r="K283" s="57"/>
      <c r="L283" s="57"/>
      <c r="M283" s="57"/>
      <c r="N283" s="57"/>
      <c r="O283" s="57"/>
      <c r="AA283" s="640" t="str">
        <f t="shared" si="28"/>
        <v/>
      </c>
      <c r="AB283" s="640" t="str">
        <f t="shared" si="30"/>
        <v/>
      </c>
      <c r="AC283" s="640"/>
      <c r="AD283" s="890" t="str">
        <f t="shared" si="31"/>
        <v/>
      </c>
      <c r="AE283" s="890" t="str">
        <f t="shared" si="32"/>
        <v/>
      </c>
      <c r="AF283" s="890" t="str">
        <f t="shared" si="33"/>
        <v/>
      </c>
      <c r="AG283" s="192">
        <f t="shared" si="29"/>
        <v>0</v>
      </c>
    </row>
    <row r="284" spans="1:33" x14ac:dyDescent="0.25">
      <c r="A284" s="57"/>
      <c r="B284" s="57"/>
      <c r="C284" s="109"/>
      <c r="F284" s="57"/>
      <c r="J284" s="57"/>
      <c r="K284" s="57"/>
      <c r="L284" s="57"/>
      <c r="M284" s="57"/>
      <c r="N284" s="57"/>
      <c r="O284" s="57"/>
      <c r="AA284" s="640" t="str">
        <f t="shared" si="28"/>
        <v/>
      </c>
      <c r="AB284" s="640" t="str">
        <f t="shared" si="30"/>
        <v/>
      </c>
      <c r="AC284" s="640"/>
      <c r="AD284" s="890" t="str">
        <f t="shared" si="31"/>
        <v/>
      </c>
      <c r="AE284" s="890" t="str">
        <f t="shared" si="32"/>
        <v/>
      </c>
      <c r="AF284" s="890" t="str">
        <f t="shared" si="33"/>
        <v/>
      </c>
      <c r="AG284" s="192">
        <f t="shared" si="29"/>
        <v>0</v>
      </c>
    </row>
    <row r="285" spans="1:33" x14ac:dyDescent="0.25">
      <c r="A285" s="57"/>
      <c r="B285" s="57"/>
      <c r="C285" s="109"/>
      <c r="F285" s="57"/>
      <c r="J285" s="57"/>
      <c r="K285" s="57"/>
      <c r="L285" s="57"/>
      <c r="M285" s="57"/>
      <c r="N285" s="57"/>
      <c r="O285" s="57"/>
      <c r="AA285" s="640" t="str">
        <f t="shared" si="28"/>
        <v/>
      </c>
      <c r="AB285" s="640" t="str">
        <f t="shared" si="30"/>
        <v/>
      </c>
      <c r="AC285" s="640"/>
      <c r="AD285" s="890" t="str">
        <f t="shared" si="31"/>
        <v/>
      </c>
      <c r="AE285" s="890" t="str">
        <f t="shared" si="32"/>
        <v/>
      </c>
      <c r="AF285" s="890" t="str">
        <f t="shared" si="33"/>
        <v/>
      </c>
      <c r="AG285" s="192">
        <f t="shared" si="29"/>
        <v>0</v>
      </c>
    </row>
    <row r="286" spans="1:33" x14ac:dyDescent="0.25">
      <c r="A286" s="57"/>
      <c r="B286" s="57"/>
      <c r="C286" s="109"/>
      <c r="F286" s="57"/>
      <c r="J286" s="57"/>
      <c r="K286" s="57"/>
      <c r="L286" s="57"/>
      <c r="M286" s="57"/>
      <c r="N286" s="57"/>
      <c r="O286" s="57"/>
      <c r="AA286" s="640" t="str">
        <f t="shared" si="28"/>
        <v/>
      </c>
      <c r="AB286" s="640" t="str">
        <f t="shared" si="30"/>
        <v/>
      </c>
      <c r="AC286" s="640"/>
      <c r="AD286" s="890" t="str">
        <f t="shared" si="31"/>
        <v/>
      </c>
      <c r="AE286" s="890" t="str">
        <f t="shared" si="32"/>
        <v/>
      </c>
      <c r="AF286" s="890" t="str">
        <f t="shared" si="33"/>
        <v/>
      </c>
      <c r="AG286" s="192">
        <f t="shared" si="29"/>
        <v>0</v>
      </c>
    </row>
    <row r="287" spans="1:33" x14ac:dyDescent="0.25">
      <c r="A287" s="57"/>
      <c r="B287" s="57"/>
      <c r="C287" s="109"/>
      <c r="F287" s="57"/>
      <c r="J287" s="57"/>
      <c r="K287" s="57"/>
      <c r="L287" s="57"/>
      <c r="M287" s="57"/>
      <c r="N287" s="57"/>
      <c r="O287" s="57"/>
      <c r="AA287" s="640" t="str">
        <f t="shared" si="28"/>
        <v/>
      </c>
      <c r="AB287" s="640" t="str">
        <f t="shared" si="30"/>
        <v/>
      </c>
      <c r="AC287" s="640"/>
      <c r="AD287" s="890" t="str">
        <f t="shared" si="31"/>
        <v/>
      </c>
      <c r="AE287" s="890" t="str">
        <f t="shared" si="32"/>
        <v/>
      </c>
      <c r="AF287" s="890" t="str">
        <f t="shared" si="33"/>
        <v/>
      </c>
      <c r="AG287" s="192">
        <f t="shared" si="29"/>
        <v>0</v>
      </c>
    </row>
    <row r="288" spans="1:33" x14ac:dyDescent="0.25">
      <c r="A288" s="57"/>
      <c r="B288" s="57"/>
      <c r="C288" s="109"/>
      <c r="F288" s="57"/>
      <c r="J288" s="57"/>
      <c r="K288" s="57"/>
      <c r="L288" s="57"/>
      <c r="M288" s="57"/>
      <c r="N288" s="57"/>
      <c r="O288" s="57"/>
      <c r="AA288" s="640" t="str">
        <f t="shared" si="28"/>
        <v/>
      </c>
      <c r="AB288" s="640" t="str">
        <f t="shared" si="30"/>
        <v/>
      </c>
      <c r="AC288" s="640"/>
      <c r="AD288" s="890" t="str">
        <f t="shared" si="31"/>
        <v/>
      </c>
      <c r="AE288" s="890" t="str">
        <f t="shared" si="32"/>
        <v/>
      </c>
      <c r="AF288" s="890" t="str">
        <f t="shared" si="33"/>
        <v/>
      </c>
      <c r="AG288" s="192">
        <f t="shared" si="29"/>
        <v>0</v>
      </c>
    </row>
    <row r="289" spans="1:33" x14ac:dyDescent="0.25">
      <c r="A289" s="57"/>
      <c r="B289" s="57"/>
      <c r="C289" s="109"/>
      <c r="F289" s="57"/>
      <c r="J289" s="57"/>
      <c r="K289" s="57"/>
      <c r="L289" s="57"/>
      <c r="M289" s="57"/>
      <c r="N289" s="57"/>
      <c r="O289" s="57"/>
      <c r="AA289" s="640" t="str">
        <f t="shared" si="28"/>
        <v/>
      </c>
      <c r="AB289" s="640" t="str">
        <f t="shared" si="30"/>
        <v/>
      </c>
      <c r="AC289" s="640"/>
      <c r="AD289" s="890" t="str">
        <f t="shared" si="31"/>
        <v/>
      </c>
      <c r="AE289" s="890" t="str">
        <f t="shared" si="32"/>
        <v/>
      </c>
      <c r="AF289" s="890" t="str">
        <f t="shared" si="33"/>
        <v/>
      </c>
      <c r="AG289" s="192">
        <f t="shared" si="29"/>
        <v>0</v>
      </c>
    </row>
    <row r="290" spans="1:33" x14ac:dyDescent="0.25">
      <c r="A290" s="57"/>
      <c r="B290" s="57"/>
      <c r="C290" s="109"/>
      <c r="F290" s="57"/>
      <c r="J290" s="57"/>
      <c r="K290" s="57"/>
      <c r="L290" s="57"/>
      <c r="M290" s="57"/>
      <c r="N290" s="57"/>
      <c r="O290" s="57"/>
      <c r="AA290" s="640" t="str">
        <f t="shared" si="28"/>
        <v/>
      </c>
      <c r="AB290" s="640" t="str">
        <f t="shared" si="30"/>
        <v/>
      </c>
      <c r="AC290" s="640"/>
      <c r="AD290" s="890" t="str">
        <f t="shared" si="31"/>
        <v/>
      </c>
      <c r="AE290" s="890" t="str">
        <f t="shared" si="32"/>
        <v/>
      </c>
      <c r="AF290" s="890" t="str">
        <f t="shared" si="33"/>
        <v/>
      </c>
      <c r="AG290" s="192">
        <f t="shared" si="29"/>
        <v>0</v>
      </c>
    </row>
    <row r="291" spans="1:33" x14ac:dyDescent="0.25">
      <c r="A291" s="57"/>
      <c r="B291" s="57"/>
      <c r="C291" s="109"/>
      <c r="F291" s="57"/>
      <c r="J291" s="57"/>
      <c r="K291" s="57"/>
      <c r="L291" s="57"/>
      <c r="M291" s="57"/>
      <c r="N291" s="57"/>
      <c r="O291" s="57"/>
      <c r="AA291" s="640" t="str">
        <f t="shared" si="28"/>
        <v/>
      </c>
      <c r="AB291" s="640" t="str">
        <f t="shared" si="30"/>
        <v/>
      </c>
      <c r="AC291" s="640"/>
      <c r="AD291" s="890" t="str">
        <f t="shared" si="31"/>
        <v/>
      </c>
      <c r="AE291" s="890" t="str">
        <f t="shared" si="32"/>
        <v/>
      </c>
      <c r="AF291" s="890" t="str">
        <f t="shared" si="33"/>
        <v/>
      </c>
      <c r="AG291" s="192">
        <f t="shared" si="29"/>
        <v>0</v>
      </c>
    </row>
    <row r="292" spans="1:33" x14ac:dyDescent="0.25">
      <c r="A292" s="57"/>
      <c r="B292" s="57"/>
      <c r="C292" s="109"/>
      <c r="F292" s="57"/>
      <c r="J292" s="57"/>
      <c r="K292" s="57"/>
      <c r="L292" s="57"/>
      <c r="M292" s="57"/>
      <c r="N292" s="57"/>
      <c r="O292" s="57"/>
      <c r="AA292" s="640" t="str">
        <f t="shared" si="28"/>
        <v/>
      </c>
      <c r="AB292" s="640" t="str">
        <f t="shared" si="30"/>
        <v/>
      </c>
      <c r="AC292" s="640"/>
      <c r="AD292" s="890" t="str">
        <f t="shared" si="31"/>
        <v/>
      </c>
      <c r="AE292" s="890" t="str">
        <f t="shared" si="32"/>
        <v/>
      </c>
      <c r="AF292" s="890" t="str">
        <f t="shared" si="33"/>
        <v/>
      </c>
      <c r="AG292" s="192">
        <f t="shared" si="29"/>
        <v>0</v>
      </c>
    </row>
    <row r="293" spans="1:33" x14ac:dyDescent="0.25">
      <c r="A293" s="57"/>
      <c r="B293" s="57"/>
      <c r="C293" s="109"/>
      <c r="F293" s="57"/>
      <c r="J293" s="57"/>
      <c r="K293" s="57"/>
      <c r="L293" s="57"/>
      <c r="M293" s="57"/>
      <c r="N293" s="57"/>
      <c r="O293" s="57"/>
      <c r="AA293" s="640" t="str">
        <f t="shared" si="28"/>
        <v/>
      </c>
      <c r="AB293" s="640" t="str">
        <f t="shared" si="30"/>
        <v/>
      </c>
      <c r="AC293" s="640"/>
      <c r="AD293" s="890" t="str">
        <f t="shared" si="31"/>
        <v/>
      </c>
      <c r="AE293" s="890" t="str">
        <f t="shared" si="32"/>
        <v/>
      </c>
      <c r="AF293" s="890" t="str">
        <f t="shared" si="33"/>
        <v/>
      </c>
      <c r="AG293" s="192">
        <f t="shared" si="29"/>
        <v>0</v>
      </c>
    </row>
    <row r="294" spans="1:33" x14ac:dyDescent="0.25">
      <c r="A294" s="57"/>
      <c r="B294" s="57"/>
      <c r="C294" s="109"/>
      <c r="F294" s="57"/>
      <c r="J294" s="57"/>
      <c r="K294" s="57"/>
      <c r="L294" s="57"/>
      <c r="M294" s="57"/>
      <c r="N294" s="57"/>
      <c r="O294" s="57"/>
      <c r="AA294" s="640" t="str">
        <f t="shared" si="28"/>
        <v/>
      </c>
      <c r="AB294" s="640" t="str">
        <f t="shared" si="30"/>
        <v/>
      </c>
      <c r="AC294" s="640"/>
      <c r="AD294" s="890" t="str">
        <f t="shared" si="31"/>
        <v/>
      </c>
      <c r="AE294" s="890" t="str">
        <f t="shared" si="32"/>
        <v/>
      </c>
      <c r="AF294" s="890" t="str">
        <f t="shared" si="33"/>
        <v/>
      </c>
      <c r="AG294" s="192">
        <f t="shared" si="29"/>
        <v>0</v>
      </c>
    </row>
    <row r="295" spans="1:33" x14ac:dyDescent="0.25">
      <c r="A295" s="57"/>
      <c r="B295" s="57"/>
      <c r="C295" s="109"/>
      <c r="F295" s="57"/>
      <c r="J295" s="57"/>
      <c r="K295" s="57"/>
      <c r="L295" s="57"/>
      <c r="M295" s="57"/>
      <c r="N295" s="57"/>
      <c r="O295" s="57"/>
      <c r="AA295" s="640" t="str">
        <f t="shared" si="28"/>
        <v/>
      </c>
      <c r="AB295" s="640" t="str">
        <f t="shared" si="30"/>
        <v/>
      </c>
      <c r="AC295" s="640"/>
      <c r="AD295" s="890" t="str">
        <f t="shared" si="31"/>
        <v/>
      </c>
      <c r="AE295" s="890" t="str">
        <f t="shared" si="32"/>
        <v/>
      </c>
      <c r="AF295" s="890" t="str">
        <f t="shared" si="33"/>
        <v/>
      </c>
      <c r="AG295" s="192">
        <f t="shared" si="29"/>
        <v>0</v>
      </c>
    </row>
    <row r="296" spans="1:33" x14ac:dyDescent="0.25">
      <c r="A296" s="57"/>
      <c r="B296" s="57"/>
      <c r="C296" s="109"/>
      <c r="F296" s="57"/>
      <c r="J296" s="57"/>
      <c r="K296" s="57"/>
      <c r="L296" s="57"/>
      <c r="M296" s="57"/>
      <c r="N296" s="57"/>
      <c r="O296" s="57"/>
      <c r="AA296" s="640" t="str">
        <f t="shared" si="28"/>
        <v/>
      </c>
      <c r="AB296" s="640" t="str">
        <f t="shared" si="30"/>
        <v/>
      </c>
      <c r="AC296" s="640"/>
      <c r="AD296" s="890" t="str">
        <f t="shared" si="31"/>
        <v/>
      </c>
      <c r="AE296" s="890" t="str">
        <f t="shared" si="32"/>
        <v/>
      </c>
      <c r="AF296" s="890" t="str">
        <f t="shared" si="33"/>
        <v/>
      </c>
      <c r="AG296" s="192">
        <f t="shared" si="29"/>
        <v>0</v>
      </c>
    </row>
    <row r="297" spans="1:33" x14ac:dyDescent="0.25">
      <c r="A297" s="57"/>
      <c r="B297" s="57"/>
      <c r="C297" s="109"/>
      <c r="F297" s="57"/>
      <c r="J297" s="57"/>
      <c r="K297" s="57"/>
      <c r="L297" s="57"/>
      <c r="M297" s="57"/>
      <c r="N297" s="57"/>
      <c r="O297" s="57"/>
      <c r="AA297" s="640" t="str">
        <f t="shared" si="28"/>
        <v/>
      </c>
      <c r="AB297" s="640" t="str">
        <f t="shared" si="30"/>
        <v/>
      </c>
      <c r="AC297" s="640"/>
      <c r="AD297" s="890" t="str">
        <f t="shared" si="31"/>
        <v/>
      </c>
      <c r="AE297" s="890" t="str">
        <f t="shared" si="32"/>
        <v/>
      </c>
      <c r="AF297" s="890" t="str">
        <f t="shared" si="33"/>
        <v/>
      </c>
      <c r="AG297" s="192">
        <f t="shared" si="29"/>
        <v>0</v>
      </c>
    </row>
    <row r="298" spans="1:33" x14ac:dyDescent="0.25">
      <c r="A298" s="57"/>
      <c r="B298" s="57"/>
      <c r="C298" s="109"/>
      <c r="F298" s="57"/>
      <c r="J298" s="57"/>
      <c r="K298" s="57"/>
      <c r="L298" s="57"/>
      <c r="M298" s="57"/>
      <c r="N298" s="57"/>
      <c r="O298" s="57"/>
      <c r="AA298" s="640" t="str">
        <f t="shared" si="28"/>
        <v/>
      </c>
      <c r="AB298" s="640" t="str">
        <f t="shared" si="30"/>
        <v/>
      </c>
      <c r="AC298" s="640"/>
      <c r="AD298" s="890" t="str">
        <f t="shared" si="31"/>
        <v/>
      </c>
      <c r="AE298" s="890" t="str">
        <f t="shared" si="32"/>
        <v/>
      </c>
      <c r="AF298" s="890" t="str">
        <f t="shared" si="33"/>
        <v/>
      </c>
      <c r="AG298" s="192">
        <f t="shared" si="29"/>
        <v>0</v>
      </c>
    </row>
    <row r="299" spans="1:33" x14ac:dyDescent="0.25">
      <c r="A299" s="57"/>
      <c r="B299" s="57"/>
      <c r="C299" s="109"/>
      <c r="F299" s="57"/>
      <c r="J299" s="57"/>
      <c r="K299" s="57"/>
      <c r="L299" s="57"/>
      <c r="M299" s="57"/>
      <c r="N299" s="57"/>
      <c r="O299" s="57"/>
      <c r="AA299" s="640" t="str">
        <f t="shared" si="28"/>
        <v/>
      </c>
      <c r="AB299" s="640" t="str">
        <f t="shared" si="30"/>
        <v/>
      </c>
      <c r="AC299" s="640"/>
      <c r="AD299" s="890" t="str">
        <f t="shared" si="31"/>
        <v/>
      </c>
      <c r="AE299" s="890" t="str">
        <f t="shared" si="32"/>
        <v/>
      </c>
      <c r="AF299" s="890" t="str">
        <f t="shared" si="33"/>
        <v/>
      </c>
      <c r="AG299" s="192">
        <f t="shared" si="29"/>
        <v>0</v>
      </c>
    </row>
    <row r="300" spans="1:33" x14ac:dyDescent="0.25">
      <c r="A300" s="57"/>
      <c r="B300" s="57"/>
      <c r="C300" s="109"/>
      <c r="F300" s="57"/>
      <c r="J300" s="57"/>
      <c r="K300" s="57"/>
      <c r="L300" s="57"/>
      <c r="M300" s="57"/>
      <c r="N300" s="57"/>
      <c r="O300" s="57"/>
      <c r="AA300" s="640" t="str">
        <f t="shared" si="28"/>
        <v/>
      </c>
      <c r="AB300" s="640" t="str">
        <f t="shared" si="30"/>
        <v/>
      </c>
      <c r="AC300" s="640"/>
      <c r="AD300" s="890" t="str">
        <f t="shared" si="31"/>
        <v/>
      </c>
      <c r="AE300" s="890" t="str">
        <f t="shared" si="32"/>
        <v/>
      </c>
      <c r="AF300" s="890" t="str">
        <f t="shared" si="33"/>
        <v/>
      </c>
      <c r="AG300" s="192">
        <f t="shared" si="29"/>
        <v>0</v>
      </c>
    </row>
    <row r="301" spans="1:33" x14ac:dyDescent="0.25">
      <c r="A301" s="57"/>
      <c r="B301" s="57"/>
      <c r="C301" s="109"/>
      <c r="F301" s="57"/>
      <c r="J301" s="57"/>
      <c r="K301" s="57"/>
      <c r="L301" s="57"/>
      <c r="M301" s="57"/>
      <c r="N301" s="57"/>
      <c r="O301" s="57"/>
      <c r="AA301" s="640" t="str">
        <f t="shared" si="28"/>
        <v/>
      </c>
      <c r="AB301" s="640" t="str">
        <f t="shared" si="30"/>
        <v/>
      </c>
      <c r="AC301" s="640"/>
      <c r="AD301" s="890" t="str">
        <f t="shared" si="31"/>
        <v/>
      </c>
      <c r="AE301" s="890" t="str">
        <f t="shared" si="32"/>
        <v/>
      </c>
      <c r="AF301" s="890" t="str">
        <f t="shared" si="33"/>
        <v/>
      </c>
      <c r="AG301" s="192">
        <f t="shared" si="29"/>
        <v>0</v>
      </c>
    </row>
    <row r="302" spans="1:33" x14ac:dyDescent="0.25">
      <c r="A302" s="57"/>
      <c r="B302" s="57"/>
      <c r="C302" s="109"/>
      <c r="F302" s="57"/>
      <c r="J302" s="57"/>
      <c r="K302" s="57"/>
      <c r="L302" s="57"/>
      <c r="M302" s="57"/>
      <c r="N302" s="57"/>
      <c r="O302" s="57"/>
      <c r="AA302" s="640" t="str">
        <f t="shared" si="28"/>
        <v/>
      </c>
      <c r="AB302" s="640" t="str">
        <f t="shared" si="30"/>
        <v/>
      </c>
      <c r="AC302" s="640"/>
      <c r="AD302" s="890" t="str">
        <f t="shared" si="31"/>
        <v/>
      </c>
      <c r="AE302" s="890" t="str">
        <f t="shared" si="32"/>
        <v/>
      </c>
      <c r="AF302" s="890" t="str">
        <f t="shared" si="33"/>
        <v/>
      </c>
      <c r="AG302" s="192">
        <f t="shared" si="29"/>
        <v>0</v>
      </c>
    </row>
    <row r="303" spans="1:33" x14ac:dyDescent="0.25">
      <c r="A303" s="57"/>
      <c r="B303" s="57"/>
      <c r="C303" s="109"/>
      <c r="F303" s="57"/>
      <c r="J303" s="57"/>
      <c r="K303" s="57"/>
      <c r="L303" s="57"/>
      <c r="M303" s="57"/>
      <c r="N303" s="57"/>
      <c r="O303" s="57"/>
      <c r="AA303" s="640" t="str">
        <f t="shared" si="28"/>
        <v/>
      </c>
      <c r="AB303" s="640" t="str">
        <f t="shared" si="30"/>
        <v/>
      </c>
      <c r="AC303" s="640"/>
      <c r="AD303" s="890" t="str">
        <f t="shared" si="31"/>
        <v/>
      </c>
      <c r="AE303" s="890" t="str">
        <f t="shared" si="32"/>
        <v/>
      </c>
      <c r="AF303" s="890" t="str">
        <f t="shared" si="33"/>
        <v/>
      </c>
      <c r="AG303" s="192">
        <f t="shared" si="29"/>
        <v>0</v>
      </c>
    </row>
    <row r="304" spans="1:33" x14ac:dyDescent="0.25">
      <c r="A304" s="57"/>
      <c r="B304" s="57"/>
      <c r="C304" s="109"/>
      <c r="F304" s="57"/>
      <c r="J304" s="57"/>
      <c r="K304" s="57"/>
      <c r="L304" s="57"/>
      <c r="M304" s="57"/>
      <c r="N304" s="57"/>
      <c r="O304" s="57"/>
      <c r="AA304" s="640" t="str">
        <f t="shared" si="28"/>
        <v/>
      </c>
      <c r="AB304" s="640" t="str">
        <f t="shared" si="30"/>
        <v/>
      </c>
      <c r="AC304" s="640"/>
      <c r="AD304" s="890" t="str">
        <f t="shared" si="31"/>
        <v/>
      </c>
      <c r="AE304" s="890" t="str">
        <f t="shared" si="32"/>
        <v/>
      </c>
      <c r="AF304" s="890" t="str">
        <f t="shared" si="33"/>
        <v/>
      </c>
      <c r="AG304" s="192">
        <f t="shared" si="29"/>
        <v>0</v>
      </c>
    </row>
    <row r="305" spans="1:33" x14ac:dyDescent="0.25">
      <c r="A305" s="57"/>
      <c r="B305" s="57"/>
      <c r="C305" s="109"/>
      <c r="F305" s="57"/>
      <c r="J305" s="57"/>
      <c r="K305" s="57"/>
      <c r="L305" s="57"/>
      <c r="M305" s="57"/>
      <c r="N305" s="57"/>
      <c r="O305" s="57"/>
      <c r="AA305" s="640" t="str">
        <f t="shared" si="28"/>
        <v/>
      </c>
      <c r="AB305" s="640" t="str">
        <f t="shared" si="30"/>
        <v/>
      </c>
      <c r="AC305" s="640"/>
      <c r="AD305" s="890" t="str">
        <f t="shared" si="31"/>
        <v/>
      </c>
      <c r="AE305" s="890" t="str">
        <f t="shared" si="32"/>
        <v/>
      </c>
      <c r="AF305" s="890" t="str">
        <f t="shared" si="33"/>
        <v/>
      </c>
      <c r="AG305" s="192">
        <f t="shared" si="29"/>
        <v>0</v>
      </c>
    </row>
    <row r="306" spans="1:33" x14ac:dyDescent="0.25">
      <c r="A306" s="57"/>
      <c r="B306" s="57"/>
      <c r="C306" s="109"/>
      <c r="F306" s="57"/>
      <c r="J306" s="57"/>
      <c r="K306" s="57"/>
      <c r="L306" s="57"/>
      <c r="M306" s="57"/>
      <c r="N306" s="57"/>
      <c r="O306" s="57"/>
      <c r="AA306" s="640" t="str">
        <f t="shared" si="28"/>
        <v/>
      </c>
      <c r="AB306" s="640" t="str">
        <f t="shared" si="30"/>
        <v/>
      </c>
      <c r="AC306" s="640"/>
      <c r="AD306" s="890" t="str">
        <f t="shared" si="31"/>
        <v/>
      </c>
      <c r="AE306" s="890" t="str">
        <f t="shared" si="32"/>
        <v/>
      </c>
      <c r="AF306" s="890" t="str">
        <f t="shared" si="33"/>
        <v/>
      </c>
      <c r="AG306" s="192">
        <f t="shared" si="29"/>
        <v>0</v>
      </c>
    </row>
    <row r="307" spans="1:33" x14ac:dyDescent="0.25">
      <c r="A307" s="57"/>
      <c r="B307" s="57"/>
      <c r="C307" s="109"/>
      <c r="F307" s="57"/>
      <c r="J307" s="57"/>
      <c r="K307" s="57"/>
      <c r="L307" s="57"/>
      <c r="M307" s="57"/>
      <c r="N307" s="57"/>
      <c r="O307" s="57"/>
      <c r="AA307" s="640" t="str">
        <f t="shared" si="28"/>
        <v/>
      </c>
      <c r="AB307" s="640" t="str">
        <f t="shared" si="30"/>
        <v/>
      </c>
      <c r="AC307" s="640"/>
      <c r="AD307" s="890" t="str">
        <f t="shared" si="31"/>
        <v/>
      </c>
      <c r="AE307" s="890" t="str">
        <f t="shared" si="32"/>
        <v/>
      </c>
      <c r="AF307" s="890" t="str">
        <f t="shared" si="33"/>
        <v/>
      </c>
      <c r="AG307" s="192">
        <f t="shared" si="29"/>
        <v>0</v>
      </c>
    </row>
    <row r="308" spans="1:33" x14ac:dyDescent="0.25">
      <c r="A308" s="57"/>
      <c r="B308" s="57"/>
      <c r="C308" s="109"/>
      <c r="F308" s="57"/>
      <c r="J308" s="57"/>
      <c r="K308" s="57"/>
      <c r="L308" s="57"/>
      <c r="M308" s="57"/>
      <c r="N308" s="57"/>
      <c r="O308" s="57"/>
      <c r="AA308" s="640" t="str">
        <f t="shared" si="28"/>
        <v/>
      </c>
      <c r="AB308" s="640" t="str">
        <f t="shared" si="30"/>
        <v/>
      </c>
      <c r="AC308" s="640"/>
      <c r="AD308" s="890" t="str">
        <f t="shared" si="31"/>
        <v/>
      </c>
      <c r="AE308" s="890" t="str">
        <f t="shared" si="32"/>
        <v/>
      </c>
      <c r="AF308" s="890" t="str">
        <f t="shared" si="33"/>
        <v/>
      </c>
      <c r="AG308" s="192">
        <f t="shared" si="29"/>
        <v>0</v>
      </c>
    </row>
    <row r="309" spans="1:33" x14ac:dyDescent="0.25">
      <c r="A309" s="57"/>
      <c r="B309" s="57"/>
      <c r="C309" s="109"/>
      <c r="F309" s="57"/>
      <c r="J309" s="57"/>
      <c r="K309" s="57"/>
      <c r="L309" s="57"/>
      <c r="M309" s="57"/>
      <c r="N309" s="57"/>
      <c r="O309" s="57"/>
      <c r="AA309" s="640" t="str">
        <f t="shared" si="28"/>
        <v/>
      </c>
      <c r="AB309" s="640" t="str">
        <f t="shared" si="30"/>
        <v/>
      </c>
      <c r="AC309" s="640"/>
      <c r="AD309" s="890" t="str">
        <f t="shared" si="31"/>
        <v/>
      </c>
      <c r="AE309" s="890" t="str">
        <f t="shared" si="32"/>
        <v/>
      </c>
      <c r="AF309" s="890" t="str">
        <f t="shared" si="33"/>
        <v/>
      </c>
      <c r="AG309" s="192">
        <f t="shared" si="29"/>
        <v>0</v>
      </c>
    </row>
    <row r="310" spans="1:33" x14ac:dyDescent="0.25">
      <c r="A310" s="57"/>
      <c r="B310" s="57"/>
      <c r="C310" s="109"/>
      <c r="F310" s="57"/>
      <c r="J310" s="57"/>
      <c r="K310" s="57"/>
      <c r="L310" s="57"/>
      <c r="M310" s="57"/>
      <c r="N310" s="57"/>
      <c r="O310" s="57"/>
      <c r="AA310" s="640" t="str">
        <f t="shared" si="28"/>
        <v/>
      </c>
      <c r="AB310" s="640" t="str">
        <f t="shared" si="30"/>
        <v/>
      </c>
      <c r="AC310" s="640"/>
      <c r="AD310" s="890" t="str">
        <f t="shared" si="31"/>
        <v/>
      </c>
      <c r="AE310" s="890" t="str">
        <f t="shared" si="32"/>
        <v/>
      </c>
      <c r="AF310" s="890" t="str">
        <f t="shared" si="33"/>
        <v/>
      </c>
      <c r="AG310" s="192">
        <f t="shared" si="29"/>
        <v>0</v>
      </c>
    </row>
    <row r="311" spans="1:33" x14ac:dyDescent="0.25">
      <c r="A311" s="57"/>
      <c r="B311" s="57"/>
      <c r="C311" s="109"/>
      <c r="F311" s="57"/>
      <c r="J311" s="57"/>
      <c r="K311" s="57"/>
      <c r="L311" s="57"/>
      <c r="M311" s="57"/>
      <c r="N311" s="57"/>
      <c r="O311" s="57"/>
      <c r="AA311" s="640" t="str">
        <f t="shared" si="28"/>
        <v/>
      </c>
      <c r="AB311" s="640" t="str">
        <f t="shared" si="30"/>
        <v/>
      </c>
      <c r="AC311" s="640"/>
      <c r="AD311" s="890" t="str">
        <f t="shared" si="31"/>
        <v/>
      </c>
      <c r="AE311" s="890" t="str">
        <f t="shared" si="32"/>
        <v/>
      </c>
      <c r="AF311" s="890" t="str">
        <f t="shared" si="33"/>
        <v/>
      </c>
      <c r="AG311" s="192">
        <f t="shared" si="29"/>
        <v>0</v>
      </c>
    </row>
    <row r="312" spans="1:33" x14ac:dyDescent="0.25">
      <c r="A312" s="57"/>
      <c r="B312" s="57"/>
      <c r="C312" s="109"/>
      <c r="F312" s="57"/>
      <c r="J312" s="57"/>
      <c r="K312" s="57"/>
      <c r="L312" s="57"/>
      <c r="M312" s="57"/>
      <c r="N312" s="57"/>
      <c r="O312" s="57"/>
      <c r="AA312" s="640" t="str">
        <f t="shared" si="28"/>
        <v/>
      </c>
      <c r="AB312" s="640" t="str">
        <f t="shared" si="30"/>
        <v/>
      </c>
      <c r="AC312" s="640"/>
      <c r="AD312" s="890" t="str">
        <f t="shared" si="31"/>
        <v/>
      </c>
      <c r="AE312" s="890" t="str">
        <f t="shared" si="32"/>
        <v/>
      </c>
      <c r="AF312" s="890" t="str">
        <f t="shared" si="33"/>
        <v/>
      </c>
      <c r="AG312" s="192">
        <f t="shared" si="29"/>
        <v>0</v>
      </c>
    </row>
    <row r="313" spans="1:33" x14ac:dyDescent="0.25">
      <c r="A313" s="57"/>
      <c r="B313" s="57"/>
      <c r="C313" s="109"/>
      <c r="F313" s="57"/>
      <c r="J313" s="57"/>
      <c r="K313" s="57"/>
      <c r="L313" s="57"/>
      <c r="M313" s="57"/>
      <c r="N313" s="57"/>
      <c r="O313" s="57"/>
      <c r="AA313" s="640" t="str">
        <f t="shared" si="28"/>
        <v/>
      </c>
      <c r="AB313" s="640" t="str">
        <f t="shared" si="30"/>
        <v/>
      </c>
      <c r="AC313" s="640"/>
      <c r="AD313" s="890" t="str">
        <f t="shared" si="31"/>
        <v/>
      </c>
      <c r="AE313" s="890" t="str">
        <f t="shared" si="32"/>
        <v/>
      </c>
      <c r="AF313" s="890" t="str">
        <f t="shared" si="33"/>
        <v/>
      </c>
      <c r="AG313" s="192">
        <f t="shared" si="29"/>
        <v>0</v>
      </c>
    </row>
    <row r="314" spans="1:33" x14ac:dyDescent="0.25">
      <c r="A314" s="57"/>
      <c r="B314" s="57"/>
      <c r="C314" s="109"/>
      <c r="F314" s="57"/>
      <c r="J314" s="57"/>
      <c r="K314" s="57"/>
      <c r="L314" s="57"/>
      <c r="M314" s="57"/>
      <c r="N314" s="57"/>
      <c r="O314" s="57"/>
      <c r="AA314" s="640" t="str">
        <f t="shared" si="28"/>
        <v/>
      </c>
      <c r="AB314" s="640" t="str">
        <f t="shared" si="30"/>
        <v/>
      </c>
      <c r="AC314" s="640"/>
      <c r="AD314" s="890" t="str">
        <f t="shared" si="31"/>
        <v/>
      </c>
      <c r="AE314" s="890" t="str">
        <f t="shared" si="32"/>
        <v/>
      </c>
      <c r="AF314" s="890" t="str">
        <f t="shared" si="33"/>
        <v/>
      </c>
      <c r="AG314" s="192">
        <f t="shared" si="29"/>
        <v>0</v>
      </c>
    </row>
    <row r="315" spans="1:33" x14ac:dyDescent="0.25">
      <c r="A315" s="57"/>
      <c r="B315" s="57"/>
      <c r="C315" s="109"/>
      <c r="F315" s="57"/>
      <c r="J315" s="57"/>
      <c r="K315" s="57"/>
      <c r="L315" s="57"/>
      <c r="M315" s="57"/>
      <c r="N315" s="57"/>
      <c r="O315" s="57"/>
      <c r="AA315" s="640" t="str">
        <f t="shared" si="28"/>
        <v/>
      </c>
      <c r="AB315" s="640" t="str">
        <f t="shared" si="30"/>
        <v/>
      </c>
      <c r="AC315" s="640"/>
      <c r="AD315" s="890" t="str">
        <f t="shared" si="31"/>
        <v/>
      </c>
      <c r="AE315" s="890" t="str">
        <f t="shared" si="32"/>
        <v/>
      </c>
      <c r="AF315" s="890" t="str">
        <f t="shared" si="33"/>
        <v/>
      </c>
      <c r="AG315" s="192">
        <f t="shared" si="29"/>
        <v>0</v>
      </c>
    </row>
    <row r="316" spans="1:33" x14ac:dyDescent="0.25">
      <c r="A316" s="57"/>
      <c r="B316" s="57"/>
      <c r="C316" s="109"/>
      <c r="F316" s="57"/>
      <c r="J316" s="57"/>
      <c r="K316" s="57"/>
      <c r="L316" s="57"/>
      <c r="M316" s="57"/>
      <c r="N316" s="57"/>
      <c r="O316" s="57"/>
      <c r="AA316" s="640" t="str">
        <f t="shared" si="28"/>
        <v/>
      </c>
      <c r="AB316" s="640" t="str">
        <f t="shared" si="30"/>
        <v/>
      </c>
      <c r="AC316" s="640"/>
      <c r="AD316" s="890" t="str">
        <f t="shared" si="31"/>
        <v/>
      </c>
      <c r="AE316" s="890" t="str">
        <f t="shared" si="32"/>
        <v/>
      </c>
      <c r="AF316" s="890" t="str">
        <f t="shared" si="33"/>
        <v/>
      </c>
      <c r="AG316" s="192">
        <f t="shared" si="29"/>
        <v>0</v>
      </c>
    </row>
    <row r="317" spans="1:33" x14ac:dyDescent="0.25">
      <c r="A317" s="57"/>
      <c r="B317" s="57"/>
      <c r="C317" s="109"/>
      <c r="F317" s="57"/>
      <c r="J317" s="57"/>
      <c r="K317" s="57"/>
      <c r="L317" s="57"/>
      <c r="M317" s="57"/>
      <c r="N317" s="57"/>
      <c r="O317" s="57"/>
      <c r="AA317" s="640" t="str">
        <f t="shared" si="28"/>
        <v/>
      </c>
      <c r="AB317" s="640" t="str">
        <f t="shared" si="30"/>
        <v/>
      </c>
      <c r="AC317" s="640"/>
      <c r="AD317" s="890" t="str">
        <f t="shared" si="31"/>
        <v/>
      </c>
      <c r="AE317" s="890" t="str">
        <f t="shared" si="32"/>
        <v/>
      </c>
      <c r="AF317" s="890" t="str">
        <f t="shared" si="33"/>
        <v/>
      </c>
      <c r="AG317" s="192">
        <f t="shared" si="29"/>
        <v>0</v>
      </c>
    </row>
    <row r="318" spans="1:33" x14ac:dyDescent="0.25">
      <c r="A318" s="57"/>
      <c r="B318" s="57"/>
      <c r="C318" s="109"/>
      <c r="F318" s="57"/>
      <c r="J318" s="57"/>
      <c r="K318" s="57"/>
      <c r="L318" s="57"/>
      <c r="M318" s="57"/>
      <c r="N318" s="57"/>
      <c r="O318" s="57"/>
      <c r="AA318" s="640" t="str">
        <f t="shared" si="28"/>
        <v/>
      </c>
      <c r="AB318" s="640" t="str">
        <f t="shared" si="30"/>
        <v/>
      </c>
      <c r="AC318" s="640"/>
      <c r="AD318" s="890" t="str">
        <f t="shared" si="31"/>
        <v/>
      </c>
      <c r="AE318" s="890" t="str">
        <f t="shared" si="32"/>
        <v/>
      </c>
      <c r="AF318" s="890" t="str">
        <f t="shared" si="33"/>
        <v/>
      </c>
      <c r="AG318" s="192">
        <f t="shared" si="29"/>
        <v>0</v>
      </c>
    </row>
    <row r="319" spans="1:33" x14ac:dyDescent="0.25">
      <c r="A319" s="57"/>
      <c r="B319" s="57"/>
      <c r="C319" s="109"/>
      <c r="F319" s="57"/>
      <c r="J319" s="57"/>
      <c r="K319" s="57"/>
      <c r="L319" s="57"/>
      <c r="M319" s="57"/>
      <c r="N319" s="57"/>
      <c r="O319" s="57"/>
      <c r="AA319" s="640" t="str">
        <f t="shared" si="28"/>
        <v/>
      </c>
      <c r="AB319" s="640" t="str">
        <f t="shared" si="30"/>
        <v/>
      </c>
      <c r="AC319" s="640"/>
      <c r="AD319" s="890" t="str">
        <f t="shared" si="31"/>
        <v/>
      </c>
      <c r="AE319" s="890" t="str">
        <f t="shared" si="32"/>
        <v/>
      </c>
      <c r="AF319" s="890" t="str">
        <f t="shared" si="33"/>
        <v/>
      </c>
      <c r="AG319" s="192">
        <f t="shared" si="29"/>
        <v>0</v>
      </c>
    </row>
    <row r="320" spans="1:33" x14ac:dyDescent="0.25">
      <c r="A320" s="57"/>
      <c r="B320" s="57"/>
      <c r="C320" s="109"/>
      <c r="F320" s="57"/>
      <c r="J320" s="57"/>
      <c r="K320" s="57"/>
      <c r="L320" s="57"/>
      <c r="M320" s="57"/>
      <c r="N320" s="57"/>
      <c r="O320" s="57"/>
      <c r="AA320" s="640" t="str">
        <f t="shared" si="28"/>
        <v/>
      </c>
      <c r="AB320" s="640" t="str">
        <f t="shared" si="30"/>
        <v/>
      </c>
      <c r="AC320" s="640"/>
      <c r="AD320" s="890" t="str">
        <f t="shared" si="31"/>
        <v/>
      </c>
      <c r="AE320" s="890" t="str">
        <f t="shared" si="32"/>
        <v/>
      </c>
      <c r="AF320" s="890" t="str">
        <f t="shared" si="33"/>
        <v/>
      </c>
      <c r="AG320" s="192">
        <f t="shared" si="29"/>
        <v>0</v>
      </c>
    </row>
    <row r="321" spans="1:33" x14ac:dyDescent="0.25">
      <c r="A321" s="57"/>
      <c r="B321" s="57"/>
      <c r="C321" s="109"/>
      <c r="F321" s="57"/>
      <c r="J321" s="57"/>
      <c r="K321" s="57"/>
      <c r="L321" s="57"/>
      <c r="M321" s="57"/>
      <c r="N321" s="57"/>
      <c r="O321" s="57"/>
      <c r="AA321" s="640" t="str">
        <f t="shared" si="28"/>
        <v/>
      </c>
      <c r="AB321" s="640" t="str">
        <f t="shared" si="30"/>
        <v/>
      </c>
      <c r="AC321" s="640"/>
      <c r="AD321" s="890" t="str">
        <f t="shared" si="31"/>
        <v/>
      </c>
      <c r="AE321" s="890" t="str">
        <f t="shared" si="32"/>
        <v/>
      </c>
      <c r="AF321" s="890" t="str">
        <f t="shared" si="33"/>
        <v/>
      </c>
      <c r="AG321" s="192">
        <f t="shared" si="29"/>
        <v>0</v>
      </c>
    </row>
    <row r="322" spans="1:33" x14ac:dyDescent="0.25">
      <c r="A322" s="57"/>
      <c r="B322" s="57"/>
      <c r="C322" s="109"/>
      <c r="F322" s="57"/>
      <c r="J322" s="57"/>
      <c r="K322" s="57"/>
      <c r="L322" s="57"/>
      <c r="M322" s="57"/>
      <c r="N322" s="57"/>
      <c r="O322" s="57"/>
      <c r="AA322" s="640" t="str">
        <f t="shared" si="28"/>
        <v/>
      </c>
      <c r="AB322" s="640" t="str">
        <f t="shared" si="30"/>
        <v/>
      </c>
      <c r="AC322" s="640"/>
      <c r="AD322" s="890" t="str">
        <f t="shared" si="31"/>
        <v/>
      </c>
      <c r="AE322" s="890" t="str">
        <f t="shared" si="32"/>
        <v/>
      </c>
      <c r="AF322" s="890" t="str">
        <f t="shared" si="33"/>
        <v/>
      </c>
      <c r="AG322" s="192">
        <f t="shared" si="29"/>
        <v>0</v>
      </c>
    </row>
    <row r="323" spans="1:33" x14ac:dyDescent="0.25">
      <c r="A323" s="57"/>
      <c r="B323" s="57"/>
      <c r="C323" s="109"/>
      <c r="F323" s="57"/>
      <c r="J323" s="57"/>
      <c r="K323" s="57"/>
      <c r="L323" s="57"/>
      <c r="M323" s="57"/>
      <c r="N323" s="57"/>
      <c r="O323" s="57"/>
      <c r="AA323" s="640" t="str">
        <f t="shared" si="28"/>
        <v/>
      </c>
      <c r="AB323" s="640" t="str">
        <f t="shared" si="30"/>
        <v/>
      </c>
      <c r="AC323" s="640"/>
      <c r="AD323" s="890" t="str">
        <f t="shared" si="31"/>
        <v/>
      </c>
      <c r="AE323" s="890" t="str">
        <f t="shared" si="32"/>
        <v/>
      </c>
      <c r="AF323" s="890" t="str">
        <f t="shared" si="33"/>
        <v/>
      </c>
      <c r="AG323" s="192">
        <f t="shared" si="29"/>
        <v>0</v>
      </c>
    </row>
    <row r="324" spans="1:33" x14ac:dyDescent="0.25">
      <c r="A324" s="57"/>
      <c r="B324" s="57"/>
      <c r="C324" s="109"/>
      <c r="F324" s="57"/>
      <c r="J324" s="57"/>
      <c r="K324" s="57"/>
      <c r="L324" s="57"/>
      <c r="M324" s="57"/>
      <c r="N324" s="57"/>
      <c r="O324" s="57"/>
      <c r="AA324" s="640" t="str">
        <f t="shared" si="28"/>
        <v/>
      </c>
      <c r="AB324" s="640" t="str">
        <f t="shared" si="30"/>
        <v/>
      </c>
      <c r="AC324" s="640"/>
      <c r="AD324" s="890" t="str">
        <f t="shared" si="31"/>
        <v/>
      </c>
      <c r="AE324" s="890" t="str">
        <f t="shared" si="32"/>
        <v/>
      </c>
      <c r="AF324" s="890" t="str">
        <f t="shared" si="33"/>
        <v/>
      </c>
      <c r="AG324" s="192">
        <f t="shared" si="29"/>
        <v>0</v>
      </c>
    </row>
    <row r="325" spans="1:33" x14ac:dyDescent="0.25">
      <c r="A325" s="57"/>
      <c r="B325" s="57"/>
      <c r="C325" s="109"/>
      <c r="F325" s="57"/>
      <c r="J325" s="57"/>
      <c r="K325" s="57"/>
      <c r="L325" s="57"/>
      <c r="M325" s="57"/>
      <c r="N325" s="57"/>
      <c r="O325" s="57"/>
      <c r="AA325" s="640" t="str">
        <f t="shared" si="28"/>
        <v/>
      </c>
      <c r="AB325" s="640" t="str">
        <f t="shared" si="30"/>
        <v/>
      </c>
      <c r="AC325" s="640"/>
      <c r="AD325" s="890" t="str">
        <f t="shared" si="31"/>
        <v/>
      </c>
      <c r="AE325" s="890" t="str">
        <f t="shared" si="32"/>
        <v/>
      </c>
      <c r="AF325" s="890" t="str">
        <f t="shared" si="33"/>
        <v/>
      </c>
      <c r="AG325" s="192">
        <f t="shared" si="29"/>
        <v>0</v>
      </c>
    </row>
    <row r="326" spans="1:33" x14ac:dyDescent="0.25">
      <c r="A326" s="57"/>
      <c r="B326" s="57"/>
      <c r="C326" s="109"/>
      <c r="F326" s="57"/>
      <c r="J326" s="57"/>
      <c r="K326" s="57"/>
      <c r="L326" s="57"/>
      <c r="M326" s="57"/>
      <c r="N326" s="57"/>
      <c r="O326" s="57"/>
      <c r="AA326" s="640" t="str">
        <f t="shared" si="28"/>
        <v/>
      </c>
      <c r="AB326" s="640" t="str">
        <f t="shared" si="30"/>
        <v/>
      </c>
      <c r="AC326" s="640"/>
      <c r="AD326" s="890" t="str">
        <f t="shared" si="31"/>
        <v/>
      </c>
      <c r="AE326" s="890" t="str">
        <f t="shared" si="32"/>
        <v/>
      </c>
      <c r="AF326" s="890" t="str">
        <f t="shared" si="33"/>
        <v/>
      </c>
      <c r="AG326" s="192">
        <f t="shared" si="29"/>
        <v>0</v>
      </c>
    </row>
    <row r="327" spans="1:33" x14ac:dyDescent="0.25">
      <c r="A327" s="57"/>
      <c r="B327" s="57"/>
      <c r="C327" s="109"/>
      <c r="F327" s="57"/>
      <c r="J327" s="57"/>
      <c r="K327" s="57"/>
      <c r="L327" s="57"/>
      <c r="M327" s="57"/>
      <c r="N327" s="57"/>
      <c r="O327" s="57"/>
      <c r="AA327" s="640" t="str">
        <f t="shared" ref="AA327:AA390" si="34">IF(G327=0, IF(OR(H327&gt;0,F327&gt;0),C327*F327,""),"")</f>
        <v/>
      </c>
      <c r="AB327" s="640" t="str">
        <f t="shared" si="30"/>
        <v/>
      </c>
      <c r="AC327" s="640"/>
      <c r="AD327" s="890" t="str">
        <f t="shared" si="31"/>
        <v/>
      </c>
      <c r="AE327" s="890" t="str">
        <f t="shared" si="32"/>
        <v/>
      </c>
      <c r="AF327" s="890" t="str">
        <f t="shared" si="33"/>
        <v/>
      </c>
      <c r="AG327" s="192">
        <f t="shared" ref="AG327:AG390" si="35">(C327*G327)+(C327*H327)+(C327*I327)</f>
        <v>0</v>
      </c>
    </row>
    <row r="328" spans="1:33" x14ac:dyDescent="0.25">
      <c r="A328" s="57"/>
      <c r="B328" s="57"/>
      <c r="C328" s="109"/>
      <c r="F328" s="57"/>
      <c r="J328" s="57"/>
      <c r="K328" s="57"/>
      <c r="L328" s="57"/>
      <c r="M328" s="57"/>
      <c r="N328" s="57"/>
      <c r="O328" s="57"/>
      <c r="AA328" s="640" t="str">
        <f t="shared" si="34"/>
        <v/>
      </c>
      <c r="AB328" s="640" t="str">
        <f t="shared" ref="AB328:AB391" si="36">IF(G328&gt;=1,IF(F328&gt;1,C328*(F328-2),""),"")</f>
        <v/>
      </c>
      <c r="AC328" s="640"/>
      <c r="AD328" s="890" t="str">
        <f t="shared" ref="AD328:AD391" si="37">IF(E328="YES",IF(G328=1,"",""),IF(G328=1,C328,IF(G328=2,C328,IF(G328=0,"",""))))</f>
        <v/>
      </c>
      <c r="AE328" s="890" t="str">
        <f t="shared" ref="AE328:AE391" si="38">IF(E328="YES",IF(G328=1,"",IF(H328=1,C328,"")),IF(H328=1,C328,IF(H328=2,C328,IF(H328=0,"",""))))</f>
        <v/>
      </c>
      <c r="AF328" s="890" t="str">
        <f t="shared" ref="AF328:AF391" si="39">IF(E328="YES",IF(I328=1,C328,""),IF(I328=1,C328,IF(I328=2,C328,IF(I328=0,"",""))))</f>
        <v/>
      </c>
      <c r="AG328" s="192">
        <f t="shared" si="35"/>
        <v>0</v>
      </c>
    </row>
    <row r="329" spans="1:33" x14ac:dyDescent="0.25">
      <c r="A329" s="57"/>
      <c r="B329" s="57"/>
      <c r="C329" s="109"/>
      <c r="F329" s="57"/>
      <c r="J329" s="57"/>
      <c r="K329" s="57"/>
      <c r="L329" s="57"/>
      <c r="M329" s="57"/>
      <c r="N329" s="57"/>
      <c r="O329" s="57"/>
      <c r="AA329" s="640" t="str">
        <f t="shared" si="34"/>
        <v/>
      </c>
      <c r="AB329" s="640" t="str">
        <f t="shared" si="36"/>
        <v/>
      </c>
      <c r="AC329" s="640"/>
      <c r="AD329" s="890" t="str">
        <f t="shared" si="37"/>
        <v/>
      </c>
      <c r="AE329" s="890" t="str">
        <f t="shared" si="38"/>
        <v/>
      </c>
      <c r="AF329" s="890" t="str">
        <f t="shared" si="39"/>
        <v/>
      </c>
      <c r="AG329" s="192">
        <f t="shared" si="35"/>
        <v>0</v>
      </c>
    </row>
    <row r="330" spans="1:33" x14ac:dyDescent="0.25">
      <c r="A330" s="57"/>
      <c r="B330" s="57"/>
      <c r="C330" s="109"/>
      <c r="F330" s="57"/>
      <c r="J330" s="57"/>
      <c r="K330" s="57"/>
      <c r="L330" s="57"/>
      <c r="M330" s="57"/>
      <c r="N330" s="57"/>
      <c r="O330" s="57"/>
      <c r="AA330" s="640" t="str">
        <f t="shared" si="34"/>
        <v/>
      </c>
      <c r="AB330" s="640" t="str">
        <f t="shared" si="36"/>
        <v/>
      </c>
      <c r="AC330" s="640"/>
      <c r="AD330" s="890" t="str">
        <f t="shared" si="37"/>
        <v/>
      </c>
      <c r="AE330" s="890" t="str">
        <f t="shared" si="38"/>
        <v/>
      </c>
      <c r="AF330" s="890" t="str">
        <f t="shared" si="39"/>
        <v/>
      </c>
      <c r="AG330" s="192">
        <f t="shared" si="35"/>
        <v>0</v>
      </c>
    </row>
    <row r="331" spans="1:33" x14ac:dyDescent="0.25">
      <c r="A331" s="57"/>
      <c r="B331" s="57"/>
      <c r="C331" s="109"/>
      <c r="F331" s="57"/>
      <c r="J331" s="57"/>
      <c r="K331" s="57"/>
      <c r="L331" s="57"/>
      <c r="M331" s="57"/>
      <c r="N331" s="57"/>
      <c r="O331" s="57"/>
      <c r="AA331" s="640" t="str">
        <f t="shared" si="34"/>
        <v/>
      </c>
      <c r="AB331" s="640" t="str">
        <f t="shared" si="36"/>
        <v/>
      </c>
      <c r="AC331" s="640"/>
      <c r="AD331" s="890" t="str">
        <f t="shared" si="37"/>
        <v/>
      </c>
      <c r="AE331" s="890" t="str">
        <f t="shared" si="38"/>
        <v/>
      </c>
      <c r="AF331" s="890" t="str">
        <f t="shared" si="39"/>
        <v/>
      </c>
      <c r="AG331" s="192">
        <f t="shared" si="35"/>
        <v>0</v>
      </c>
    </row>
    <row r="332" spans="1:33" x14ac:dyDescent="0.25">
      <c r="A332" s="57"/>
      <c r="B332" s="57"/>
      <c r="C332" s="109"/>
      <c r="F332" s="57"/>
      <c r="J332" s="57"/>
      <c r="K332" s="57"/>
      <c r="L332" s="57"/>
      <c r="M332" s="57"/>
      <c r="N332" s="57"/>
      <c r="O332" s="57"/>
      <c r="AA332" s="640" t="str">
        <f t="shared" si="34"/>
        <v/>
      </c>
      <c r="AB332" s="640" t="str">
        <f t="shared" si="36"/>
        <v/>
      </c>
      <c r="AC332" s="640"/>
      <c r="AD332" s="890" t="str">
        <f t="shared" si="37"/>
        <v/>
      </c>
      <c r="AE332" s="890" t="str">
        <f t="shared" si="38"/>
        <v/>
      </c>
      <c r="AF332" s="890" t="str">
        <f t="shared" si="39"/>
        <v/>
      </c>
      <c r="AG332" s="192">
        <f t="shared" si="35"/>
        <v>0</v>
      </c>
    </row>
    <row r="333" spans="1:33" x14ac:dyDescent="0.25">
      <c r="A333" s="57"/>
      <c r="B333" s="57"/>
      <c r="C333" s="109"/>
      <c r="F333" s="57"/>
      <c r="J333" s="57"/>
      <c r="K333" s="57"/>
      <c r="L333" s="57"/>
      <c r="M333" s="57"/>
      <c r="N333" s="57"/>
      <c r="O333" s="57"/>
      <c r="AA333" s="640" t="str">
        <f t="shared" si="34"/>
        <v/>
      </c>
      <c r="AB333" s="640" t="str">
        <f t="shared" si="36"/>
        <v/>
      </c>
      <c r="AC333" s="640"/>
      <c r="AD333" s="890" t="str">
        <f t="shared" si="37"/>
        <v/>
      </c>
      <c r="AE333" s="890" t="str">
        <f t="shared" si="38"/>
        <v/>
      </c>
      <c r="AF333" s="890" t="str">
        <f t="shared" si="39"/>
        <v/>
      </c>
      <c r="AG333" s="192">
        <f t="shared" si="35"/>
        <v>0</v>
      </c>
    </row>
    <row r="334" spans="1:33" x14ac:dyDescent="0.25">
      <c r="A334" s="57"/>
      <c r="B334" s="57"/>
      <c r="C334" s="109"/>
      <c r="F334" s="57"/>
      <c r="J334" s="57"/>
      <c r="K334" s="57"/>
      <c r="L334" s="57"/>
      <c r="M334" s="57"/>
      <c r="N334" s="57"/>
      <c r="O334" s="57"/>
      <c r="AA334" s="640" t="str">
        <f t="shared" si="34"/>
        <v/>
      </c>
      <c r="AB334" s="640" t="str">
        <f t="shared" si="36"/>
        <v/>
      </c>
      <c r="AC334" s="640"/>
      <c r="AD334" s="890" t="str">
        <f t="shared" si="37"/>
        <v/>
      </c>
      <c r="AE334" s="890" t="str">
        <f t="shared" si="38"/>
        <v/>
      </c>
      <c r="AF334" s="890" t="str">
        <f t="shared" si="39"/>
        <v/>
      </c>
      <c r="AG334" s="192">
        <f t="shared" si="35"/>
        <v>0</v>
      </c>
    </row>
    <row r="335" spans="1:33" x14ac:dyDescent="0.25">
      <c r="A335" s="57"/>
      <c r="B335" s="57"/>
      <c r="C335" s="109"/>
      <c r="F335" s="57"/>
      <c r="J335" s="57"/>
      <c r="K335" s="57"/>
      <c r="L335" s="57"/>
      <c r="M335" s="57"/>
      <c r="N335" s="57"/>
      <c r="O335" s="57"/>
      <c r="AA335" s="640" t="str">
        <f t="shared" si="34"/>
        <v/>
      </c>
      <c r="AB335" s="640" t="str">
        <f t="shared" si="36"/>
        <v/>
      </c>
      <c r="AC335" s="640"/>
      <c r="AD335" s="890" t="str">
        <f t="shared" si="37"/>
        <v/>
      </c>
      <c r="AE335" s="890" t="str">
        <f t="shared" si="38"/>
        <v/>
      </c>
      <c r="AF335" s="890" t="str">
        <f t="shared" si="39"/>
        <v/>
      </c>
      <c r="AG335" s="192">
        <f t="shared" si="35"/>
        <v>0</v>
      </c>
    </row>
    <row r="336" spans="1:33" x14ac:dyDescent="0.25">
      <c r="A336" s="57"/>
      <c r="B336" s="57"/>
      <c r="C336" s="109"/>
      <c r="F336" s="57"/>
      <c r="J336" s="57"/>
      <c r="K336" s="57"/>
      <c r="L336" s="57"/>
      <c r="M336" s="57"/>
      <c r="N336" s="57"/>
      <c r="O336" s="57"/>
      <c r="AA336" s="640" t="str">
        <f t="shared" si="34"/>
        <v/>
      </c>
      <c r="AB336" s="640" t="str">
        <f t="shared" si="36"/>
        <v/>
      </c>
      <c r="AC336" s="640"/>
      <c r="AD336" s="890" t="str">
        <f t="shared" si="37"/>
        <v/>
      </c>
      <c r="AE336" s="890" t="str">
        <f t="shared" si="38"/>
        <v/>
      </c>
      <c r="AF336" s="890" t="str">
        <f t="shared" si="39"/>
        <v/>
      </c>
      <c r="AG336" s="192">
        <f t="shared" si="35"/>
        <v>0</v>
      </c>
    </row>
    <row r="337" spans="1:33" x14ac:dyDescent="0.25">
      <c r="A337" s="57"/>
      <c r="B337" s="57"/>
      <c r="C337" s="109"/>
      <c r="F337" s="57"/>
      <c r="J337" s="57"/>
      <c r="K337" s="57"/>
      <c r="L337" s="57"/>
      <c r="M337" s="57"/>
      <c r="N337" s="57"/>
      <c r="O337" s="57"/>
      <c r="AA337" s="640" t="str">
        <f t="shared" si="34"/>
        <v/>
      </c>
      <c r="AB337" s="640" t="str">
        <f t="shared" si="36"/>
        <v/>
      </c>
      <c r="AC337" s="640"/>
      <c r="AD337" s="890" t="str">
        <f t="shared" si="37"/>
        <v/>
      </c>
      <c r="AE337" s="890" t="str">
        <f t="shared" si="38"/>
        <v/>
      </c>
      <c r="AF337" s="890" t="str">
        <f t="shared" si="39"/>
        <v/>
      </c>
      <c r="AG337" s="192">
        <f t="shared" si="35"/>
        <v>0</v>
      </c>
    </row>
    <row r="338" spans="1:33" x14ac:dyDescent="0.25">
      <c r="A338" s="57"/>
      <c r="B338" s="57"/>
      <c r="C338" s="109"/>
      <c r="F338" s="57"/>
      <c r="J338" s="57"/>
      <c r="K338" s="57"/>
      <c r="L338" s="57"/>
      <c r="M338" s="57"/>
      <c r="N338" s="57"/>
      <c r="O338" s="57"/>
      <c r="AA338" s="640" t="str">
        <f t="shared" si="34"/>
        <v/>
      </c>
      <c r="AB338" s="640" t="str">
        <f t="shared" si="36"/>
        <v/>
      </c>
      <c r="AC338" s="640"/>
      <c r="AD338" s="890" t="str">
        <f t="shared" si="37"/>
        <v/>
      </c>
      <c r="AE338" s="890" t="str">
        <f t="shared" si="38"/>
        <v/>
      </c>
      <c r="AF338" s="890" t="str">
        <f t="shared" si="39"/>
        <v/>
      </c>
      <c r="AG338" s="192">
        <f t="shared" si="35"/>
        <v>0</v>
      </c>
    </row>
    <row r="339" spans="1:33" x14ac:dyDescent="0.25">
      <c r="A339" s="57"/>
      <c r="B339" s="57"/>
      <c r="C339" s="109"/>
      <c r="F339" s="57"/>
      <c r="J339" s="57"/>
      <c r="K339" s="57"/>
      <c r="L339" s="57"/>
      <c r="M339" s="57"/>
      <c r="N339" s="57"/>
      <c r="O339" s="57"/>
      <c r="AA339" s="640" t="str">
        <f t="shared" si="34"/>
        <v/>
      </c>
      <c r="AB339" s="640" t="str">
        <f t="shared" si="36"/>
        <v/>
      </c>
      <c r="AC339" s="640"/>
      <c r="AD339" s="890" t="str">
        <f t="shared" si="37"/>
        <v/>
      </c>
      <c r="AE339" s="890" t="str">
        <f t="shared" si="38"/>
        <v/>
      </c>
      <c r="AF339" s="890" t="str">
        <f t="shared" si="39"/>
        <v/>
      </c>
      <c r="AG339" s="192">
        <f t="shared" si="35"/>
        <v>0</v>
      </c>
    </row>
    <row r="340" spans="1:33" x14ac:dyDescent="0.25">
      <c r="A340" s="57"/>
      <c r="B340" s="57"/>
      <c r="C340" s="109"/>
      <c r="F340" s="57"/>
      <c r="J340" s="57"/>
      <c r="K340" s="57"/>
      <c r="L340" s="57"/>
      <c r="M340" s="57"/>
      <c r="N340" s="57"/>
      <c r="O340" s="57"/>
      <c r="AA340" s="640" t="str">
        <f t="shared" si="34"/>
        <v/>
      </c>
      <c r="AB340" s="640" t="str">
        <f t="shared" si="36"/>
        <v/>
      </c>
      <c r="AC340" s="640"/>
      <c r="AD340" s="890" t="str">
        <f t="shared" si="37"/>
        <v/>
      </c>
      <c r="AE340" s="890" t="str">
        <f t="shared" si="38"/>
        <v/>
      </c>
      <c r="AF340" s="890" t="str">
        <f t="shared" si="39"/>
        <v/>
      </c>
      <c r="AG340" s="192">
        <f t="shared" si="35"/>
        <v>0</v>
      </c>
    </row>
    <row r="341" spans="1:33" x14ac:dyDescent="0.25">
      <c r="A341" s="57"/>
      <c r="B341" s="57"/>
      <c r="C341" s="109"/>
      <c r="F341" s="57"/>
      <c r="J341" s="57"/>
      <c r="K341" s="57"/>
      <c r="L341" s="57"/>
      <c r="M341" s="57"/>
      <c r="N341" s="57"/>
      <c r="O341" s="57"/>
      <c r="AA341" s="640" t="str">
        <f t="shared" si="34"/>
        <v/>
      </c>
      <c r="AB341" s="640" t="str">
        <f t="shared" si="36"/>
        <v/>
      </c>
      <c r="AC341" s="640"/>
      <c r="AD341" s="890" t="str">
        <f t="shared" si="37"/>
        <v/>
      </c>
      <c r="AE341" s="890" t="str">
        <f t="shared" si="38"/>
        <v/>
      </c>
      <c r="AF341" s="890" t="str">
        <f t="shared" si="39"/>
        <v/>
      </c>
      <c r="AG341" s="192">
        <f t="shared" si="35"/>
        <v>0</v>
      </c>
    </row>
    <row r="342" spans="1:33" x14ac:dyDescent="0.25">
      <c r="A342" s="57"/>
      <c r="B342" s="57"/>
      <c r="C342" s="109"/>
      <c r="F342" s="57"/>
      <c r="J342" s="57"/>
      <c r="K342" s="57"/>
      <c r="L342" s="57"/>
      <c r="M342" s="57"/>
      <c r="N342" s="57"/>
      <c r="O342" s="57"/>
      <c r="AA342" s="640" t="str">
        <f t="shared" si="34"/>
        <v/>
      </c>
      <c r="AB342" s="640" t="str">
        <f t="shared" si="36"/>
        <v/>
      </c>
      <c r="AC342" s="640"/>
      <c r="AD342" s="890" t="str">
        <f t="shared" si="37"/>
        <v/>
      </c>
      <c r="AE342" s="890" t="str">
        <f t="shared" si="38"/>
        <v/>
      </c>
      <c r="AF342" s="890" t="str">
        <f t="shared" si="39"/>
        <v/>
      </c>
      <c r="AG342" s="192">
        <f t="shared" si="35"/>
        <v>0</v>
      </c>
    </row>
    <row r="343" spans="1:33" x14ac:dyDescent="0.25">
      <c r="A343" s="57"/>
      <c r="B343" s="57"/>
      <c r="C343" s="109"/>
      <c r="F343" s="57"/>
      <c r="J343" s="57"/>
      <c r="K343" s="57"/>
      <c r="L343" s="57"/>
      <c r="M343" s="57"/>
      <c r="N343" s="57"/>
      <c r="O343" s="57"/>
      <c r="AA343" s="640" t="str">
        <f t="shared" si="34"/>
        <v/>
      </c>
      <c r="AB343" s="640" t="str">
        <f t="shared" si="36"/>
        <v/>
      </c>
      <c r="AC343" s="640"/>
      <c r="AD343" s="890" t="str">
        <f t="shared" si="37"/>
        <v/>
      </c>
      <c r="AE343" s="890" t="str">
        <f t="shared" si="38"/>
        <v/>
      </c>
      <c r="AF343" s="890" t="str">
        <f t="shared" si="39"/>
        <v/>
      </c>
      <c r="AG343" s="192">
        <f t="shared" si="35"/>
        <v>0</v>
      </c>
    </row>
    <row r="344" spans="1:33" x14ac:dyDescent="0.25">
      <c r="A344" s="57"/>
      <c r="B344" s="57"/>
      <c r="C344" s="109"/>
      <c r="F344" s="57"/>
      <c r="J344" s="57"/>
      <c r="K344" s="57"/>
      <c r="L344" s="57"/>
      <c r="M344" s="57"/>
      <c r="N344" s="57"/>
      <c r="O344" s="57"/>
      <c r="AA344" s="640" t="str">
        <f t="shared" si="34"/>
        <v/>
      </c>
      <c r="AB344" s="640" t="str">
        <f t="shared" si="36"/>
        <v/>
      </c>
      <c r="AC344" s="640"/>
      <c r="AD344" s="890" t="str">
        <f t="shared" si="37"/>
        <v/>
      </c>
      <c r="AE344" s="890" t="str">
        <f t="shared" si="38"/>
        <v/>
      </c>
      <c r="AF344" s="890" t="str">
        <f t="shared" si="39"/>
        <v/>
      </c>
      <c r="AG344" s="192">
        <f t="shared" si="35"/>
        <v>0</v>
      </c>
    </row>
    <row r="345" spans="1:33" x14ac:dyDescent="0.25">
      <c r="A345" s="57"/>
      <c r="B345" s="57"/>
      <c r="C345" s="109"/>
      <c r="F345" s="57"/>
      <c r="J345" s="57"/>
      <c r="K345" s="57"/>
      <c r="L345" s="57"/>
      <c r="M345" s="57"/>
      <c r="N345" s="57"/>
      <c r="O345" s="57"/>
      <c r="AA345" s="640" t="str">
        <f t="shared" si="34"/>
        <v/>
      </c>
      <c r="AB345" s="640" t="str">
        <f t="shared" si="36"/>
        <v/>
      </c>
      <c r="AC345" s="640"/>
      <c r="AD345" s="890" t="str">
        <f t="shared" si="37"/>
        <v/>
      </c>
      <c r="AE345" s="890" t="str">
        <f t="shared" si="38"/>
        <v/>
      </c>
      <c r="AF345" s="890" t="str">
        <f t="shared" si="39"/>
        <v/>
      </c>
      <c r="AG345" s="192">
        <f t="shared" si="35"/>
        <v>0</v>
      </c>
    </row>
    <row r="346" spans="1:33" x14ac:dyDescent="0.25">
      <c r="A346" s="57"/>
      <c r="B346" s="57"/>
      <c r="C346" s="109"/>
      <c r="F346" s="57"/>
      <c r="J346" s="57"/>
      <c r="K346" s="57"/>
      <c r="L346" s="57"/>
      <c r="M346" s="57"/>
      <c r="N346" s="57"/>
      <c r="O346" s="57"/>
      <c r="AA346" s="640" t="str">
        <f t="shared" si="34"/>
        <v/>
      </c>
      <c r="AB346" s="640" t="str">
        <f t="shared" si="36"/>
        <v/>
      </c>
      <c r="AC346" s="640"/>
      <c r="AD346" s="890" t="str">
        <f t="shared" si="37"/>
        <v/>
      </c>
      <c r="AE346" s="890" t="str">
        <f t="shared" si="38"/>
        <v/>
      </c>
      <c r="AF346" s="890" t="str">
        <f t="shared" si="39"/>
        <v/>
      </c>
      <c r="AG346" s="192">
        <f t="shared" si="35"/>
        <v>0</v>
      </c>
    </row>
    <row r="347" spans="1:33" x14ac:dyDescent="0.25">
      <c r="A347" s="57"/>
      <c r="B347" s="57"/>
      <c r="C347" s="109"/>
      <c r="F347" s="57"/>
      <c r="J347" s="57"/>
      <c r="K347" s="57"/>
      <c r="L347" s="57"/>
      <c r="M347" s="57"/>
      <c r="N347" s="57"/>
      <c r="O347" s="57"/>
      <c r="AA347" s="640" t="str">
        <f t="shared" si="34"/>
        <v/>
      </c>
      <c r="AB347" s="640" t="str">
        <f t="shared" si="36"/>
        <v/>
      </c>
      <c r="AC347" s="640"/>
      <c r="AD347" s="890" t="str">
        <f t="shared" si="37"/>
        <v/>
      </c>
      <c r="AE347" s="890" t="str">
        <f t="shared" si="38"/>
        <v/>
      </c>
      <c r="AF347" s="890" t="str">
        <f t="shared" si="39"/>
        <v/>
      </c>
      <c r="AG347" s="192">
        <f t="shared" si="35"/>
        <v>0</v>
      </c>
    </row>
    <row r="348" spans="1:33" x14ac:dyDescent="0.25">
      <c r="A348" s="57"/>
      <c r="B348" s="57"/>
      <c r="C348" s="109"/>
      <c r="F348" s="57"/>
      <c r="J348" s="57"/>
      <c r="K348" s="57"/>
      <c r="L348" s="57"/>
      <c r="M348" s="57"/>
      <c r="N348" s="57"/>
      <c r="O348" s="57"/>
      <c r="AA348" s="640" t="str">
        <f t="shared" si="34"/>
        <v/>
      </c>
      <c r="AB348" s="640" t="str">
        <f t="shared" si="36"/>
        <v/>
      </c>
      <c r="AC348" s="640"/>
      <c r="AD348" s="890" t="str">
        <f t="shared" si="37"/>
        <v/>
      </c>
      <c r="AE348" s="890" t="str">
        <f t="shared" si="38"/>
        <v/>
      </c>
      <c r="AF348" s="890" t="str">
        <f t="shared" si="39"/>
        <v/>
      </c>
      <c r="AG348" s="192">
        <f t="shared" si="35"/>
        <v>0</v>
      </c>
    </row>
    <row r="349" spans="1:33" x14ac:dyDescent="0.25">
      <c r="A349" s="57"/>
      <c r="B349" s="57"/>
      <c r="C349" s="109"/>
      <c r="F349" s="57"/>
      <c r="J349" s="57"/>
      <c r="K349" s="57"/>
      <c r="L349" s="57"/>
      <c r="M349" s="57"/>
      <c r="N349" s="57"/>
      <c r="O349" s="57"/>
      <c r="AA349" s="640" t="str">
        <f t="shared" si="34"/>
        <v/>
      </c>
      <c r="AB349" s="640" t="str">
        <f t="shared" si="36"/>
        <v/>
      </c>
      <c r="AC349" s="640"/>
      <c r="AD349" s="890" t="str">
        <f t="shared" si="37"/>
        <v/>
      </c>
      <c r="AE349" s="890" t="str">
        <f t="shared" si="38"/>
        <v/>
      </c>
      <c r="AF349" s="890" t="str">
        <f t="shared" si="39"/>
        <v/>
      </c>
      <c r="AG349" s="192">
        <f t="shared" si="35"/>
        <v>0</v>
      </c>
    </row>
    <row r="350" spans="1:33" x14ac:dyDescent="0.25">
      <c r="A350" s="57"/>
      <c r="B350" s="57"/>
      <c r="C350" s="109"/>
      <c r="F350" s="57"/>
      <c r="J350" s="57"/>
      <c r="K350" s="57"/>
      <c r="L350" s="57"/>
      <c r="M350" s="57"/>
      <c r="N350" s="57"/>
      <c r="O350" s="57"/>
      <c r="AA350" s="640" t="str">
        <f t="shared" si="34"/>
        <v/>
      </c>
      <c r="AB350" s="640" t="str">
        <f t="shared" si="36"/>
        <v/>
      </c>
      <c r="AC350" s="640"/>
      <c r="AD350" s="890" t="str">
        <f t="shared" si="37"/>
        <v/>
      </c>
      <c r="AE350" s="890" t="str">
        <f t="shared" si="38"/>
        <v/>
      </c>
      <c r="AF350" s="890" t="str">
        <f t="shared" si="39"/>
        <v/>
      </c>
      <c r="AG350" s="192">
        <f t="shared" si="35"/>
        <v>0</v>
      </c>
    </row>
    <row r="351" spans="1:33" x14ac:dyDescent="0.25">
      <c r="A351" s="57"/>
      <c r="B351" s="57"/>
      <c r="C351" s="109"/>
      <c r="F351" s="57"/>
      <c r="J351" s="57"/>
      <c r="K351" s="57"/>
      <c r="L351" s="57"/>
      <c r="M351" s="57"/>
      <c r="N351" s="57"/>
      <c r="O351" s="57"/>
      <c r="AA351" s="640" t="str">
        <f t="shared" si="34"/>
        <v/>
      </c>
      <c r="AB351" s="640" t="str">
        <f t="shared" si="36"/>
        <v/>
      </c>
      <c r="AC351" s="640"/>
      <c r="AD351" s="890" t="str">
        <f t="shared" si="37"/>
        <v/>
      </c>
      <c r="AE351" s="890" t="str">
        <f t="shared" si="38"/>
        <v/>
      </c>
      <c r="AF351" s="890" t="str">
        <f t="shared" si="39"/>
        <v/>
      </c>
      <c r="AG351" s="192">
        <f t="shared" si="35"/>
        <v>0</v>
      </c>
    </row>
    <row r="352" spans="1:33" x14ac:dyDescent="0.25">
      <c r="A352" s="57"/>
      <c r="B352" s="57"/>
      <c r="C352" s="109"/>
      <c r="F352" s="57"/>
      <c r="J352" s="57"/>
      <c r="K352" s="57"/>
      <c r="L352" s="57"/>
      <c r="M352" s="57"/>
      <c r="N352" s="57"/>
      <c r="O352" s="57"/>
      <c r="AA352" s="640" t="str">
        <f t="shared" si="34"/>
        <v/>
      </c>
      <c r="AB352" s="640" t="str">
        <f t="shared" si="36"/>
        <v/>
      </c>
      <c r="AC352" s="640"/>
      <c r="AD352" s="890" t="str">
        <f t="shared" si="37"/>
        <v/>
      </c>
      <c r="AE352" s="890" t="str">
        <f t="shared" si="38"/>
        <v/>
      </c>
      <c r="AF352" s="890" t="str">
        <f t="shared" si="39"/>
        <v/>
      </c>
      <c r="AG352" s="192">
        <f t="shared" si="35"/>
        <v>0</v>
      </c>
    </row>
    <row r="353" spans="1:33" x14ac:dyDescent="0.25">
      <c r="A353" s="57"/>
      <c r="B353" s="57"/>
      <c r="C353" s="109"/>
      <c r="F353" s="57"/>
      <c r="J353" s="57"/>
      <c r="K353" s="57"/>
      <c r="L353" s="57"/>
      <c r="M353" s="57"/>
      <c r="N353" s="57"/>
      <c r="O353" s="57"/>
      <c r="AA353" s="640" t="str">
        <f t="shared" si="34"/>
        <v/>
      </c>
      <c r="AB353" s="640" t="str">
        <f t="shared" si="36"/>
        <v/>
      </c>
      <c r="AC353" s="640"/>
      <c r="AD353" s="890" t="str">
        <f t="shared" si="37"/>
        <v/>
      </c>
      <c r="AE353" s="890" t="str">
        <f t="shared" si="38"/>
        <v/>
      </c>
      <c r="AF353" s="890" t="str">
        <f t="shared" si="39"/>
        <v/>
      </c>
      <c r="AG353" s="192">
        <f t="shared" si="35"/>
        <v>0</v>
      </c>
    </row>
    <row r="354" spans="1:33" x14ac:dyDescent="0.25">
      <c r="A354" s="57"/>
      <c r="B354" s="57"/>
      <c r="C354" s="109"/>
      <c r="F354" s="57"/>
      <c r="J354" s="57"/>
      <c r="K354" s="57"/>
      <c r="L354" s="57"/>
      <c r="M354" s="57"/>
      <c r="N354" s="57"/>
      <c r="O354" s="57"/>
      <c r="AA354" s="640" t="str">
        <f t="shared" si="34"/>
        <v/>
      </c>
      <c r="AB354" s="640" t="str">
        <f t="shared" si="36"/>
        <v/>
      </c>
      <c r="AC354" s="640"/>
      <c r="AD354" s="890" t="str">
        <f t="shared" si="37"/>
        <v/>
      </c>
      <c r="AE354" s="890" t="str">
        <f t="shared" si="38"/>
        <v/>
      </c>
      <c r="AF354" s="890" t="str">
        <f t="shared" si="39"/>
        <v/>
      </c>
      <c r="AG354" s="192">
        <f t="shared" si="35"/>
        <v>0</v>
      </c>
    </row>
    <row r="355" spans="1:33" x14ac:dyDescent="0.25">
      <c r="A355" s="57"/>
      <c r="B355" s="57"/>
      <c r="C355" s="109"/>
      <c r="F355" s="57"/>
      <c r="J355" s="57"/>
      <c r="K355" s="57"/>
      <c r="L355" s="57"/>
      <c r="M355" s="57"/>
      <c r="N355" s="57"/>
      <c r="O355" s="57"/>
      <c r="AA355" s="640" t="str">
        <f t="shared" si="34"/>
        <v/>
      </c>
      <c r="AB355" s="640" t="str">
        <f t="shared" si="36"/>
        <v/>
      </c>
      <c r="AC355" s="640"/>
      <c r="AD355" s="890" t="str">
        <f t="shared" si="37"/>
        <v/>
      </c>
      <c r="AE355" s="890" t="str">
        <f t="shared" si="38"/>
        <v/>
      </c>
      <c r="AF355" s="890" t="str">
        <f t="shared" si="39"/>
        <v/>
      </c>
      <c r="AG355" s="192">
        <f t="shared" si="35"/>
        <v>0</v>
      </c>
    </row>
    <row r="356" spans="1:33" x14ac:dyDescent="0.25">
      <c r="A356" s="57"/>
      <c r="B356" s="57"/>
      <c r="C356" s="109"/>
      <c r="F356" s="57"/>
      <c r="J356" s="57"/>
      <c r="K356" s="57"/>
      <c r="L356" s="57"/>
      <c r="M356" s="57"/>
      <c r="N356" s="57"/>
      <c r="O356" s="57"/>
      <c r="AA356" s="640" t="str">
        <f t="shared" si="34"/>
        <v/>
      </c>
      <c r="AB356" s="640" t="str">
        <f t="shared" si="36"/>
        <v/>
      </c>
      <c r="AC356" s="640"/>
      <c r="AD356" s="890" t="str">
        <f t="shared" si="37"/>
        <v/>
      </c>
      <c r="AE356" s="890" t="str">
        <f t="shared" si="38"/>
        <v/>
      </c>
      <c r="AF356" s="890" t="str">
        <f t="shared" si="39"/>
        <v/>
      </c>
      <c r="AG356" s="192">
        <f t="shared" si="35"/>
        <v>0</v>
      </c>
    </row>
    <row r="357" spans="1:33" x14ac:dyDescent="0.25">
      <c r="A357" s="57"/>
      <c r="B357" s="57"/>
      <c r="C357" s="109"/>
      <c r="F357" s="57"/>
      <c r="J357" s="57"/>
      <c r="K357" s="57"/>
      <c r="L357" s="57"/>
      <c r="M357" s="57"/>
      <c r="N357" s="57"/>
      <c r="O357" s="57"/>
      <c r="AA357" s="640" t="str">
        <f t="shared" si="34"/>
        <v/>
      </c>
      <c r="AB357" s="640" t="str">
        <f t="shared" si="36"/>
        <v/>
      </c>
      <c r="AC357" s="640"/>
      <c r="AD357" s="890" t="str">
        <f t="shared" si="37"/>
        <v/>
      </c>
      <c r="AE357" s="890" t="str">
        <f t="shared" si="38"/>
        <v/>
      </c>
      <c r="AF357" s="890" t="str">
        <f t="shared" si="39"/>
        <v/>
      </c>
      <c r="AG357" s="192">
        <f t="shared" si="35"/>
        <v>0</v>
      </c>
    </row>
    <row r="358" spans="1:33" x14ac:dyDescent="0.25">
      <c r="A358" s="57"/>
      <c r="B358" s="57"/>
      <c r="C358" s="109"/>
      <c r="F358" s="57"/>
      <c r="J358" s="57"/>
      <c r="K358" s="57"/>
      <c r="L358" s="57"/>
      <c r="M358" s="57"/>
      <c r="N358" s="57"/>
      <c r="O358" s="57"/>
      <c r="AA358" s="640" t="str">
        <f t="shared" si="34"/>
        <v/>
      </c>
      <c r="AB358" s="640" t="str">
        <f t="shared" si="36"/>
        <v/>
      </c>
      <c r="AC358" s="640"/>
      <c r="AD358" s="890" t="str">
        <f t="shared" si="37"/>
        <v/>
      </c>
      <c r="AE358" s="890" t="str">
        <f t="shared" si="38"/>
        <v/>
      </c>
      <c r="AF358" s="890" t="str">
        <f t="shared" si="39"/>
        <v/>
      </c>
      <c r="AG358" s="192">
        <f t="shared" si="35"/>
        <v>0</v>
      </c>
    </row>
    <row r="359" spans="1:33" x14ac:dyDescent="0.25">
      <c r="A359" s="57"/>
      <c r="B359" s="57"/>
      <c r="C359" s="109"/>
      <c r="F359" s="57"/>
      <c r="J359" s="57"/>
      <c r="K359" s="57"/>
      <c r="L359" s="57"/>
      <c r="M359" s="57"/>
      <c r="N359" s="57"/>
      <c r="O359" s="57"/>
      <c r="AA359" s="640" t="str">
        <f t="shared" si="34"/>
        <v/>
      </c>
      <c r="AB359" s="640" t="str">
        <f t="shared" si="36"/>
        <v/>
      </c>
      <c r="AC359" s="640"/>
      <c r="AD359" s="890" t="str">
        <f t="shared" si="37"/>
        <v/>
      </c>
      <c r="AE359" s="890" t="str">
        <f t="shared" si="38"/>
        <v/>
      </c>
      <c r="AF359" s="890" t="str">
        <f t="shared" si="39"/>
        <v/>
      </c>
      <c r="AG359" s="192">
        <f t="shared" si="35"/>
        <v>0</v>
      </c>
    </row>
    <row r="360" spans="1:33" x14ac:dyDescent="0.25">
      <c r="A360" s="57"/>
      <c r="B360" s="57"/>
      <c r="C360" s="109"/>
      <c r="F360" s="57"/>
      <c r="J360" s="57"/>
      <c r="K360" s="57"/>
      <c r="L360" s="57"/>
      <c r="M360" s="57"/>
      <c r="N360" s="57"/>
      <c r="O360" s="57"/>
      <c r="AA360" s="640" t="str">
        <f t="shared" si="34"/>
        <v/>
      </c>
      <c r="AB360" s="640" t="str">
        <f t="shared" si="36"/>
        <v/>
      </c>
      <c r="AC360" s="640"/>
      <c r="AD360" s="890" t="str">
        <f t="shared" si="37"/>
        <v/>
      </c>
      <c r="AE360" s="890" t="str">
        <f t="shared" si="38"/>
        <v/>
      </c>
      <c r="AF360" s="890" t="str">
        <f t="shared" si="39"/>
        <v/>
      </c>
      <c r="AG360" s="192">
        <f t="shared" si="35"/>
        <v>0</v>
      </c>
    </row>
    <row r="361" spans="1:33" x14ac:dyDescent="0.25">
      <c r="A361" s="57"/>
      <c r="B361" s="57"/>
      <c r="C361" s="109"/>
      <c r="F361" s="57"/>
      <c r="J361" s="57"/>
      <c r="K361" s="57"/>
      <c r="L361" s="57"/>
      <c r="M361" s="57"/>
      <c r="N361" s="57"/>
      <c r="O361" s="57"/>
      <c r="AA361" s="640" t="str">
        <f t="shared" si="34"/>
        <v/>
      </c>
      <c r="AB361" s="640" t="str">
        <f t="shared" si="36"/>
        <v/>
      </c>
      <c r="AC361" s="640"/>
      <c r="AD361" s="890" t="str">
        <f t="shared" si="37"/>
        <v/>
      </c>
      <c r="AE361" s="890" t="str">
        <f t="shared" si="38"/>
        <v/>
      </c>
      <c r="AF361" s="890" t="str">
        <f t="shared" si="39"/>
        <v/>
      </c>
      <c r="AG361" s="192">
        <f t="shared" si="35"/>
        <v>0</v>
      </c>
    </row>
    <row r="362" spans="1:33" x14ac:dyDescent="0.25">
      <c r="A362" s="57"/>
      <c r="B362" s="57"/>
      <c r="C362" s="109"/>
      <c r="F362" s="57"/>
      <c r="J362" s="57"/>
      <c r="K362" s="57"/>
      <c r="L362" s="57"/>
      <c r="M362" s="57"/>
      <c r="N362" s="57"/>
      <c r="O362" s="57"/>
      <c r="AA362" s="640" t="str">
        <f t="shared" si="34"/>
        <v/>
      </c>
      <c r="AB362" s="640" t="str">
        <f t="shared" si="36"/>
        <v/>
      </c>
      <c r="AC362" s="640"/>
      <c r="AD362" s="890" t="str">
        <f t="shared" si="37"/>
        <v/>
      </c>
      <c r="AE362" s="890" t="str">
        <f t="shared" si="38"/>
        <v/>
      </c>
      <c r="AF362" s="890" t="str">
        <f t="shared" si="39"/>
        <v/>
      </c>
      <c r="AG362" s="192">
        <f t="shared" si="35"/>
        <v>0</v>
      </c>
    </row>
    <row r="363" spans="1:33" x14ac:dyDescent="0.25">
      <c r="A363" s="57"/>
      <c r="B363" s="57"/>
      <c r="C363" s="109"/>
      <c r="F363" s="57"/>
      <c r="J363" s="57"/>
      <c r="K363" s="57"/>
      <c r="L363" s="57"/>
      <c r="M363" s="57"/>
      <c r="N363" s="57"/>
      <c r="O363" s="57"/>
      <c r="AA363" s="640" t="str">
        <f t="shared" si="34"/>
        <v/>
      </c>
      <c r="AB363" s="640" t="str">
        <f t="shared" si="36"/>
        <v/>
      </c>
      <c r="AC363" s="640"/>
      <c r="AD363" s="890" t="str">
        <f t="shared" si="37"/>
        <v/>
      </c>
      <c r="AE363" s="890" t="str">
        <f t="shared" si="38"/>
        <v/>
      </c>
      <c r="AF363" s="890" t="str">
        <f t="shared" si="39"/>
        <v/>
      </c>
      <c r="AG363" s="192">
        <f t="shared" si="35"/>
        <v>0</v>
      </c>
    </row>
    <row r="364" spans="1:33" x14ac:dyDescent="0.25">
      <c r="A364" s="57"/>
      <c r="B364" s="57"/>
      <c r="C364" s="109"/>
      <c r="F364" s="57"/>
      <c r="J364" s="57"/>
      <c r="K364" s="57"/>
      <c r="L364" s="57"/>
      <c r="M364" s="57"/>
      <c r="N364" s="57"/>
      <c r="O364" s="57"/>
      <c r="AA364" s="640" t="str">
        <f t="shared" si="34"/>
        <v/>
      </c>
      <c r="AB364" s="640" t="str">
        <f t="shared" si="36"/>
        <v/>
      </c>
      <c r="AC364" s="640"/>
      <c r="AD364" s="890" t="str">
        <f t="shared" si="37"/>
        <v/>
      </c>
      <c r="AE364" s="890" t="str">
        <f t="shared" si="38"/>
        <v/>
      </c>
      <c r="AF364" s="890" t="str">
        <f t="shared" si="39"/>
        <v/>
      </c>
      <c r="AG364" s="192">
        <f t="shared" si="35"/>
        <v>0</v>
      </c>
    </row>
    <row r="365" spans="1:33" x14ac:dyDescent="0.25">
      <c r="A365" s="57"/>
      <c r="B365" s="57"/>
      <c r="C365" s="109"/>
      <c r="F365" s="57"/>
      <c r="J365" s="57"/>
      <c r="K365" s="57"/>
      <c r="L365" s="57"/>
      <c r="M365" s="57"/>
      <c r="N365" s="57"/>
      <c r="O365" s="57"/>
      <c r="AA365" s="640" t="str">
        <f t="shared" si="34"/>
        <v/>
      </c>
      <c r="AB365" s="640" t="str">
        <f t="shared" si="36"/>
        <v/>
      </c>
      <c r="AC365" s="640"/>
      <c r="AD365" s="890" t="str">
        <f t="shared" si="37"/>
        <v/>
      </c>
      <c r="AE365" s="890" t="str">
        <f t="shared" si="38"/>
        <v/>
      </c>
      <c r="AF365" s="890" t="str">
        <f t="shared" si="39"/>
        <v/>
      </c>
      <c r="AG365" s="192">
        <f t="shared" si="35"/>
        <v>0</v>
      </c>
    </row>
    <row r="366" spans="1:33" x14ac:dyDescent="0.25">
      <c r="A366" s="57"/>
      <c r="B366" s="57"/>
      <c r="C366" s="109"/>
      <c r="F366" s="57"/>
      <c r="J366" s="57"/>
      <c r="K366" s="57"/>
      <c r="L366" s="57"/>
      <c r="M366" s="57"/>
      <c r="N366" s="57"/>
      <c r="O366" s="57"/>
      <c r="AA366" s="640" t="str">
        <f t="shared" si="34"/>
        <v/>
      </c>
      <c r="AB366" s="640" t="str">
        <f t="shared" si="36"/>
        <v/>
      </c>
      <c r="AC366" s="640"/>
      <c r="AD366" s="890" t="str">
        <f t="shared" si="37"/>
        <v/>
      </c>
      <c r="AE366" s="890" t="str">
        <f t="shared" si="38"/>
        <v/>
      </c>
      <c r="AF366" s="890" t="str">
        <f t="shared" si="39"/>
        <v/>
      </c>
      <c r="AG366" s="192">
        <f t="shared" si="35"/>
        <v>0</v>
      </c>
    </row>
    <row r="367" spans="1:33" x14ac:dyDescent="0.25">
      <c r="A367" s="57"/>
      <c r="B367" s="57"/>
      <c r="C367" s="109"/>
      <c r="F367" s="57"/>
      <c r="J367" s="57"/>
      <c r="K367" s="57"/>
      <c r="L367" s="57"/>
      <c r="M367" s="57"/>
      <c r="N367" s="57"/>
      <c r="O367" s="57"/>
      <c r="AA367" s="640" t="str">
        <f t="shared" si="34"/>
        <v/>
      </c>
      <c r="AB367" s="640" t="str">
        <f t="shared" si="36"/>
        <v/>
      </c>
      <c r="AC367" s="640"/>
      <c r="AD367" s="890" t="str">
        <f t="shared" si="37"/>
        <v/>
      </c>
      <c r="AE367" s="890" t="str">
        <f t="shared" si="38"/>
        <v/>
      </c>
      <c r="AF367" s="890" t="str">
        <f t="shared" si="39"/>
        <v/>
      </c>
      <c r="AG367" s="192">
        <f t="shared" si="35"/>
        <v>0</v>
      </c>
    </row>
    <row r="368" spans="1:33" x14ac:dyDescent="0.25">
      <c r="A368" s="57"/>
      <c r="B368" s="57"/>
      <c r="C368" s="109"/>
      <c r="F368" s="57"/>
      <c r="J368" s="57"/>
      <c r="K368" s="57"/>
      <c r="L368" s="57"/>
      <c r="M368" s="57"/>
      <c r="N368" s="57"/>
      <c r="O368" s="57"/>
      <c r="AA368" s="640" t="str">
        <f t="shared" si="34"/>
        <v/>
      </c>
      <c r="AB368" s="640" t="str">
        <f t="shared" si="36"/>
        <v/>
      </c>
      <c r="AC368" s="640"/>
      <c r="AD368" s="890" t="str">
        <f t="shared" si="37"/>
        <v/>
      </c>
      <c r="AE368" s="890" t="str">
        <f t="shared" si="38"/>
        <v/>
      </c>
      <c r="AF368" s="890" t="str">
        <f t="shared" si="39"/>
        <v/>
      </c>
      <c r="AG368" s="192">
        <f t="shared" si="35"/>
        <v>0</v>
      </c>
    </row>
    <row r="369" spans="1:33" x14ac:dyDescent="0.25">
      <c r="A369" s="57"/>
      <c r="B369" s="57"/>
      <c r="C369" s="109"/>
      <c r="F369" s="57"/>
      <c r="J369" s="57"/>
      <c r="K369" s="57"/>
      <c r="L369" s="57"/>
      <c r="M369" s="57"/>
      <c r="N369" s="57"/>
      <c r="O369" s="57"/>
      <c r="AA369" s="640" t="str">
        <f t="shared" si="34"/>
        <v/>
      </c>
      <c r="AB369" s="640" t="str">
        <f t="shared" si="36"/>
        <v/>
      </c>
      <c r="AC369" s="640"/>
      <c r="AD369" s="890" t="str">
        <f t="shared" si="37"/>
        <v/>
      </c>
      <c r="AE369" s="890" t="str">
        <f t="shared" si="38"/>
        <v/>
      </c>
      <c r="AF369" s="890" t="str">
        <f t="shared" si="39"/>
        <v/>
      </c>
      <c r="AG369" s="192">
        <f t="shared" si="35"/>
        <v>0</v>
      </c>
    </row>
    <row r="370" spans="1:33" x14ac:dyDescent="0.25">
      <c r="A370" s="57"/>
      <c r="B370" s="57"/>
      <c r="C370" s="109"/>
      <c r="F370" s="57"/>
      <c r="J370" s="57"/>
      <c r="K370" s="57"/>
      <c r="L370" s="57"/>
      <c r="M370" s="57"/>
      <c r="N370" s="57"/>
      <c r="O370" s="57"/>
      <c r="AA370" s="640" t="str">
        <f t="shared" si="34"/>
        <v/>
      </c>
      <c r="AB370" s="640" t="str">
        <f t="shared" si="36"/>
        <v/>
      </c>
      <c r="AC370" s="640"/>
      <c r="AD370" s="890" t="str">
        <f t="shared" si="37"/>
        <v/>
      </c>
      <c r="AE370" s="890" t="str">
        <f t="shared" si="38"/>
        <v/>
      </c>
      <c r="AF370" s="890" t="str">
        <f t="shared" si="39"/>
        <v/>
      </c>
      <c r="AG370" s="192">
        <f t="shared" si="35"/>
        <v>0</v>
      </c>
    </row>
    <row r="371" spans="1:33" x14ac:dyDescent="0.25">
      <c r="A371" s="57"/>
      <c r="B371" s="57"/>
      <c r="C371" s="109"/>
      <c r="F371" s="57"/>
      <c r="J371" s="57"/>
      <c r="K371" s="57"/>
      <c r="L371" s="57"/>
      <c r="M371" s="57"/>
      <c r="N371" s="57"/>
      <c r="O371" s="57"/>
      <c r="AA371" s="640" t="str">
        <f t="shared" si="34"/>
        <v/>
      </c>
      <c r="AB371" s="640" t="str">
        <f t="shared" si="36"/>
        <v/>
      </c>
      <c r="AC371" s="640"/>
      <c r="AD371" s="890" t="str">
        <f t="shared" si="37"/>
        <v/>
      </c>
      <c r="AE371" s="890" t="str">
        <f t="shared" si="38"/>
        <v/>
      </c>
      <c r="AF371" s="890" t="str">
        <f t="shared" si="39"/>
        <v/>
      </c>
      <c r="AG371" s="192">
        <f t="shared" si="35"/>
        <v>0</v>
      </c>
    </row>
    <row r="372" spans="1:33" x14ac:dyDescent="0.25">
      <c r="A372" s="57"/>
      <c r="B372" s="57"/>
      <c r="C372" s="109"/>
      <c r="F372" s="57"/>
      <c r="J372" s="57"/>
      <c r="K372" s="57"/>
      <c r="L372" s="57"/>
      <c r="M372" s="57"/>
      <c r="N372" s="57"/>
      <c r="O372" s="57"/>
      <c r="AA372" s="640" t="str">
        <f t="shared" si="34"/>
        <v/>
      </c>
      <c r="AB372" s="640" t="str">
        <f t="shared" si="36"/>
        <v/>
      </c>
      <c r="AC372" s="640"/>
      <c r="AD372" s="890" t="str">
        <f t="shared" si="37"/>
        <v/>
      </c>
      <c r="AE372" s="890" t="str">
        <f t="shared" si="38"/>
        <v/>
      </c>
      <c r="AF372" s="890" t="str">
        <f t="shared" si="39"/>
        <v/>
      </c>
      <c r="AG372" s="192">
        <f t="shared" si="35"/>
        <v>0</v>
      </c>
    </row>
    <row r="373" spans="1:33" x14ac:dyDescent="0.25">
      <c r="A373" s="57"/>
      <c r="B373" s="57"/>
      <c r="C373" s="109"/>
      <c r="F373" s="57"/>
      <c r="J373" s="57"/>
      <c r="K373" s="57"/>
      <c r="L373" s="57"/>
      <c r="M373" s="57"/>
      <c r="N373" s="57"/>
      <c r="O373" s="57"/>
      <c r="AA373" s="640" t="str">
        <f t="shared" si="34"/>
        <v/>
      </c>
      <c r="AB373" s="640" t="str">
        <f t="shared" si="36"/>
        <v/>
      </c>
      <c r="AC373" s="640"/>
      <c r="AD373" s="890" t="str">
        <f t="shared" si="37"/>
        <v/>
      </c>
      <c r="AE373" s="890" t="str">
        <f t="shared" si="38"/>
        <v/>
      </c>
      <c r="AF373" s="890" t="str">
        <f t="shared" si="39"/>
        <v/>
      </c>
      <c r="AG373" s="192">
        <f t="shared" si="35"/>
        <v>0</v>
      </c>
    </row>
    <row r="374" spans="1:33" x14ac:dyDescent="0.25">
      <c r="A374" s="57"/>
      <c r="B374" s="57"/>
      <c r="C374" s="109"/>
      <c r="F374" s="57"/>
      <c r="J374" s="57"/>
      <c r="K374" s="57"/>
      <c r="L374" s="57"/>
      <c r="M374" s="57"/>
      <c r="N374" s="57"/>
      <c r="O374" s="57"/>
      <c r="AA374" s="640" t="str">
        <f t="shared" si="34"/>
        <v/>
      </c>
      <c r="AB374" s="640" t="str">
        <f t="shared" si="36"/>
        <v/>
      </c>
      <c r="AC374" s="640"/>
      <c r="AD374" s="890" t="str">
        <f t="shared" si="37"/>
        <v/>
      </c>
      <c r="AE374" s="890" t="str">
        <f t="shared" si="38"/>
        <v/>
      </c>
      <c r="AF374" s="890" t="str">
        <f t="shared" si="39"/>
        <v/>
      </c>
      <c r="AG374" s="192">
        <f t="shared" si="35"/>
        <v>0</v>
      </c>
    </row>
    <row r="375" spans="1:33" x14ac:dyDescent="0.25">
      <c r="A375" s="57"/>
      <c r="B375" s="57"/>
      <c r="C375" s="109"/>
      <c r="F375" s="57"/>
      <c r="J375" s="57"/>
      <c r="K375" s="57"/>
      <c r="L375" s="57"/>
      <c r="M375" s="57"/>
      <c r="N375" s="57"/>
      <c r="O375" s="57"/>
      <c r="AA375" s="640" t="str">
        <f t="shared" si="34"/>
        <v/>
      </c>
      <c r="AB375" s="640" t="str">
        <f t="shared" si="36"/>
        <v/>
      </c>
      <c r="AC375" s="640"/>
      <c r="AD375" s="890" t="str">
        <f t="shared" si="37"/>
        <v/>
      </c>
      <c r="AE375" s="890" t="str">
        <f t="shared" si="38"/>
        <v/>
      </c>
      <c r="AF375" s="890" t="str">
        <f t="shared" si="39"/>
        <v/>
      </c>
      <c r="AG375" s="192">
        <f t="shared" si="35"/>
        <v>0</v>
      </c>
    </row>
    <row r="376" spans="1:33" x14ac:dyDescent="0.25">
      <c r="A376" s="57"/>
      <c r="B376" s="57"/>
      <c r="C376" s="109"/>
      <c r="F376" s="57"/>
      <c r="J376" s="57"/>
      <c r="K376" s="57"/>
      <c r="L376" s="57"/>
      <c r="M376" s="57"/>
      <c r="N376" s="57"/>
      <c r="O376" s="57"/>
      <c r="AA376" s="640" t="str">
        <f t="shared" si="34"/>
        <v/>
      </c>
      <c r="AB376" s="640" t="str">
        <f t="shared" si="36"/>
        <v/>
      </c>
      <c r="AC376" s="640"/>
      <c r="AD376" s="890" t="str">
        <f t="shared" si="37"/>
        <v/>
      </c>
      <c r="AE376" s="890" t="str">
        <f t="shared" si="38"/>
        <v/>
      </c>
      <c r="AF376" s="890" t="str">
        <f t="shared" si="39"/>
        <v/>
      </c>
      <c r="AG376" s="192">
        <f t="shared" si="35"/>
        <v>0</v>
      </c>
    </row>
    <row r="377" spans="1:33" x14ac:dyDescent="0.25">
      <c r="A377" s="57"/>
      <c r="B377" s="57"/>
      <c r="C377" s="109"/>
      <c r="F377" s="57"/>
      <c r="J377" s="57"/>
      <c r="K377" s="57"/>
      <c r="L377" s="57"/>
      <c r="M377" s="57"/>
      <c r="N377" s="57"/>
      <c r="O377" s="57"/>
      <c r="AA377" s="640" t="str">
        <f t="shared" si="34"/>
        <v/>
      </c>
      <c r="AB377" s="640" t="str">
        <f t="shared" si="36"/>
        <v/>
      </c>
      <c r="AC377" s="640"/>
      <c r="AD377" s="890" t="str">
        <f t="shared" si="37"/>
        <v/>
      </c>
      <c r="AE377" s="890" t="str">
        <f t="shared" si="38"/>
        <v/>
      </c>
      <c r="AF377" s="890" t="str">
        <f t="shared" si="39"/>
        <v/>
      </c>
      <c r="AG377" s="192">
        <f t="shared" si="35"/>
        <v>0</v>
      </c>
    </row>
    <row r="378" spans="1:33" x14ac:dyDescent="0.25">
      <c r="A378" s="57"/>
      <c r="B378" s="57"/>
      <c r="C378" s="109"/>
      <c r="F378" s="57"/>
      <c r="J378" s="57"/>
      <c r="K378" s="57"/>
      <c r="L378" s="57"/>
      <c r="M378" s="57"/>
      <c r="N378" s="57"/>
      <c r="O378" s="57"/>
      <c r="AA378" s="640" t="str">
        <f t="shared" si="34"/>
        <v/>
      </c>
      <c r="AB378" s="640" t="str">
        <f t="shared" si="36"/>
        <v/>
      </c>
      <c r="AC378" s="640"/>
      <c r="AD378" s="890" t="str">
        <f t="shared" si="37"/>
        <v/>
      </c>
      <c r="AE378" s="890" t="str">
        <f t="shared" si="38"/>
        <v/>
      </c>
      <c r="AF378" s="890" t="str">
        <f t="shared" si="39"/>
        <v/>
      </c>
      <c r="AG378" s="192">
        <f t="shared" si="35"/>
        <v>0</v>
      </c>
    </row>
    <row r="379" spans="1:33" x14ac:dyDescent="0.25">
      <c r="A379" s="57"/>
      <c r="B379" s="57"/>
      <c r="C379" s="109"/>
      <c r="F379" s="57"/>
      <c r="J379" s="57"/>
      <c r="K379" s="57"/>
      <c r="L379" s="57"/>
      <c r="M379" s="57"/>
      <c r="N379" s="57"/>
      <c r="O379" s="57"/>
      <c r="AA379" s="640" t="str">
        <f t="shared" si="34"/>
        <v/>
      </c>
      <c r="AB379" s="640" t="str">
        <f t="shared" si="36"/>
        <v/>
      </c>
      <c r="AC379" s="640"/>
      <c r="AD379" s="890" t="str">
        <f t="shared" si="37"/>
        <v/>
      </c>
      <c r="AE379" s="890" t="str">
        <f t="shared" si="38"/>
        <v/>
      </c>
      <c r="AF379" s="890" t="str">
        <f t="shared" si="39"/>
        <v/>
      </c>
      <c r="AG379" s="192">
        <f t="shared" si="35"/>
        <v>0</v>
      </c>
    </row>
    <row r="380" spans="1:33" x14ac:dyDescent="0.25">
      <c r="A380" s="57"/>
      <c r="B380" s="57"/>
      <c r="C380" s="109"/>
      <c r="F380" s="57"/>
      <c r="J380" s="57"/>
      <c r="K380" s="57"/>
      <c r="L380" s="57"/>
      <c r="M380" s="57"/>
      <c r="N380" s="57"/>
      <c r="O380" s="57"/>
      <c r="AA380" s="640" t="str">
        <f t="shared" si="34"/>
        <v/>
      </c>
      <c r="AB380" s="640" t="str">
        <f t="shared" si="36"/>
        <v/>
      </c>
      <c r="AC380" s="640"/>
      <c r="AD380" s="890" t="str">
        <f t="shared" si="37"/>
        <v/>
      </c>
      <c r="AE380" s="890" t="str">
        <f t="shared" si="38"/>
        <v/>
      </c>
      <c r="AF380" s="890" t="str">
        <f t="shared" si="39"/>
        <v/>
      </c>
      <c r="AG380" s="192">
        <f t="shared" si="35"/>
        <v>0</v>
      </c>
    </row>
    <row r="381" spans="1:33" x14ac:dyDescent="0.25">
      <c r="A381" s="57"/>
      <c r="B381" s="57"/>
      <c r="C381" s="109"/>
      <c r="F381" s="57"/>
      <c r="J381" s="57"/>
      <c r="K381" s="57"/>
      <c r="L381" s="57"/>
      <c r="M381" s="57"/>
      <c r="N381" s="57"/>
      <c r="O381" s="57"/>
      <c r="AA381" s="640" t="str">
        <f t="shared" si="34"/>
        <v/>
      </c>
      <c r="AB381" s="640" t="str">
        <f t="shared" si="36"/>
        <v/>
      </c>
      <c r="AC381" s="640"/>
      <c r="AD381" s="890" t="str">
        <f t="shared" si="37"/>
        <v/>
      </c>
      <c r="AE381" s="890" t="str">
        <f t="shared" si="38"/>
        <v/>
      </c>
      <c r="AF381" s="890" t="str">
        <f t="shared" si="39"/>
        <v/>
      </c>
      <c r="AG381" s="192">
        <f t="shared" si="35"/>
        <v>0</v>
      </c>
    </row>
    <row r="382" spans="1:33" x14ac:dyDescent="0.25">
      <c r="A382" s="57"/>
      <c r="B382" s="57"/>
      <c r="C382" s="109"/>
      <c r="F382" s="57"/>
      <c r="J382" s="57"/>
      <c r="K382" s="57"/>
      <c r="L382" s="57"/>
      <c r="M382" s="57"/>
      <c r="N382" s="57"/>
      <c r="O382" s="57"/>
      <c r="AA382" s="640" t="str">
        <f t="shared" si="34"/>
        <v/>
      </c>
      <c r="AB382" s="640" t="str">
        <f t="shared" si="36"/>
        <v/>
      </c>
      <c r="AC382" s="640"/>
      <c r="AD382" s="890" t="str">
        <f t="shared" si="37"/>
        <v/>
      </c>
      <c r="AE382" s="890" t="str">
        <f t="shared" si="38"/>
        <v/>
      </c>
      <c r="AF382" s="890" t="str">
        <f t="shared" si="39"/>
        <v/>
      </c>
      <c r="AG382" s="192">
        <f t="shared" si="35"/>
        <v>0</v>
      </c>
    </row>
    <row r="383" spans="1:33" x14ac:dyDescent="0.25">
      <c r="A383" s="57"/>
      <c r="B383" s="57"/>
      <c r="C383" s="109"/>
      <c r="F383" s="57"/>
      <c r="J383" s="57"/>
      <c r="K383" s="57"/>
      <c r="L383" s="57"/>
      <c r="M383" s="57"/>
      <c r="N383" s="57"/>
      <c r="O383" s="57"/>
      <c r="AA383" s="640" t="str">
        <f t="shared" si="34"/>
        <v/>
      </c>
      <c r="AB383" s="640" t="str">
        <f t="shared" si="36"/>
        <v/>
      </c>
      <c r="AC383" s="640"/>
      <c r="AD383" s="890" t="str">
        <f t="shared" si="37"/>
        <v/>
      </c>
      <c r="AE383" s="890" t="str">
        <f t="shared" si="38"/>
        <v/>
      </c>
      <c r="AF383" s="890" t="str">
        <f t="shared" si="39"/>
        <v/>
      </c>
      <c r="AG383" s="192">
        <f t="shared" si="35"/>
        <v>0</v>
      </c>
    </row>
    <row r="384" spans="1:33" x14ac:dyDescent="0.25">
      <c r="A384" s="57"/>
      <c r="B384" s="57"/>
      <c r="C384" s="109"/>
      <c r="F384" s="57"/>
      <c r="J384" s="57"/>
      <c r="K384" s="57"/>
      <c r="L384" s="57"/>
      <c r="M384" s="57"/>
      <c r="N384" s="57"/>
      <c r="O384" s="57"/>
      <c r="AA384" s="640" t="str">
        <f t="shared" si="34"/>
        <v/>
      </c>
      <c r="AB384" s="640" t="str">
        <f t="shared" si="36"/>
        <v/>
      </c>
      <c r="AC384" s="640"/>
      <c r="AD384" s="890" t="str">
        <f t="shared" si="37"/>
        <v/>
      </c>
      <c r="AE384" s="890" t="str">
        <f t="shared" si="38"/>
        <v/>
      </c>
      <c r="AF384" s="890" t="str">
        <f t="shared" si="39"/>
        <v/>
      </c>
      <c r="AG384" s="192">
        <f t="shared" si="35"/>
        <v>0</v>
      </c>
    </row>
    <row r="385" spans="1:33" x14ac:dyDescent="0.25">
      <c r="A385" s="57"/>
      <c r="B385" s="57"/>
      <c r="C385" s="109"/>
      <c r="F385" s="57"/>
      <c r="J385" s="57"/>
      <c r="K385" s="57"/>
      <c r="L385" s="57"/>
      <c r="M385" s="57"/>
      <c r="N385" s="57"/>
      <c r="O385" s="57"/>
      <c r="AA385" s="640" t="str">
        <f t="shared" si="34"/>
        <v/>
      </c>
      <c r="AB385" s="640" t="str">
        <f t="shared" si="36"/>
        <v/>
      </c>
      <c r="AC385" s="640"/>
      <c r="AD385" s="890" t="str">
        <f t="shared" si="37"/>
        <v/>
      </c>
      <c r="AE385" s="890" t="str">
        <f t="shared" si="38"/>
        <v/>
      </c>
      <c r="AF385" s="890" t="str">
        <f t="shared" si="39"/>
        <v/>
      </c>
      <c r="AG385" s="192">
        <f t="shared" si="35"/>
        <v>0</v>
      </c>
    </row>
    <row r="386" spans="1:33" x14ac:dyDescent="0.25">
      <c r="A386" s="57"/>
      <c r="B386" s="57"/>
      <c r="C386" s="109"/>
      <c r="F386" s="57"/>
      <c r="J386" s="57"/>
      <c r="K386" s="57"/>
      <c r="L386" s="57"/>
      <c r="M386" s="57"/>
      <c r="N386" s="57"/>
      <c r="O386" s="57"/>
      <c r="AA386" s="640" t="str">
        <f t="shared" si="34"/>
        <v/>
      </c>
      <c r="AB386" s="640" t="str">
        <f t="shared" si="36"/>
        <v/>
      </c>
      <c r="AC386" s="640"/>
      <c r="AD386" s="890" t="str">
        <f t="shared" si="37"/>
        <v/>
      </c>
      <c r="AE386" s="890" t="str">
        <f t="shared" si="38"/>
        <v/>
      </c>
      <c r="AF386" s="890" t="str">
        <f t="shared" si="39"/>
        <v/>
      </c>
      <c r="AG386" s="192">
        <f t="shared" si="35"/>
        <v>0</v>
      </c>
    </row>
    <row r="387" spans="1:33" x14ac:dyDescent="0.25">
      <c r="A387" s="57"/>
      <c r="B387" s="57"/>
      <c r="C387" s="109"/>
      <c r="F387" s="57"/>
      <c r="J387" s="57"/>
      <c r="K387" s="57"/>
      <c r="L387" s="57"/>
      <c r="M387" s="57"/>
      <c r="N387" s="57"/>
      <c r="O387" s="57"/>
      <c r="AA387" s="640" t="str">
        <f t="shared" si="34"/>
        <v/>
      </c>
      <c r="AB387" s="640" t="str">
        <f t="shared" si="36"/>
        <v/>
      </c>
      <c r="AC387" s="640"/>
      <c r="AD387" s="890" t="str">
        <f t="shared" si="37"/>
        <v/>
      </c>
      <c r="AE387" s="890" t="str">
        <f t="shared" si="38"/>
        <v/>
      </c>
      <c r="AF387" s="890" t="str">
        <f t="shared" si="39"/>
        <v/>
      </c>
      <c r="AG387" s="192">
        <f t="shared" si="35"/>
        <v>0</v>
      </c>
    </row>
    <row r="388" spans="1:33" x14ac:dyDescent="0.25">
      <c r="A388" s="57"/>
      <c r="B388" s="57"/>
      <c r="C388" s="109"/>
      <c r="F388" s="57"/>
      <c r="J388" s="57"/>
      <c r="K388" s="57"/>
      <c r="L388" s="57"/>
      <c r="M388" s="57"/>
      <c r="N388" s="57"/>
      <c r="O388" s="57"/>
      <c r="AA388" s="640" t="str">
        <f t="shared" si="34"/>
        <v/>
      </c>
      <c r="AB388" s="640" t="str">
        <f t="shared" si="36"/>
        <v/>
      </c>
      <c r="AC388" s="640"/>
      <c r="AD388" s="890" t="str">
        <f t="shared" si="37"/>
        <v/>
      </c>
      <c r="AE388" s="890" t="str">
        <f t="shared" si="38"/>
        <v/>
      </c>
      <c r="AF388" s="890" t="str">
        <f t="shared" si="39"/>
        <v/>
      </c>
      <c r="AG388" s="192">
        <f t="shared" si="35"/>
        <v>0</v>
      </c>
    </row>
    <row r="389" spans="1:33" x14ac:dyDescent="0.25">
      <c r="A389" s="57"/>
      <c r="B389" s="57"/>
      <c r="C389" s="109"/>
      <c r="F389" s="57"/>
      <c r="J389" s="57"/>
      <c r="K389" s="57"/>
      <c r="L389" s="57"/>
      <c r="M389" s="57"/>
      <c r="N389" s="57"/>
      <c r="O389" s="57"/>
      <c r="AA389" s="640" t="str">
        <f t="shared" si="34"/>
        <v/>
      </c>
      <c r="AB389" s="640" t="str">
        <f t="shared" si="36"/>
        <v/>
      </c>
      <c r="AC389" s="640"/>
      <c r="AD389" s="890" t="str">
        <f t="shared" si="37"/>
        <v/>
      </c>
      <c r="AE389" s="890" t="str">
        <f t="shared" si="38"/>
        <v/>
      </c>
      <c r="AF389" s="890" t="str">
        <f t="shared" si="39"/>
        <v/>
      </c>
      <c r="AG389" s="192">
        <f t="shared" si="35"/>
        <v>0</v>
      </c>
    </row>
    <row r="390" spans="1:33" x14ac:dyDescent="0.25">
      <c r="A390" s="57"/>
      <c r="B390" s="57"/>
      <c r="C390" s="109"/>
      <c r="F390" s="57"/>
      <c r="J390" s="57"/>
      <c r="K390" s="57"/>
      <c r="L390" s="57"/>
      <c r="M390" s="57"/>
      <c r="N390" s="57"/>
      <c r="O390" s="57"/>
      <c r="AA390" s="640" t="str">
        <f t="shared" si="34"/>
        <v/>
      </c>
      <c r="AB390" s="640" t="str">
        <f t="shared" si="36"/>
        <v/>
      </c>
      <c r="AC390" s="640"/>
      <c r="AD390" s="890" t="str">
        <f t="shared" si="37"/>
        <v/>
      </c>
      <c r="AE390" s="890" t="str">
        <f t="shared" si="38"/>
        <v/>
      </c>
      <c r="AF390" s="890" t="str">
        <f t="shared" si="39"/>
        <v/>
      </c>
      <c r="AG390" s="192">
        <f t="shared" si="35"/>
        <v>0</v>
      </c>
    </row>
    <row r="391" spans="1:33" x14ac:dyDescent="0.25">
      <c r="A391" s="57"/>
      <c r="B391" s="57"/>
      <c r="C391" s="109"/>
      <c r="F391" s="57"/>
      <c r="J391" s="57"/>
      <c r="K391" s="57"/>
      <c r="L391" s="57"/>
      <c r="M391" s="57"/>
      <c r="N391" s="57"/>
      <c r="O391" s="57"/>
      <c r="AA391" s="640" t="str">
        <f t="shared" ref="AA391:AA454" si="40">IF(G391=0, IF(OR(H391&gt;0,F391&gt;0),C391*F391,""),"")</f>
        <v/>
      </c>
      <c r="AB391" s="640" t="str">
        <f t="shared" si="36"/>
        <v/>
      </c>
      <c r="AC391" s="640"/>
      <c r="AD391" s="890" t="str">
        <f t="shared" si="37"/>
        <v/>
      </c>
      <c r="AE391" s="890" t="str">
        <f t="shared" si="38"/>
        <v/>
      </c>
      <c r="AF391" s="890" t="str">
        <f t="shared" si="39"/>
        <v/>
      </c>
      <c r="AG391" s="192">
        <f t="shared" ref="AG391:AG454" si="41">(C391*G391)+(C391*H391)+(C391*I391)</f>
        <v>0</v>
      </c>
    </row>
    <row r="392" spans="1:33" x14ac:dyDescent="0.25">
      <c r="A392" s="57"/>
      <c r="B392" s="57"/>
      <c r="C392" s="109"/>
      <c r="F392" s="57"/>
      <c r="J392" s="57"/>
      <c r="K392" s="57"/>
      <c r="L392" s="57"/>
      <c r="M392" s="57"/>
      <c r="N392" s="57"/>
      <c r="O392" s="57"/>
      <c r="AA392" s="640" t="str">
        <f t="shared" si="40"/>
        <v/>
      </c>
      <c r="AB392" s="640" t="str">
        <f t="shared" ref="AB392:AB455" si="42">IF(G392&gt;=1,IF(F392&gt;1,C392*(F392-2),""),"")</f>
        <v/>
      </c>
      <c r="AC392" s="640"/>
      <c r="AD392" s="890" t="str">
        <f t="shared" ref="AD392:AD455" si="43">IF(E392="YES",IF(G392=1,"",""),IF(G392=1,C392,IF(G392=2,C392,IF(G392=0,"",""))))</f>
        <v/>
      </c>
      <c r="AE392" s="890" t="str">
        <f t="shared" ref="AE392:AE455" si="44">IF(E392="YES",IF(G392=1,"",IF(H392=1,C392,"")),IF(H392=1,C392,IF(H392=2,C392,IF(H392=0,"",""))))</f>
        <v/>
      </c>
      <c r="AF392" s="890" t="str">
        <f t="shared" ref="AF392:AF455" si="45">IF(E392="YES",IF(I392=1,C392,""),IF(I392=1,C392,IF(I392=2,C392,IF(I392=0,"",""))))</f>
        <v/>
      </c>
      <c r="AG392" s="192">
        <f t="shared" si="41"/>
        <v>0</v>
      </c>
    </row>
    <row r="393" spans="1:33" x14ac:dyDescent="0.25">
      <c r="A393" s="57"/>
      <c r="B393" s="57"/>
      <c r="C393" s="109"/>
      <c r="F393" s="57"/>
      <c r="J393" s="57"/>
      <c r="K393" s="57"/>
      <c r="L393" s="57"/>
      <c r="M393" s="57"/>
      <c r="N393" s="57"/>
      <c r="O393" s="57"/>
      <c r="AA393" s="640" t="str">
        <f t="shared" si="40"/>
        <v/>
      </c>
      <c r="AB393" s="640" t="str">
        <f t="shared" si="42"/>
        <v/>
      </c>
      <c r="AC393" s="640"/>
      <c r="AD393" s="890" t="str">
        <f t="shared" si="43"/>
        <v/>
      </c>
      <c r="AE393" s="890" t="str">
        <f t="shared" si="44"/>
        <v/>
      </c>
      <c r="AF393" s="890" t="str">
        <f t="shared" si="45"/>
        <v/>
      </c>
      <c r="AG393" s="192">
        <f t="shared" si="41"/>
        <v>0</v>
      </c>
    </row>
    <row r="394" spans="1:33" x14ac:dyDescent="0.25">
      <c r="A394" s="57"/>
      <c r="B394" s="57"/>
      <c r="C394" s="109"/>
      <c r="F394" s="57"/>
      <c r="J394" s="57"/>
      <c r="K394" s="57"/>
      <c r="L394" s="57"/>
      <c r="M394" s="57"/>
      <c r="N394" s="57"/>
      <c r="O394" s="57"/>
      <c r="AA394" s="640" t="str">
        <f t="shared" si="40"/>
        <v/>
      </c>
      <c r="AB394" s="640" t="str">
        <f t="shared" si="42"/>
        <v/>
      </c>
      <c r="AC394" s="640"/>
      <c r="AD394" s="890" t="str">
        <f t="shared" si="43"/>
        <v/>
      </c>
      <c r="AE394" s="890" t="str">
        <f t="shared" si="44"/>
        <v/>
      </c>
      <c r="AF394" s="890" t="str">
        <f t="shared" si="45"/>
        <v/>
      </c>
      <c r="AG394" s="192">
        <f t="shared" si="41"/>
        <v>0</v>
      </c>
    </row>
    <row r="395" spans="1:33" x14ac:dyDescent="0.25">
      <c r="A395" s="57"/>
      <c r="B395" s="57"/>
      <c r="C395" s="109"/>
      <c r="F395" s="57"/>
      <c r="J395" s="57"/>
      <c r="K395" s="57"/>
      <c r="L395" s="57"/>
      <c r="M395" s="57"/>
      <c r="N395" s="57"/>
      <c r="O395" s="57"/>
      <c r="AA395" s="640" t="str">
        <f t="shared" si="40"/>
        <v/>
      </c>
      <c r="AB395" s="640" t="str">
        <f t="shared" si="42"/>
        <v/>
      </c>
      <c r="AC395" s="640"/>
      <c r="AD395" s="890" t="str">
        <f t="shared" si="43"/>
        <v/>
      </c>
      <c r="AE395" s="890" t="str">
        <f t="shared" si="44"/>
        <v/>
      </c>
      <c r="AF395" s="890" t="str">
        <f t="shared" si="45"/>
        <v/>
      </c>
      <c r="AG395" s="192">
        <f t="shared" si="41"/>
        <v>0</v>
      </c>
    </row>
    <row r="396" spans="1:33" x14ac:dyDescent="0.25">
      <c r="A396" s="57"/>
      <c r="B396" s="57"/>
      <c r="C396" s="109"/>
      <c r="F396" s="57"/>
      <c r="J396" s="57"/>
      <c r="K396" s="57"/>
      <c r="L396" s="57"/>
      <c r="M396" s="57"/>
      <c r="N396" s="57"/>
      <c r="O396" s="57"/>
      <c r="AA396" s="640" t="str">
        <f t="shared" si="40"/>
        <v/>
      </c>
      <c r="AB396" s="640" t="str">
        <f t="shared" si="42"/>
        <v/>
      </c>
      <c r="AC396" s="640"/>
      <c r="AD396" s="890" t="str">
        <f t="shared" si="43"/>
        <v/>
      </c>
      <c r="AE396" s="890" t="str">
        <f t="shared" si="44"/>
        <v/>
      </c>
      <c r="AF396" s="890" t="str">
        <f t="shared" si="45"/>
        <v/>
      </c>
      <c r="AG396" s="192">
        <f t="shared" si="41"/>
        <v>0</v>
      </c>
    </row>
    <row r="397" spans="1:33" x14ac:dyDescent="0.25">
      <c r="A397" s="57"/>
      <c r="B397" s="57"/>
      <c r="C397" s="109"/>
      <c r="F397" s="57"/>
      <c r="J397" s="57"/>
      <c r="K397" s="57"/>
      <c r="L397" s="57"/>
      <c r="M397" s="57"/>
      <c r="N397" s="57"/>
      <c r="O397" s="57"/>
      <c r="AA397" s="640" t="str">
        <f t="shared" si="40"/>
        <v/>
      </c>
      <c r="AB397" s="640" t="str">
        <f t="shared" si="42"/>
        <v/>
      </c>
      <c r="AC397" s="640"/>
      <c r="AD397" s="890" t="str">
        <f t="shared" si="43"/>
        <v/>
      </c>
      <c r="AE397" s="890" t="str">
        <f t="shared" si="44"/>
        <v/>
      </c>
      <c r="AF397" s="890" t="str">
        <f t="shared" si="45"/>
        <v/>
      </c>
      <c r="AG397" s="192">
        <f t="shared" si="41"/>
        <v>0</v>
      </c>
    </row>
    <row r="398" spans="1:33" x14ac:dyDescent="0.25">
      <c r="A398" s="57"/>
      <c r="B398" s="57"/>
      <c r="C398" s="109"/>
      <c r="F398" s="57"/>
      <c r="J398" s="57"/>
      <c r="K398" s="57"/>
      <c r="L398" s="57"/>
      <c r="M398" s="57"/>
      <c r="N398" s="57"/>
      <c r="O398" s="57"/>
      <c r="AA398" s="640" t="str">
        <f t="shared" si="40"/>
        <v/>
      </c>
      <c r="AB398" s="640" t="str">
        <f t="shared" si="42"/>
        <v/>
      </c>
      <c r="AC398" s="640"/>
      <c r="AD398" s="890" t="str">
        <f t="shared" si="43"/>
        <v/>
      </c>
      <c r="AE398" s="890" t="str">
        <f t="shared" si="44"/>
        <v/>
      </c>
      <c r="AF398" s="890" t="str">
        <f t="shared" si="45"/>
        <v/>
      </c>
      <c r="AG398" s="192">
        <f t="shared" si="41"/>
        <v>0</v>
      </c>
    </row>
    <row r="399" spans="1:33" x14ac:dyDescent="0.25">
      <c r="A399" s="57"/>
      <c r="B399" s="57"/>
      <c r="C399" s="109"/>
      <c r="F399" s="57"/>
      <c r="J399" s="57"/>
      <c r="K399" s="57"/>
      <c r="L399" s="57"/>
      <c r="M399" s="57"/>
      <c r="N399" s="57"/>
      <c r="O399" s="57"/>
      <c r="AA399" s="640" t="str">
        <f t="shared" si="40"/>
        <v/>
      </c>
      <c r="AB399" s="640" t="str">
        <f t="shared" si="42"/>
        <v/>
      </c>
      <c r="AC399" s="640"/>
      <c r="AD399" s="890" t="str">
        <f t="shared" si="43"/>
        <v/>
      </c>
      <c r="AE399" s="890" t="str">
        <f t="shared" si="44"/>
        <v/>
      </c>
      <c r="AF399" s="890" t="str">
        <f t="shared" si="45"/>
        <v/>
      </c>
      <c r="AG399" s="192">
        <f t="shared" si="41"/>
        <v>0</v>
      </c>
    </row>
    <row r="400" spans="1:33" x14ac:dyDescent="0.25">
      <c r="A400" s="57"/>
      <c r="B400" s="57"/>
      <c r="C400" s="109"/>
      <c r="F400" s="57"/>
      <c r="J400" s="57"/>
      <c r="K400" s="57"/>
      <c r="L400" s="57"/>
      <c r="M400" s="57"/>
      <c r="N400" s="57"/>
      <c r="O400" s="57"/>
      <c r="AA400" s="640" t="str">
        <f t="shared" si="40"/>
        <v/>
      </c>
      <c r="AB400" s="640" t="str">
        <f t="shared" si="42"/>
        <v/>
      </c>
      <c r="AC400" s="640"/>
      <c r="AD400" s="890" t="str">
        <f t="shared" si="43"/>
        <v/>
      </c>
      <c r="AE400" s="890" t="str">
        <f t="shared" si="44"/>
        <v/>
      </c>
      <c r="AF400" s="890" t="str">
        <f t="shared" si="45"/>
        <v/>
      </c>
      <c r="AG400" s="192">
        <f t="shared" si="41"/>
        <v>0</v>
      </c>
    </row>
    <row r="401" spans="1:33" x14ac:dyDescent="0.25">
      <c r="A401" s="57"/>
      <c r="B401" s="57"/>
      <c r="C401" s="109"/>
      <c r="F401" s="57"/>
      <c r="J401" s="57"/>
      <c r="K401" s="57"/>
      <c r="L401" s="57"/>
      <c r="M401" s="57"/>
      <c r="N401" s="57"/>
      <c r="O401" s="57"/>
      <c r="AA401" s="640" t="str">
        <f t="shared" si="40"/>
        <v/>
      </c>
      <c r="AB401" s="640" t="str">
        <f t="shared" si="42"/>
        <v/>
      </c>
      <c r="AC401" s="640"/>
      <c r="AD401" s="890" t="str">
        <f t="shared" si="43"/>
        <v/>
      </c>
      <c r="AE401" s="890" t="str">
        <f t="shared" si="44"/>
        <v/>
      </c>
      <c r="AF401" s="890" t="str">
        <f t="shared" si="45"/>
        <v/>
      </c>
      <c r="AG401" s="192">
        <f t="shared" si="41"/>
        <v>0</v>
      </c>
    </row>
    <row r="402" spans="1:33" x14ac:dyDescent="0.25">
      <c r="A402" s="57"/>
      <c r="B402" s="57"/>
      <c r="C402" s="109"/>
      <c r="F402" s="57"/>
      <c r="J402" s="57"/>
      <c r="K402" s="57"/>
      <c r="L402" s="57"/>
      <c r="M402" s="57"/>
      <c r="N402" s="57"/>
      <c r="O402" s="57"/>
      <c r="AA402" s="640" t="str">
        <f t="shared" si="40"/>
        <v/>
      </c>
      <c r="AB402" s="640" t="str">
        <f t="shared" si="42"/>
        <v/>
      </c>
      <c r="AC402" s="640"/>
      <c r="AD402" s="890" t="str">
        <f t="shared" si="43"/>
        <v/>
      </c>
      <c r="AE402" s="890" t="str">
        <f t="shared" si="44"/>
        <v/>
      </c>
      <c r="AF402" s="890" t="str">
        <f t="shared" si="45"/>
        <v/>
      </c>
      <c r="AG402" s="192">
        <f t="shared" si="41"/>
        <v>0</v>
      </c>
    </row>
    <row r="403" spans="1:33" x14ac:dyDescent="0.25">
      <c r="A403" s="57"/>
      <c r="B403" s="57"/>
      <c r="C403" s="109"/>
      <c r="F403" s="57"/>
      <c r="J403" s="57"/>
      <c r="K403" s="57"/>
      <c r="L403" s="57"/>
      <c r="M403" s="57"/>
      <c r="N403" s="57"/>
      <c r="O403" s="57"/>
      <c r="AA403" s="640" t="str">
        <f t="shared" si="40"/>
        <v/>
      </c>
      <c r="AB403" s="640" t="str">
        <f t="shared" si="42"/>
        <v/>
      </c>
      <c r="AC403" s="640"/>
      <c r="AD403" s="890" t="str">
        <f t="shared" si="43"/>
        <v/>
      </c>
      <c r="AE403" s="890" t="str">
        <f t="shared" si="44"/>
        <v/>
      </c>
      <c r="AF403" s="890" t="str">
        <f t="shared" si="45"/>
        <v/>
      </c>
      <c r="AG403" s="192">
        <f t="shared" si="41"/>
        <v>0</v>
      </c>
    </row>
    <row r="404" spans="1:33" x14ac:dyDescent="0.25">
      <c r="A404" s="57"/>
      <c r="B404" s="57"/>
      <c r="C404" s="109"/>
      <c r="F404" s="57"/>
      <c r="J404" s="57"/>
      <c r="K404" s="57"/>
      <c r="L404" s="57"/>
      <c r="M404" s="57"/>
      <c r="N404" s="57"/>
      <c r="O404" s="57"/>
      <c r="AA404" s="640" t="str">
        <f t="shared" si="40"/>
        <v/>
      </c>
      <c r="AB404" s="640" t="str">
        <f t="shared" si="42"/>
        <v/>
      </c>
      <c r="AC404" s="640"/>
      <c r="AD404" s="890" t="str">
        <f t="shared" si="43"/>
        <v/>
      </c>
      <c r="AE404" s="890" t="str">
        <f t="shared" si="44"/>
        <v/>
      </c>
      <c r="AF404" s="890" t="str">
        <f t="shared" si="45"/>
        <v/>
      </c>
      <c r="AG404" s="192">
        <f t="shared" si="41"/>
        <v>0</v>
      </c>
    </row>
    <row r="405" spans="1:33" x14ac:dyDescent="0.25">
      <c r="A405" s="57"/>
      <c r="B405" s="57"/>
      <c r="C405" s="109"/>
      <c r="F405" s="57"/>
      <c r="J405" s="57"/>
      <c r="K405" s="57"/>
      <c r="L405" s="57"/>
      <c r="M405" s="57"/>
      <c r="N405" s="57"/>
      <c r="O405" s="57"/>
      <c r="AA405" s="640" t="str">
        <f t="shared" si="40"/>
        <v/>
      </c>
      <c r="AB405" s="640" t="str">
        <f t="shared" si="42"/>
        <v/>
      </c>
      <c r="AC405" s="640"/>
      <c r="AD405" s="890" t="str">
        <f t="shared" si="43"/>
        <v/>
      </c>
      <c r="AE405" s="890" t="str">
        <f t="shared" si="44"/>
        <v/>
      </c>
      <c r="AF405" s="890" t="str">
        <f t="shared" si="45"/>
        <v/>
      </c>
      <c r="AG405" s="192">
        <f t="shared" si="41"/>
        <v>0</v>
      </c>
    </row>
    <row r="406" spans="1:33" x14ac:dyDescent="0.25">
      <c r="A406" s="57"/>
      <c r="B406" s="57"/>
      <c r="C406" s="109"/>
      <c r="F406" s="57"/>
      <c r="J406" s="57"/>
      <c r="K406" s="57"/>
      <c r="L406" s="57"/>
      <c r="M406" s="57"/>
      <c r="N406" s="57"/>
      <c r="O406" s="57"/>
      <c r="AA406" s="640" t="str">
        <f t="shared" si="40"/>
        <v/>
      </c>
      <c r="AB406" s="640" t="str">
        <f t="shared" si="42"/>
        <v/>
      </c>
      <c r="AC406" s="640"/>
      <c r="AD406" s="890" t="str">
        <f t="shared" si="43"/>
        <v/>
      </c>
      <c r="AE406" s="890" t="str">
        <f t="shared" si="44"/>
        <v/>
      </c>
      <c r="AF406" s="890" t="str">
        <f t="shared" si="45"/>
        <v/>
      </c>
      <c r="AG406" s="192">
        <f t="shared" si="41"/>
        <v>0</v>
      </c>
    </row>
    <row r="407" spans="1:33" x14ac:dyDescent="0.25">
      <c r="A407" s="57"/>
      <c r="B407" s="57"/>
      <c r="C407" s="109"/>
      <c r="F407" s="57"/>
      <c r="J407" s="57"/>
      <c r="K407" s="57"/>
      <c r="L407" s="57"/>
      <c r="M407" s="57"/>
      <c r="N407" s="57"/>
      <c r="O407" s="57"/>
      <c r="AA407" s="640" t="str">
        <f t="shared" si="40"/>
        <v/>
      </c>
      <c r="AB407" s="640" t="str">
        <f t="shared" si="42"/>
        <v/>
      </c>
      <c r="AC407" s="640"/>
      <c r="AD407" s="890" t="str">
        <f t="shared" si="43"/>
        <v/>
      </c>
      <c r="AE407" s="890" t="str">
        <f t="shared" si="44"/>
        <v/>
      </c>
      <c r="AF407" s="890" t="str">
        <f t="shared" si="45"/>
        <v/>
      </c>
      <c r="AG407" s="192">
        <f t="shared" si="41"/>
        <v>0</v>
      </c>
    </row>
    <row r="408" spans="1:33" x14ac:dyDescent="0.25">
      <c r="A408" s="57"/>
      <c r="B408" s="57"/>
      <c r="C408" s="109"/>
      <c r="F408" s="57"/>
      <c r="J408" s="57"/>
      <c r="K408" s="57"/>
      <c r="L408" s="57"/>
      <c r="M408" s="57"/>
      <c r="N408" s="57"/>
      <c r="O408" s="57"/>
      <c r="AA408" s="640" t="str">
        <f t="shared" si="40"/>
        <v/>
      </c>
      <c r="AB408" s="640" t="str">
        <f t="shared" si="42"/>
        <v/>
      </c>
      <c r="AC408" s="640"/>
      <c r="AD408" s="890" t="str">
        <f t="shared" si="43"/>
        <v/>
      </c>
      <c r="AE408" s="890" t="str">
        <f t="shared" si="44"/>
        <v/>
      </c>
      <c r="AF408" s="890" t="str">
        <f t="shared" si="45"/>
        <v/>
      </c>
      <c r="AG408" s="192">
        <f t="shared" si="41"/>
        <v>0</v>
      </c>
    </row>
    <row r="409" spans="1:33" x14ac:dyDescent="0.25">
      <c r="A409" s="57"/>
      <c r="B409" s="57"/>
      <c r="C409" s="109"/>
      <c r="F409" s="57"/>
      <c r="J409" s="57"/>
      <c r="K409" s="57"/>
      <c r="L409" s="57"/>
      <c r="M409" s="57"/>
      <c r="N409" s="57"/>
      <c r="O409" s="57"/>
      <c r="AA409" s="640" t="str">
        <f t="shared" si="40"/>
        <v/>
      </c>
      <c r="AB409" s="640" t="str">
        <f t="shared" si="42"/>
        <v/>
      </c>
      <c r="AC409" s="640"/>
      <c r="AD409" s="890" t="str">
        <f t="shared" si="43"/>
        <v/>
      </c>
      <c r="AE409" s="890" t="str">
        <f t="shared" si="44"/>
        <v/>
      </c>
      <c r="AF409" s="890" t="str">
        <f t="shared" si="45"/>
        <v/>
      </c>
      <c r="AG409" s="192">
        <f t="shared" si="41"/>
        <v>0</v>
      </c>
    </row>
    <row r="410" spans="1:33" x14ac:dyDescent="0.25">
      <c r="A410" s="57"/>
      <c r="B410" s="57"/>
      <c r="C410" s="109"/>
      <c r="F410" s="57"/>
      <c r="J410" s="57"/>
      <c r="K410" s="57"/>
      <c r="L410" s="57"/>
      <c r="M410" s="57"/>
      <c r="N410" s="57"/>
      <c r="O410" s="57"/>
      <c r="AA410" s="640" t="str">
        <f t="shared" si="40"/>
        <v/>
      </c>
      <c r="AB410" s="640" t="str">
        <f t="shared" si="42"/>
        <v/>
      </c>
      <c r="AC410" s="640"/>
      <c r="AD410" s="890" t="str">
        <f t="shared" si="43"/>
        <v/>
      </c>
      <c r="AE410" s="890" t="str">
        <f t="shared" si="44"/>
        <v/>
      </c>
      <c r="AF410" s="890" t="str">
        <f t="shared" si="45"/>
        <v/>
      </c>
      <c r="AG410" s="192">
        <f t="shared" si="41"/>
        <v>0</v>
      </c>
    </row>
    <row r="411" spans="1:33" x14ac:dyDescent="0.25">
      <c r="A411" s="57"/>
      <c r="B411" s="57"/>
      <c r="C411" s="109"/>
      <c r="F411" s="57"/>
      <c r="J411" s="57"/>
      <c r="K411" s="57"/>
      <c r="L411" s="57"/>
      <c r="M411" s="57"/>
      <c r="N411" s="57"/>
      <c r="O411" s="57"/>
      <c r="AA411" s="640" t="str">
        <f t="shared" si="40"/>
        <v/>
      </c>
      <c r="AB411" s="640" t="str">
        <f t="shared" si="42"/>
        <v/>
      </c>
      <c r="AC411" s="640"/>
      <c r="AD411" s="890" t="str">
        <f t="shared" si="43"/>
        <v/>
      </c>
      <c r="AE411" s="890" t="str">
        <f t="shared" si="44"/>
        <v/>
      </c>
      <c r="AF411" s="890" t="str">
        <f t="shared" si="45"/>
        <v/>
      </c>
      <c r="AG411" s="192">
        <f t="shared" si="41"/>
        <v>0</v>
      </c>
    </row>
    <row r="412" spans="1:33" x14ac:dyDescent="0.25">
      <c r="A412" s="57"/>
      <c r="B412" s="57"/>
      <c r="C412" s="109"/>
      <c r="F412" s="57"/>
      <c r="J412" s="57"/>
      <c r="K412" s="57"/>
      <c r="L412" s="57"/>
      <c r="M412" s="57"/>
      <c r="N412" s="57"/>
      <c r="O412" s="57"/>
      <c r="AA412" s="640" t="str">
        <f t="shared" si="40"/>
        <v/>
      </c>
      <c r="AB412" s="640" t="str">
        <f t="shared" si="42"/>
        <v/>
      </c>
      <c r="AC412" s="640"/>
      <c r="AD412" s="890" t="str">
        <f t="shared" si="43"/>
        <v/>
      </c>
      <c r="AE412" s="890" t="str">
        <f t="shared" si="44"/>
        <v/>
      </c>
      <c r="AF412" s="890" t="str">
        <f t="shared" si="45"/>
        <v/>
      </c>
      <c r="AG412" s="192">
        <f t="shared" si="41"/>
        <v>0</v>
      </c>
    </row>
    <row r="413" spans="1:33" x14ac:dyDescent="0.25">
      <c r="A413" s="57"/>
      <c r="B413" s="57"/>
      <c r="C413" s="109"/>
      <c r="F413" s="57"/>
      <c r="J413" s="57"/>
      <c r="K413" s="57"/>
      <c r="L413" s="57"/>
      <c r="M413" s="57"/>
      <c r="N413" s="57"/>
      <c r="O413" s="57"/>
      <c r="AA413" s="640" t="str">
        <f t="shared" si="40"/>
        <v/>
      </c>
      <c r="AB413" s="640" t="str">
        <f t="shared" si="42"/>
        <v/>
      </c>
      <c r="AC413" s="640"/>
      <c r="AD413" s="890" t="str">
        <f t="shared" si="43"/>
        <v/>
      </c>
      <c r="AE413" s="890" t="str">
        <f t="shared" si="44"/>
        <v/>
      </c>
      <c r="AF413" s="890" t="str">
        <f t="shared" si="45"/>
        <v/>
      </c>
      <c r="AG413" s="192">
        <f t="shared" si="41"/>
        <v>0</v>
      </c>
    </row>
    <row r="414" spans="1:33" x14ac:dyDescent="0.25">
      <c r="A414" s="57"/>
      <c r="B414" s="57"/>
      <c r="C414" s="109"/>
      <c r="F414" s="57"/>
      <c r="J414" s="57"/>
      <c r="K414" s="57"/>
      <c r="L414" s="57"/>
      <c r="M414" s="57"/>
      <c r="N414" s="57"/>
      <c r="O414" s="57"/>
      <c r="AA414" s="640" t="str">
        <f t="shared" si="40"/>
        <v/>
      </c>
      <c r="AB414" s="640" t="str">
        <f t="shared" si="42"/>
        <v/>
      </c>
      <c r="AC414" s="640"/>
      <c r="AD414" s="890" t="str">
        <f t="shared" si="43"/>
        <v/>
      </c>
      <c r="AE414" s="890" t="str">
        <f t="shared" si="44"/>
        <v/>
      </c>
      <c r="AF414" s="890" t="str">
        <f t="shared" si="45"/>
        <v/>
      </c>
      <c r="AG414" s="192">
        <f t="shared" si="41"/>
        <v>0</v>
      </c>
    </row>
    <row r="415" spans="1:33" x14ac:dyDescent="0.25">
      <c r="A415" s="57"/>
      <c r="B415" s="57"/>
      <c r="C415" s="109"/>
      <c r="F415" s="57"/>
      <c r="J415" s="57"/>
      <c r="K415" s="57"/>
      <c r="L415" s="57"/>
      <c r="M415" s="57"/>
      <c r="N415" s="57"/>
      <c r="O415" s="57"/>
      <c r="AA415" s="640" t="str">
        <f t="shared" si="40"/>
        <v/>
      </c>
      <c r="AB415" s="640" t="str">
        <f t="shared" si="42"/>
        <v/>
      </c>
      <c r="AC415" s="640"/>
      <c r="AD415" s="890" t="str">
        <f t="shared" si="43"/>
        <v/>
      </c>
      <c r="AE415" s="890" t="str">
        <f t="shared" si="44"/>
        <v/>
      </c>
      <c r="AF415" s="890" t="str">
        <f t="shared" si="45"/>
        <v/>
      </c>
      <c r="AG415" s="192">
        <f t="shared" si="41"/>
        <v>0</v>
      </c>
    </row>
    <row r="416" spans="1:33" x14ac:dyDescent="0.25">
      <c r="A416" s="57"/>
      <c r="B416" s="57"/>
      <c r="C416" s="109"/>
      <c r="F416" s="57"/>
      <c r="J416" s="57"/>
      <c r="K416" s="57"/>
      <c r="L416" s="57"/>
      <c r="M416" s="57"/>
      <c r="N416" s="57"/>
      <c r="O416" s="57"/>
      <c r="AA416" s="640" t="str">
        <f t="shared" si="40"/>
        <v/>
      </c>
      <c r="AB416" s="640" t="str">
        <f t="shared" si="42"/>
        <v/>
      </c>
      <c r="AC416" s="640"/>
      <c r="AD416" s="890" t="str">
        <f t="shared" si="43"/>
        <v/>
      </c>
      <c r="AE416" s="890" t="str">
        <f t="shared" si="44"/>
        <v/>
      </c>
      <c r="AF416" s="890" t="str">
        <f t="shared" si="45"/>
        <v/>
      </c>
      <c r="AG416" s="192">
        <f t="shared" si="41"/>
        <v>0</v>
      </c>
    </row>
    <row r="417" spans="1:33" x14ac:dyDescent="0.25">
      <c r="A417" s="57"/>
      <c r="B417" s="57"/>
      <c r="C417" s="109"/>
      <c r="F417" s="57"/>
      <c r="J417" s="57"/>
      <c r="K417" s="57"/>
      <c r="L417" s="57"/>
      <c r="M417" s="57"/>
      <c r="N417" s="57"/>
      <c r="O417" s="57"/>
      <c r="AA417" s="640" t="str">
        <f t="shared" si="40"/>
        <v/>
      </c>
      <c r="AB417" s="640" t="str">
        <f t="shared" si="42"/>
        <v/>
      </c>
      <c r="AC417" s="640"/>
      <c r="AD417" s="890" t="str">
        <f t="shared" si="43"/>
        <v/>
      </c>
      <c r="AE417" s="890" t="str">
        <f t="shared" si="44"/>
        <v/>
      </c>
      <c r="AF417" s="890" t="str">
        <f t="shared" si="45"/>
        <v/>
      </c>
      <c r="AG417" s="192">
        <f t="shared" si="41"/>
        <v>0</v>
      </c>
    </row>
    <row r="418" spans="1:33" x14ac:dyDescent="0.25">
      <c r="A418" s="57"/>
      <c r="B418" s="57"/>
      <c r="C418" s="109"/>
      <c r="F418" s="57"/>
      <c r="J418" s="57"/>
      <c r="K418" s="57"/>
      <c r="L418" s="57"/>
      <c r="M418" s="57"/>
      <c r="N418" s="57"/>
      <c r="O418" s="57"/>
      <c r="AA418" s="640" t="str">
        <f t="shared" si="40"/>
        <v/>
      </c>
      <c r="AB418" s="640" t="str">
        <f t="shared" si="42"/>
        <v/>
      </c>
      <c r="AC418" s="640"/>
      <c r="AD418" s="890" t="str">
        <f t="shared" si="43"/>
        <v/>
      </c>
      <c r="AE418" s="890" t="str">
        <f t="shared" si="44"/>
        <v/>
      </c>
      <c r="AF418" s="890" t="str">
        <f t="shared" si="45"/>
        <v/>
      </c>
      <c r="AG418" s="192">
        <f t="shared" si="41"/>
        <v>0</v>
      </c>
    </row>
    <row r="419" spans="1:33" x14ac:dyDescent="0.25">
      <c r="A419" s="57"/>
      <c r="B419" s="57"/>
      <c r="C419" s="109"/>
      <c r="F419" s="57"/>
      <c r="J419" s="57"/>
      <c r="K419" s="57"/>
      <c r="L419" s="57"/>
      <c r="M419" s="57"/>
      <c r="N419" s="57"/>
      <c r="O419" s="57"/>
      <c r="AA419" s="640" t="str">
        <f t="shared" si="40"/>
        <v/>
      </c>
      <c r="AB419" s="640" t="str">
        <f t="shared" si="42"/>
        <v/>
      </c>
      <c r="AC419" s="640"/>
      <c r="AD419" s="890" t="str">
        <f t="shared" si="43"/>
        <v/>
      </c>
      <c r="AE419" s="890" t="str">
        <f t="shared" si="44"/>
        <v/>
      </c>
      <c r="AF419" s="890" t="str">
        <f t="shared" si="45"/>
        <v/>
      </c>
      <c r="AG419" s="192">
        <f t="shared" si="41"/>
        <v>0</v>
      </c>
    </row>
    <row r="420" spans="1:33" x14ac:dyDescent="0.25">
      <c r="A420" s="57"/>
      <c r="B420" s="57"/>
      <c r="C420" s="109"/>
      <c r="F420" s="57"/>
      <c r="J420" s="57"/>
      <c r="K420" s="57"/>
      <c r="L420" s="57"/>
      <c r="M420" s="57"/>
      <c r="N420" s="57"/>
      <c r="O420" s="57"/>
      <c r="AA420" s="640" t="str">
        <f t="shared" si="40"/>
        <v/>
      </c>
      <c r="AB420" s="640" t="str">
        <f t="shared" si="42"/>
        <v/>
      </c>
      <c r="AC420" s="640"/>
      <c r="AD420" s="890" t="str">
        <f t="shared" si="43"/>
        <v/>
      </c>
      <c r="AE420" s="890" t="str">
        <f t="shared" si="44"/>
        <v/>
      </c>
      <c r="AF420" s="890" t="str">
        <f t="shared" si="45"/>
        <v/>
      </c>
      <c r="AG420" s="192">
        <f t="shared" si="41"/>
        <v>0</v>
      </c>
    </row>
    <row r="421" spans="1:33" x14ac:dyDescent="0.25">
      <c r="A421" s="57"/>
      <c r="B421" s="57"/>
      <c r="C421" s="109"/>
      <c r="F421" s="57"/>
      <c r="J421" s="57"/>
      <c r="K421" s="57"/>
      <c r="L421" s="57"/>
      <c r="M421" s="57"/>
      <c r="N421" s="57"/>
      <c r="O421" s="57"/>
      <c r="AA421" s="640" t="str">
        <f t="shared" si="40"/>
        <v/>
      </c>
      <c r="AB421" s="640" t="str">
        <f t="shared" si="42"/>
        <v/>
      </c>
      <c r="AC421" s="640"/>
      <c r="AD421" s="890" t="str">
        <f t="shared" si="43"/>
        <v/>
      </c>
      <c r="AE421" s="890" t="str">
        <f t="shared" si="44"/>
        <v/>
      </c>
      <c r="AF421" s="890" t="str">
        <f t="shared" si="45"/>
        <v/>
      </c>
      <c r="AG421" s="192">
        <f t="shared" si="41"/>
        <v>0</v>
      </c>
    </row>
    <row r="422" spans="1:33" x14ac:dyDescent="0.25">
      <c r="A422" s="57"/>
      <c r="B422" s="57"/>
      <c r="C422" s="109"/>
      <c r="F422" s="57"/>
      <c r="J422" s="57"/>
      <c r="K422" s="57"/>
      <c r="L422" s="57"/>
      <c r="M422" s="57"/>
      <c r="N422" s="57"/>
      <c r="O422" s="57"/>
      <c r="AA422" s="640" t="str">
        <f t="shared" si="40"/>
        <v/>
      </c>
      <c r="AB422" s="640" t="str">
        <f t="shared" si="42"/>
        <v/>
      </c>
      <c r="AC422" s="640"/>
      <c r="AD422" s="890" t="str">
        <f t="shared" si="43"/>
        <v/>
      </c>
      <c r="AE422" s="890" t="str">
        <f t="shared" si="44"/>
        <v/>
      </c>
      <c r="AF422" s="890" t="str">
        <f t="shared" si="45"/>
        <v/>
      </c>
      <c r="AG422" s="192">
        <f t="shared" si="41"/>
        <v>0</v>
      </c>
    </row>
    <row r="423" spans="1:33" x14ac:dyDescent="0.25">
      <c r="A423" s="57"/>
      <c r="B423" s="57"/>
      <c r="C423" s="109"/>
      <c r="F423" s="57"/>
      <c r="J423" s="57"/>
      <c r="K423" s="57"/>
      <c r="L423" s="57"/>
      <c r="M423" s="57"/>
      <c r="N423" s="57"/>
      <c r="O423" s="57"/>
      <c r="AA423" s="640" t="str">
        <f t="shared" si="40"/>
        <v/>
      </c>
      <c r="AB423" s="640" t="str">
        <f t="shared" si="42"/>
        <v/>
      </c>
      <c r="AC423" s="640"/>
      <c r="AD423" s="890" t="str">
        <f t="shared" si="43"/>
        <v/>
      </c>
      <c r="AE423" s="890" t="str">
        <f t="shared" si="44"/>
        <v/>
      </c>
      <c r="AF423" s="890" t="str">
        <f t="shared" si="45"/>
        <v/>
      </c>
      <c r="AG423" s="192">
        <f t="shared" si="41"/>
        <v>0</v>
      </c>
    </row>
    <row r="424" spans="1:33" x14ac:dyDescent="0.25">
      <c r="A424" s="57"/>
      <c r="B424" s="57"/>
      <c r="C424" s="109"/>
      <c r="F424" s="57"/>
      <c r="J424" s="57"/>
      <c r="K424" s="57"/>
      <c r="L424" s="57"/>
      <c r="M424" s="57"/>
      <c r="N424" s="57"/>
      <c r="O424" s="57"/>
      <c r="AA424" s="640" t="str">
        <f t="shared" si="40"/>
        <v/>
      </c>
      <c r="AB424" s="640" t="str">
        <f t="shared" si="42"/>
        <v/>
      </c>
      <c r="AC424" s="640"/>
      <c r="AD424" s="890" t="str">
        <f t="shared" si="43"/>
        <v/>
      </c>
      <c r="AE424" s="890" t="str">
        <f t="shared" si="44"/>
        <v/>
      </c>
      <c r="AF424" s="890" t="str">
        <f t="shared" si="45"/>
        <v/>
      </c>
      <c r="AG424" s="192">
        <f t="shared" si="41"/>
        <v>0</v>
      </c>
    </row>
    <row r="425" spans="1:33" x14ac:dyDescent="0.25">
      <c r="A425" s="57"/>
      <c r="B425" s="57"/>
      <c r="C425" s="109"/>
      <c r="F425" s="57"/>
      <c r="J425" s="57"/>
      <c r="K425" s="57"/>
      <c r="L425" s="57"/>
      <c r="M425" s="57"/>
      <c r="N425" s="57"/>
      <c r="O425" s="57"/>
      <c r="AA425" s="640" t="str">
        <f t="shared" si="40"/>
        <v/>
      </c>
      <c r="AB425" s="640" t="str">
        <f t="shared" si="42"/>
        <v/>
      </c>
      <c r="AC425" s="640"/>
      <c r="AD425" s="890" t="str">
        <f t="shared" si="43"/>
        <v/>
      </c>
      <c r="AE425" s="890" t="str">
        <f t="shared" si="44"/>
        <v/>
      </c>
      <c r="AF425" s="890" t="str">
        <f t="shared" si="45"/>
        <v/>
      </c>
      <c r="AG425" s="192">
        <f t="shared" si="41"/>
        <v>0</v>
      </c>
    </row>
    <row r="426" spans="1:33" x14ac:dyDescent="0.25">
      <c r="A426" s="57"/>
      <c r="B426" s="57"/>
      <c r="C426" s="109"/>
      <c r="F426" s="57"/>
      <c r="J426" s="57"/>
      <c r="K426" s="57"/>
      <c r="L426" s="57"/>
      <c r="M426" s="57"/>
      <c r="N426" s="57"/>
      <c r="O426" s="57"/>
      <c r="AA426" s="640" t="str">
        <f t="shared" si="40"/>
        <v/>
      </c>
      <c r="AB426" s="640" t="str">
        <f t="shared" si="42"/>
        <v/>
      </c>
      <c r="AC426" s="640"/>
      <c r="AD426" s="890" t="str">
        <f t="shared" si="43"/>
        <v/>
      </c>
      <c r="AE426" s="890" t="str">
        <f t="shared" si="44"/>
        <v/>
      </c>
      <c r="AF426" s="890" t="str">
        <f t="shared" si="45"/>
        <v/>
      </c>
      <c r="AG426" s="192">
        <f t="shared" si="41"/>
        <v>0</v>
      </c>
    </row>
    <row r="427" spans="1:33" x14ac:dyDescent="0.25">
      <c r="A427" s="57"/>
      <c r="B427" s="57"/>
      <c r="C427" s="109"/>
      <c r="F427" s="57"/>
      <c r="J427" s="57"/>
      <c r="K427" s="57"/>
      <c r="L427" s="57"/>
      <c r="M427" s="57"/>
      <c r="N427" s="57"/>
      <c r="O427" s="57"/>
      <c r="AA427" s="640" t="str">
        <f t="shared" si="40"/>
        <v/>
      </c>
      <c r="AB427" s="640" t="str">
        <f t="shared" si="42"/>
        <v/>
      </c>
      <c r="AC427" s="640"/>
      <c r="AD427" s="890" t="str">
        <f t="shared" si="43"/>
        <v/>
      </c>
      <c r="AE427" s="890" t="str">
        <f t="shared" si="44"/>
        <v/>
      </c>
      <c r="AF427" s="890" t="str">
        <f t="shared" si="45"/>
        <v/>
      </c>
      <c r="AG427" s="192">
        <f t="shared" si="41"/>
        <v>0</v>
      </c>
    </row>
    <row r="428" spans="1:33" x14ac:dyDescent="0.25">
      <c r="A428" s="57"/>
      <c r="B428" s="57"/>
      <c r="C428" s="109"/>
      <c r="F428" s="57"/>
      <c r="J428" s="57"/>
      <c r="K428" s="57"/>
      <c r="L428" s="57"/>
      <c r="M428" s="57"/>
      <c r="N428" s="57"/>
      <c r="O428" s="57"/>
      <c r="AA428" s="640" t="str">
        <f t="shared" si="40"/>
        <v/>
      </c>
      <c r="AB428" s="640" t="str">
        <f t="shared" si="42"/>
        <v/>
      </c>
      <c r="AC428" s="640"/>
      <c r="AD428" s="890" t="str">
        <f t="shared" si="43"/>
        <v/>
      </c>
      <c r="AE428" s="890" t="str">
        <f t="shared" si="44"/>
        <v/>
      </c>
      <c r="AF428" s="890" t="str">
        <f t="shared" si="45"/>
        <v/>
      </c>
      <c r="AG428" s="192">
        <f t="shared" si="41"/>
        <v>0</v>
      </c>
    </row>
    <row r="429" spans="1:33" x14ac:dyDescent="0.25">
      <c r="A429" s="57"/>
      <c r="B429" s="57"/>
      <c r="C429" s="109"/>
      <c r="F429" s="57"/>
      <c r="J429" s="57"/>
      <c r="K429" s="57"/>
      <c r="L429" s="57"/>
      <c r="M429" s="57"/>
      <c r="N429" s="57"/>
      <c r="O429" s="57"/>
      <c r="AA429" s="640" t="str">
        <f t="shared" si="40"/>
        <v/>
      </c>
      <c r="AB429" s="640" t="str">
        <f t="shared" si="42"/>
        <v/>
      </c>
      <c r="AC429" s="640"/>
      <c r="AD429" s="890" t="str">
        <f t="shared" si="43"/>
        <v/>
      </c>
      <c r="AE429" s="890" t="str">
        <f t="shared" si="44"/>
        <v/>
      </c>
      <c r="AF429" s="890" t="str">
        <f t="shared" si="45"/>
        <v/>
      </c>
      <c r="AG429" s="192">
        <f t="shared" si="41"/>
        <v>0</v>
      </c>
    </row>
    <row r="430" spans="1:33" x14ac:dyDescent="0.25">
      <c r="A430" s="57"/>
      <c r="B430" s="57"/>
      <c r="C430" s="109"/>
      <c r="F430" s="57"/>
      <c r="J430" s="57"/>
      <c r="K430" s="57"/>
      <c r="L430" s="57"/>
      <c r="M430" s="57"/>
      <c r="N430" s="57"/>
      <c r="O430" s="57"/>
      <c r="AA430" s="640" t="str">
        <f t="shared" si="40"/>
        <v/>
      </c>
      <c r="AB430" s="640" t="str">
        <f t="shared" si="42"/>
        <v/>
      </c>
      <c r="AC430" s="640"/>
      <c r="AD430" s="890" t="str">
        <f t="shared" si="43"/>
        <v/>
      </c>
      <c r="AE430" s="890" t="str">
        <f t="shared" si="44"/>
        <v/>
      </c>
      <c r="AF430" s="890" t="str">
        <f t="shared" si="45"/>
        <v/>
      </c>
      <c r="AG430" s="192">
        <f t="shared" si="41"/>
        <v>0</v>
      </c>
    </row>
    <row r="431" spans="1:33" x14ac:dyDescent="0.25">
      <c r="A431" s="57"/>
      <c r="B431" s="57"/>
      <c r="C431" s="109"/>
      <c r="F431" s="57"/>
      <c r="J431" s="57"/>
      <c r="K431" s="57"/>
      <c r="L431" s="57"/>
      <c r="M431" s="57"/>
      <c r="N431" s="57"/>
      <c r="O431" s="57"/>
      <c r="AA431" s="640" t="str">
        <f t="shared" si="40"/>
        <v/>
      </c>
      <c r="AB431" s="640" t="str">
        <f t="shared" si="42"/>
        <v/>
      </c>
      <c r="AC431" s="640"/>
      <c r="AD431" s="890" t="str">
        <f t="shared" si="43"/>
        <v/>
      </c>
      <c r="AE431" s="890" t="str">
        <f t="shared" si="44"/>
        <v/>
      </c>
      <c r="AF431" s="890" t="str">
        <f t="shared" si="45"/>
        <v/>
      </c>
      <c r="AG431" s="192">
        <f t="shared" si="41"/>
        <v>0</v>
      </c>
    </row>
    <row r="432" spans="1:33" x14ac:dyDescent="0.25">
      <c r="A432" s="57"/>
      <c r="B432" s="57"/>
      <c r="C432" s="109"/>
      <c r="F432" s="57"/>
      <c r="J432" s="57"/>
      <c r="K432" s="57"/>
      <c r="L432" s="57"/>
      <c r="M432" s="57"/>
      <c r="N432" s="57"/>
      <c r="O432" s="57"/>
      <c r="AA432" s="640" t="str">
        <f t="shared" si="40"/>
        <v/>
      </c>
      <c r="AB432" s="640" t="str">
        <f t="shared" si="42"/>
        <v/>
      </c>
      <c r="AC432" s="640"/>
      <c r="AD432" s="890" t="str">
        <f t="shared" si="43"/>
        <v/>
      </c>
      <c r="AE432" s="890" t="str">
        <f t="shared" si="44"/>
        <v/>
      </c>
      <c r="AF432" s="890" t="str">
        <f t="shared" si="45"/>
        <v/>
      </c>
      <c r="AG432" s="192">
        <f t="shared" si="41"/>
        <v>0</v>
      </c>
    </row>
    <row r="433" spans="1:33" x14ac:dyDescent="0.25">
      <c r="A433" s="57"/>
      <c r="B433" s="57"/>
      <c r="C433" s="109"/>
      <c r="F433" s="57"/>
      <c r="J433" s="57"/>
      <c r="K433" s="57"/>
      <c r="L433" s="57"/>
      <c r="M433" s="57"/>
      <c r="N433" s="57"/>
      <c r="O433" s="57"/>
      <c r="AA433" s="640" t="str">
        <f t="shared" si="40"/>
        <v/>
      </c>
      <c r="AB433" s="640" t="str">
        <f t="shared" si="42"/>
        <v/>
      </c>
      <c r="AC433" s="640"/>
      <c r="AD433" s="890" t="str">
        <f t="shared" si="43"/>
        <v/>
      </c>
      <c r="AE433" s="890" t="str">
        <f t="shared" si="44"/>
        <v/>
      </c>
      <c r="AF433" s="890" t="str">
        <f t="shared" si="45"/>
        <v/>
      </c>
      <c r="AG433" s="192">
        <f t="shared" si="41"/>
        <v>0</v>
      </c>
    </row>
    <row r="434" spans="1:33" x14ac:dyDescent="0.25">
      <c r="A434" s="57"/>
      <c r="B434" s="57"/>
      <c r="C434" s="109"/>
      <c r="F434" s="57"/>
      <c r="J434" s="57"/>
      <c r="K434" s="57"/>
      <c r="L434" s="57"/>
      <c r="M434" s="57"/>
      <c r="N434" s="57"/>
      <c r="O434" s="57"/>
      <c r="AA434" s="640" t="str">
        <f t="shared" si="40"/>
        <v/>
      </c>
      <c r="AB434" s="640" t="str">
        <f t="shared" si="42"/>
        <v/>
      </c>
      <c r="AC434" s="640"/>
      <c r="AD434" s="890" t="str">
        <f t="shared" si="43"/>
        <v/>
      </c>
      <c r="AE434" s="890" t="str">
        <f t="shared" si="44"/>
        <v/>
      </c>
      <c r="AF434" s="890" t="str">
        <f t="shared" si="45"/>
        <v/>
      </c>
      <c r="AG434" s="192">
        <f t="shared" si="41"/>
        <v>0</v>
      </c>
    </row>
    <row r="435" spans="1:33" x14ac:dyDescent="0.25">
      <c r="A435" s="57"/>
      <c r="B435" s="57"/>
      <c r="C435" s="109"/>
      <c r="F435" s="57"/>
      <c r="J435" s="57"/>
      <c r="K435" s="57"/>
      <c r="L435" s="57"/>
      <c r="M435" s="57"/>
      <c r="N435" s="57"/>
      <c r="O435" s="57"/>
      <c r="AA435" s="640" t="str">
        <f t="shared" si="40"/>
        <v/>
      </c>
      <c r="AB435" s="640" t="str">
        <f t="shared" si="42"/>
        <v/>
      </c>
      <c r="AC435" s="640"/>
      <c r="AD435" s="890" t="str">
        <f t="shared" si="43"/>
        <v/>
      </c>
      <c r="AE435" s="890" t="str">
        <f t="shared" si="44"/>
        <v/>
      </c>
      <c r="AF435" s="890" t="str">
        <f t="shared" si="45"/>
        <v/>
      </c>
      <c r="AG435" s="192">
        <f t="shared" si="41"/>
        <v>0</v>
      </c>
    </row>
    <row r="436" spans="1:33" x14ac:dyDescent="0.25">
      <c r="A436" s="57"/>
      <c r="B436" s="57"/>
      <c r="C436" s="109"/>
      <c r="F436" s="57"/>
      <c r="J436" s="57"/>
      <c r="K436" s="57"/>
      <c r="L436" s="57"/>
      <c r="M436" s="57"/>
      <c r="N436" s="57"/>
      <c r="O436" s="57"/>
      <c r="AA436" s="640" t="str">
        <f t="shared" si="40"/>
        <v/>
      </c>
      <c r="AB436" s="640" t="str">
        <f t="shared" si="42"/>
        <v/>
      </c>
      <c r="AC436" s="640"/>
      <c r="AD436" s="890" t="str">
        <f t="shared" si="43"/>
        <v/>
      </c>
      <c r="AE436" s="890" t="str">
        <f t="shared" si="44"/>
        <v/>
      </c>
      <c r="AF436" s="890" t="str">
        <f t="shared" si="45"/>
        <v/>
      </c>
      <c r="AG436" s="192">
        <f t="shared" si="41"/>
        <v>0</v>
      </c>
    </row>
    <row r="437" spans="1:33" x14ac:dyDescent="0.25">
      <c r="A437" s="57"/>
      <c r="B437" s="57"/>
      <c r="C437" s="109"/>
      <c r="F437" s="57"/>
      <c r="J437" s="57"/>
      <c r="K437" s="57"/>
      <c r="L437" s="57"/>
      <c r="M437" s="57"/>
      <c r="N437" s="57"/>
      <c r="O437" s="57"/>
      <c r="AA437" s="640" t="str">
        <f t="shared" si="40"/>
        <v/>
      </c>
      <c r="AB437" s="640" t="str">
        <f t="shared" si="42"/>
        <v/>
      </c>
      <c r="AC437" s="640"/>
      <c r="AD437" s="890" t="str">
        <f t="shared" si="43"/>
        <v/>
      </c>
      <c r="AE437" s="890" t="str">
        <f t="shared" si="44"/>
        <v/>
      </c>
      <c r="AF437" s="890" t="str">
        <f t="shared" si="45"/>
        <v/>
      </c>
      <c r="AG437" s="192">
        <f t="shared" si="41"/>
        <v>0</v>
      </c>
    </row>
    <row r="438" spans="1:33" x14ac:dyDescent="0.25">
      <c r="A438" s="57"/>
      <c r="B438" s="57"/>
      <c r="C438" s="109"/>
      <c r="F438" s="57"/>
      <c r="J438" s="57"/>
      <c r="K438" s="57"/>
      <c r="L438" s="57"/>
      <c r="M438" s="57"/>
      <c r="N438" s="57"/>
      <c r="O438" s="57"/>
      <c r="AA438" s="640" t="str">
        <f t="shared" si="40"/>
        <v/>
      </c>
      <c r="AB438" s="640" t="str">
        <f t="shared" si="42"/>
        <v/>
      </c>
      <c r="AC438" s="640"/>
      <c r="AD438" s="890" t="str">
        <f t="shared" si="43"/>
        <v/>
      </c>
      <c r="AE438" s="890" t="str">
        <f t="shared" si="44"/>
        <v/>
      </c>
      <c r="AF438" s="890" t="str">
        <f t="shared" si="45"/>
        <v/>
      </c>
      <c r="AG438" s="192">
        <f t="shared" si="41"/>
        <v>0</v>
      </c>
    </row>
    <row r="439" spans="1:33" x14ac:dyDescent="0.25">
      <c r="A439" s="57"/>
      <c r="B439" s="57"/>
      <c r="C439" s="109"/>
      <c r="F439" s="57"/>
      <c r="J439" s="57"/>
      <c r="K439" s="57"/>
      <c r="L439" s="57"/>
      <c r="M439" s="57"/>
      <c r="N439" s="57"/>
      <c r="O439" s="57"/>
      <c r="AA439" s="640" t="str">
        <f t="shared" si="40"/>
        <v/>
      </c>
      <c r="AB439" s="640" t="str">
        <f t="shared" si="42"/>
        <v/>
      </c>
      <c r="AC439" s="640"/>
      <c r="AD439" s="890" t="str">
        <f t="shared" si="43"/>
        <v/>
      </c>
      <c r="AE439" s="890" t="str">
        <f t="shared" si="44"/>
        <v/>
      </c>
      <c r="AF439" s="890" t="str">
        <f t="shared" si="45"/>
        <v/>
      </c>
      <c r="AG439" s="192">
        <f t="shared" si="41"/>
        <v>0</v>
      </c>
    </row>
    <row r="440" spans="1:33" x14ac:dyDescent="0.25">
      <c r="A440" s="57"/>
      <c r="B440" s="57"/>
      <c r="C440" s="109"/>
      <c r="F440" s="57"/>
      <c r="J440" s="57"/>
      <c r="K440" s="57"/>
      <c r="L440" s="57"/>
      <c r="M440" s="57"/>
      <c r="N440" s="57"/>
      <c r="O440" s="57"/>
      <c r="AA440" s="640" t="str">
        <f t="shared" si="40"/>
        <v/>
      </c>
      <c r="AB440" s="640" t="str">
        <f t="shared" si="42"/>
        <v/>
      </c>
      <c r="AC440" s="640"/>
      <c r="AD440" s="890" t="str">
        <f t="shared" si="43"/>
        <v/>
      </c>
      <c r="AE440" s="890" t="str">
        <f t="shared" si="44"/>
        <v/>
      </c>
      <c r="AF440" s="890" t="str">
        <f t="shared" si="45"/>
        <v/>
      </c>
      <c r="AG440" s="192">
        <f t="shared" si="41"/>
        <v>0</v>
      </c>
    </row>
    <row r="441" spans="1:33" x14ac:dyDescent="0.25">
      <c r="A441" s="57"/>
      <c r="B441" s="57"/>
      <c r="C441" s="109"/>
      <c r="F441" s="57"/>
      <c r="J441" s="57"/>
      <c r="K441" s="57"/>
      <c r="L441" s="57"/>
      <c r="M441" s="57"/>
      <c r="N441" s="57"/>
      <c r="O441" s="57"/>
      <c r="AA441" s="640" t="str">
        <f t="shared" si="40"/>
        <v/>
      </c>
      <c r="AB441" s="640" t="str">
        <f t="shared" si="42"/>
        <v/>
      </c>
      <c r="AC441" s="640"/>
      <c r="AD441" s="890" t="str">
        <f t="shared" si="43"/>
        <v/>
      </c>
      <c r="AE441" s="890" t="str">
        <f t="shared" si="44"/>
        <v/>
      </c>
      <c r="AF441" s="890" t="str">
        <f t="shared" si="45"/>
        <v/>
      </c>
      <c r="AG441" s="192">
        <f t="shared" si="41"/>
        <v>0</v>
      </c>
    </row>
    <row r="442" spans="1:33" x14ac:dyDescent="0.25">
      <c r="A442" s="57"/>
      <c r="B442" s="57"/>
      <c r="C442" s="109"/>
      <c r="F442" s="57"/>
      <c r="J442" s="57"/>
      <c r="K442" s="57"/>
      <c r="L442" s="57"/>
      <c r="M442" s="57"/>
      <c r="N442" s="57"/>
      <c r="O442" s="57"/>
      <c r="AA442" s="640" t="str">
        <f t="shared" si="40"/>
        <v/>
      </c>
      <c r="AB442" s="640" t="str">
        <f t="shared" si="42"/>
        <v/>
      </c>
      <c r="AC442" s="640"/>
      <c r="AD442" s="890" t="str">
        <f t="shared" si="43"/>
        <v/>
      </c>
      <c r="AE442" s="890" t="str">
        <f t="shared" si="44"/>
        <v/>
      </c>
      <c r="AF442" s="890" t="str">
        <f t="shared" si="45"/>
        <v/>
      </c>
      <c r="AG442" s="192">
        <f t="shared" si="41"/>
        <v>0</v>
      </c>
    </row>
    <row r="443" spans="1:33" x14ac:dyDescent="0.25">
      <c r="A443" s="57"/>
      <c r="B443" s="57"/>
      <c r="C443" s="109"/>
      <c r="F443" s="57"/>
      <c r="J443" s="57"/>
      <c r="K443" s="57"/>
      <c r="L443" s="57"/>
      <c r="M443" s="57"/>
      <c r="N443" s="57"/>
      <c r="O443" s="57"/>
      <c r="AA443" s="640" t="str">
        <f t="shared" si="40"/>
        <v/>
      </c>
      <c r="AB443" s="640" t="str">
        <f t="shared" si="42"/>
        <v/>
      </c>
      <c r="AC443" s="640"/>
      <c r="AD443" s="890" t="str">
        <f t="shared" si="43"/>
        <v/>
      </c>
      <c r="AE443" s="890" t="str">
        <f t="shared" si="44"/>
        <v/>
      </c>
      <c r="AF443" s="890" t="str">
        <f t="shared" si="45"/>
        <v/>
      </c>
      <c r="AG443" s="192">
        <f t="shared" si="41"/>
        <v>0</v>
      </c>
    </row>
    <row r="444" spans="1:33" x14ac:dyDescent="0.25">
      <c r="A444" s="57"/>
      <c r="B444" s="57"/>
      <c r="C444" s="109"/>
      <c r="F444" s="57"/>
      <c r="J444" s="57"/>
      <c r="K444" s="57"/>
      <c r="L444" s="57"/>
      <c r="M444" s="57"/>
      <c r="N444" s="57"/>
      <c r="O444" s="57"/>
      <c r="AA444" s="640" t="str">
        <f t="shared" si="40"/>
        <v/>
      </c>
      <c r="AB444" s="640" t="str">
        <f t="shared" si="42"/>
        <v/>
      </c>
      <c r="AC444" s="640"/>
      <c r="AD444" s="890" t="str">
        <f t="shared" si="43"/>
        <v/>
      </c>
      <c r="AE444" s="890" t="str">
        <f t="shared" si="44"/>
        <v/>
      </c>
      <c r="AF444" s="890" t="str">
        <f t="shared" si="45"/>
        <v/>
      </c>
      <c r="AG444" s="192">
        <f t="shared" si="41"/>
        <v>0</v>
      </c>
    </row>
    <row r="445" spans="1:33" x14ac:dyDescent="0.25">
      <c r="A445" s="57"/>
      <c r="B445" s="57"/>
      <c r="C445" s="109"/>
      <c r="F445" s="57"/>
      <c r="J445" s="57"/>
      <c r="K445" s="57"/>
      <c r="L445" s="57"/>
      <c r="M445" s="57"/>
      <c r="N445" s="57"/>
      <c r="O445" s="57"/>
      <c r="AA445" s="640" t="str">
        <f t="shared" si="40"/>
        <v/>
      </c>
      <c r="AB445" s="640" t="str">
        <f t="shared" si="42"/>
        <v/>
      </c>
      <c r="AC445" s="640"/>
      <c r="AD445" s="890" t="str">
        <f t="shared" si="43"/>
        <v/>
      </c>
      <c r="AE445" s="890" t="str">
        <f t="shared" si="44"/>
        <v/>
      </c>
      <c r="AF445" s="890" t="str">
        <f t="shared" si="45"/>
        <v/>
      </c>
      <c r="AG445" s="192">
        <f t="shared" si="41"/>
        <v>0</v>
      </c>
    </row>
    <row r="446" spans="1:33" x14ac:dyDescent="0.25">
      <c r="A446" s="57"/>
      <c r="B446" s="57"/>
      <c r="C446" s="109"/>
      <c r="F446" s="57"/>
      <c r="J446" s="57"/>
      <c r="K446" s="57"/>
      <c r="L446" s="57"/>
      <c r="M446" s="57"/>
      <c r="N446" s="57"/>
      <c r="O446" s="57"/>
      <c r="AA446" s="640" t="str">
        <f t="shared" si="40"/>
        <v/>
      </c>
      <c r="AB446" s="640" t="str">
        <f t="shared" si="42"/>
        <v/>
      </c>
      <c r="AC446" s="640"/>
      <c r="AD446" s="890" t="str">
        <f t="shared" si="43"/>
        <v/>
      </c>
      <c r="AE446" s="890" t="str">
        <f t="shared" si="44"/>
        <v/>
      </c>
      <c r="AF446" s="890" t="str">
        <f t="shared" si="45"/>
        <v/>
      </c>
      <c r="AG446" s="192">
        <f t="shared" si="41"/>
        <v>0</v>
      </c>
    </row>
    <row r="447" spans="1:33" x14ac:dyDescent="0.25">
      <c r="A447" s="57"/>
      <c r="B447" s="57"/>
      <c r="C447" s="109"/>
      <c r="F447" s="57"/>
      <c r="J447" s="57"/>
      <c r="K447" s="57"/>
      <c r="L447" s="57"/>
      <c r="M447" s="57"/>
      <c r="N447" s="57"/>
      <c r="O447" s="57"/>
      <c r="AA447" s="640" t="str">
        <f t="shared" si="40"/>
        <v/>
      </c>
      <c r="AB447" s="640" t="str">
        <f t="shared" si="42"/>
        <v/>
      </c>
      <c r="AC447" s="640"/>
      <c r="AD447" s="890" t="str">
        <f t="shared" si="43"/>
        <v/>
      </c>
      <c r="AE447" s="890" t="str">
        <f t="shared" si="44"/>
        <v/>
      </c>
      <c r="AF447" s="890" t="str">
        <f t="shared" si="45"/>
        <v/>
      </c>
      <c r="AG447" s="192">
        <f t="shared" si="41"/>
        <v>0</v>
      </c>
    </row>
    <row r="448" spans="1:33" x14ac:dyDescent="0.25">
      <c r="A448" s="57"/>
      <c r="B448" s="57"/>
      <c r="C448" s="109"/>
      <c r="F448" s="57"/>
      <c r="J448" s="57"/>
      <c r="K448" s="57"/>
      <c r="L448" s="57"/>
      <c r="M448" s="57"/>
      <c r="N448" s="57"/>
      <c r="O448" s="57"/>
      <c r="AA448" s="640" t="str">
        <f t="shared" si="40"/>
        <v/>
      </c>
      <c r="AB448" s="640" t="str">
        <f t="shared" si="42"/>
        <v/>
      </c>
      <c r="AC448" s="640"/>
      <c r="AD448" s="890" t="str">
        <f t="shared" si="43"/>
        <v/>
      </c>
      <c r="AE448" s="890" t="str">
        <f t="shared" si="44"/>
        <v/>
      </c>
      <c r="AF448" s="890" t="str">
        <f t="shared" si="45"/>
        <v/>
      </c>
      <c r="AG448" s="192">
        <f t="shared" si="41"/>
        <v>0</v>
      </c>
    </row>
    <row r="449" spans="1:33" x14ac:dyDescent="0.25">
      <c r="A449" s="57"/>
      <c r="B449" s="57"/>
      <c r="C449" s="109"/>
      <c r="F449" s="57"/>
      <c r="J449" s="57"/>
      <c r="K449" s="57"/>
      <c r="L449" s="57"/>
      <c r="M449" s="57"/>
      <c r="N449" s="57"/>
      <c r="O449" s="57"/>
      <c r="AA449" s="640" t="str">
        <f t="shared" si="40"/>
        <v/>
      </c>
      <c r="AB449" s="640" t="str">
        <f t="shared" si="42"/>
        <v/>
      </c>
      <c r="AC449" s="640"/>
      <c r="AD449" s="890" t="str">
        <f t="shared" si="43"/>
        <v/>
      </c>
      <c r="AE449" s="890" t="str">
        <f t="shared" si="44"/>
        <v/>
      </c>
      <c r="AF449" s="890" t="str">
        <f t="shared" si="45"/>
        <v/>
      </c>
      <c r="AG449" s="192">
        <f t="shared" si="41"/>
        <v>0</v>
      </c>
    </row>
    <row r="450" spans="1:33" x14ac:dyDescent="0.25">
      <c r="A450" s="57"/>
      <c r="B450" s="57"/>
      <c r="C450" s="109"/>
      <c r="F450" s="57"/>
      <c r="J450" s="57"/>
      <c r="K450" s="57"/>
      <c r="L450" s="57"/>
      <c r="M450" s="57"/>
      <c r="N450" s="57"/>
      <c r="O450" s="57"/>
      <c r="AA450" s="640" t="str">
        <f t="shared" si="40"/>
        <v/>
      </c>
      <c r="AB450" s="640" t="str">
        <f t="shared" si="42"/>
        <v/>
      </c>
      <c r="AC450" s="640"/>
      <c r="AD450" s="890" t="str">
        <f t="shared" si="43"/>
        <v/>
      </c>
      <c r="AE450" s="890" t="str">
        <f t="shared" si="44"/>
        <v/>
      </c>
      <c r="AF450" s="890" t="str">
        <f t="shared" si="45"/>
        <v/>
      </c>
      <c r="AG450" s="192">
        <f t="shared" si="41"/>
        <v>0</v>
      </c>
    </row>
    <row r="451" spans="1:33" x14ac:dyDescent="0.25">
      <c r="A451" s="57"/>
      <c r="B451" s="57"/>
      <c r="C451" s="109"/>
      <c r="F451" s="57"/>
      <c r="J451" s="57"/>
      <c r="K451" s="57"/>
      <c r="L451" s="57"/>
      <c r="M451" s="57"/>
      <c r="N451" s="57"/>
      <c r="O451" s="57"/>
      <c r="AA451" s="640" t="str">
        <f t="shared" si="40"/>
        <v/>
      </c>
      <c r="AB451" s="640" t="str">
        <f t="shared" si="42"/>
        <v/>
      </c>
      <c r="AC451" s="640"/>
      <c r="AD451" s="890" t="str">
        <f t="shared" si="43"/>
        <v/>
      </c>
      <c r="AE451" s="890" t="str">
        <f t="shared" si="44"/>
        <v/>
      </c>
      <c r="AF451" s="890" t="str">
        <f t="shared" si="45"/>
        <v/>
      </c>
      <c r="AG451" s="192">
        <f t="shared" si="41"/>
        <v>0</v>
      </c>
    </row>
    <row r="452" spans="1:33" x14ac:dyDescent="0.25">
      <c r="A452" s="57"/>
      <c r="B452" s="57"/>
      <c r="C452" s="109"/>
      <c r="F452" s="57"/>
      <c r="J452" s="57"/>
      <c r="K452" s="57"/>
      <c r="L452" s="57"/>
      <c r="M452" s="57"/>
      <c r="N452" s="57"/>
      <c r="O452" s="57"/>
      <c r="AA452" s="640" t="str">
        <f t="shared" si="40"/>
        <v/>
      </c>
      <c r="AB452" s="640" t="str">
        <f t="shared" si="42"/>
        <v/>
      </c>
      <c r="AC452" s="640"/>
      <c r="AD452" s="890" t="str">
        <f t="shared" si="43"/>
        <v/>
      </c>
      <c r="AE452" s="890" t="str">
        <f t="shared" si="44"/>
        <v/>
      </c>
      <c r="AF452" s="890" t="str">
        <f t="shared" si="45"/>
        <v/>
      </c>
      <c r="AG452" s="192">
        <f t="shared" si="41"/>
        <v>0</v>
      </c>
    </row>
    <row r="453" spans="1:33" x14ac:dyDescent="0.25">
      <c r="A453" s="57"/>
      <c r="B453" s="57"/>
      <c r="C453" s="109"/>
      <c r="F453" s="57"/>
      <c r="J453" s="57"/>
      <c r="K453" s="57"/>
      <c r="L453" s="57"/>
      <c r="M453" s="57"/>
      <c r="N453" s="57"/>
      <c r="O453" s="57"/>
      <c r="AA453" s="640" t="str">
        <f t="shared" si="40"/>
        <v/>
      </c>
      <c r="AB453" s="640" t="str">
        <f t="shared" si="42"/>
        <v/>
      </c>
      <c r="AC453" s="640"/>
      <c r="AD453" s="890" t="str">
        <f t="shared" si="43"/>
        <v/>
      </c>
      <c r="AE453" s="890" t="str">
        <f t="shared" si="44"/>
        <v/>
      </c>
      <c r="AF453" s="890" t="str">
        <f t="shared" si="45"/>
        <v/>
      </c>
      <c r="AG453" s="192">
        <f t="shared" si="41"/>
        <v>0</v>
      </c>
    </row>
    <row r="454" spans="1:33" x14ac:dyDescent="0.25">
      <c r="A454" s="57"/>
      <c r="B454" s="57"/>
      <c r="C454" s="109"/>
      <c r="F454" s="57"/>
      <c r="J454" s="57"/>
      <c r="K454" s="57"/>
      <c r="L454" s="57"/>
      <c r="M454" s="57"/>
      <c r="N454" s="57"/>
      <c r="O454" s="57"/>
      <c r="AA454" s="640" t="str">
        <f t="shared" si="40"/>
        <v/>
      </c>
      <c r="AB454" s="640" t="str">
        <f t="shared" si="42"/>
        <v/>
      </c>
      <c r="AC454" s="640"/>
      <c r="AD454" s="890" t="str">
        <f t="shared" si="43"/>
        <v/>
      </c>
      <c r="AE454" s="890" t="str">
        <f t="shared" si="44"/>
        <v/>
      </c>
      <c r="AF454" s="890" t="str">
        <f t="shared" si="45"/>
        <v/>
      </c>
      <c r="AG454" s="192">
        <f t="shared" si="41"/>
        <v>0</v>
      </c>
    </row>
    <row r="455" spans="1:33" x14ac:dyDescent="0.25">
      <c r="A455" s="57"/>
      <c r="B455" s="57"/>
      <c r="C455" s="109"/>
      <c r="F455" s="57"/>
      <c r="J455" s="57"/>
      <c r="K455" s="57"/>
      <c r="L455" s="57"/>
      <c r="M455" s="57"/>
      <c r="N455" s="57"/>
      <c r="O455" s="57"/>
      <c r="AA455" s="640" t="str">
        <f t="shared" ref="AA455:AA518" si="46">IF(G455=0, IF(OR(H455&gt;0,F455&gt;0),C455*F455,""),"")</f>
        <v/>
      </c>
      <c r="AB455" s="640" t="str">
        <f t="shared" si="42"/>
        <v/>
      </c>
      <c r="AC455" s="640"/>
      <c r="AD455" s="890" t="str">
        <f t="shared" si="43"/>
        <v/>
      </c>
      <c r="AE455" s="890" t="str">
        <f t="shared" si="44"/>
        <v/>
      </c>
      <c r="AF455" s="890" t="str">
        <f t="shared" si="45"/>
        <v/>
      </c>
      <c r="AG455" s="192">
        <f t="shared" ref="AG455:AG518" si="47">(C455*G455)+(C455*H455)+(C455*I455)</f>
        <v>0</v>
      </c>
    </row>
    <row r="456" spans="1:33" x14ac:dyDescent="0.25">
      <c r="A456" s="57"/>
      <c r="B456" s="57"/>
      <c r="C456" s="109"/>
      <c r="F456" s="57"/>
      <c r="J456" s="57"/>
      <c r="K456" s="57"/>
      <c r="L456" s="57"/>
      <c r="M456" s="57"/>
      <c r="N456" s="57"/>
      <c r="O456" s="57"/>
      <c r="AA456" s="640" t="str">
        <f t="shared" si="46"/>
        <v/>
      </c>
      <c r="AB456" s="640" t="str">
        <f t="shared" ref="AB456:AB519" si="48">IF(G456&gt;=1,IF(F456&gt;1,C456*(F456-2),""),"")</f>
        <v/>
      </c>
      <c r="AC456" s="640"/>
      <c r="AD456" s="890" t="str">
        <f t="shared" ref="AD456:AD519" si="49">IF(E456="YES",IF(G456=1,"",""),IF(G456=1,C456,IF(G456=2,C456,IF(G456=0,"",""))))</f>
        <v/>
      </c>
      <c r="AE456" s="890" t="str">
        <f t="shared" ref="AE456:AE519" si="50">IF(E456="YES",IF(G456=1,"",IF(H456=1,C456,"")),IF(H456=1,C456,IF(H456=2,C456,IF(H456=0,"",""))))</f>
        <v/>
      </c>
      <c r="AF456" s="890" t="str">
        <f t="shared" ref="AF456:AF519" si="51">IF(E456="YES",IF(I456=1,C456,""),IF(I456=1,C456,IF(I456=2,C456,IF(I456=0,"",""))))</f>
        <v/>
      </c>
      <c r="AG456" s="192">
        <f t="shared" si="47"/>
        <v>0</v>
      </c>
    </row>
    <row r="457" spans="1:33" x14ac:dyDescent="0.25">
      <c r="A457" s="57"/>
      <c r="B457" s="57"/>
      <c r="C457" s="109"/>
      <c r="F457" s="57"/>
      <c r="J457" s="57"/>
      <c r="K457" s="57"/>
      <c r="L457" s="57"/>
      <c r="M457" s="57"/>
      <c r="N457" s="57"/>
      <c r="O457" s="57"/>
      <c r="AA457" s="640" t="str">
        <f t="shared" si="46"/>
        <v/>
      </c>
      <c r="AB457" s="640" t="str">
        <f t="shared" si="48"/>
        <v/>
      </c>
      <c r="AC457" s="640"/>
      <c r="AD457" s="890" t="str">
        <f t="shared" si="49"/>
        <v/>
      </c>
      <c r="AE457" s="890" t="str">
        <f t="shared" si="50"/>
        <v/>
      </c>
      <c r="AF457" s="890" t="str">
        <f t="shared" si="51"/>
        <v/>
      </c>
      <c r="AG457" s="192">
        <f t="shared" si="47"/>
        <v>0</v>
      </c>
    </row>
    <row r="458" spans="1:33" x14ac:dyDescent="0.25">
      <c r="A458" s="57"/>
      <c r="B458" s="57"/>
      <c r="C458" s="109"/>
      <c r="F458" s="57"/>
      <c r="J458" s="57"/>
      <c r="K458" s="57"/>
      <c r="L458" s="57"/>
      <c r="M458" s="57"/>
      <c r="N458" s="57"/>
      <c r="O458" s="57"/>
      <c r="AA458" s="640" t="str">
        <f t="shared" si="46"/>
        <v/>
      </c>
      <c r="AB458" s="640" t="str">
        <f t="shared" si="48"/>
        <v/>
      </c>
      <c r="AC458" s="640"/>
      <c r="AD458" s="890" t="str">
        <f t="shared" si="49"/>
        <v/>
      </c>
      <c r="AE458" s="890" t="str">
        <f t="shared" si="50"/>
        <v/>
      </c>
      <c r="AF458" s="890" t="str">
        <f t="shared" si="51"/>
        <v/>
      </c>
      <c r="AG458" s="192">
        <f t="shared" si="47"/>
        <v>0</v>
      </c>
    </row>
    <row r="459" spans="1:33" x14ac:dyDescent="0.25">
      <c r="A459" s="57"/>
      <c r="B459" s="57"/>
      <c r="C459" s="109"/>
      <c r="F459" s="57"/>
      <c r="J459" s="57"/>
      <c r="K459" s="57"/>
      <c r="L459" s="57"/>
      <c r="M459" s="57"/>
      <c r="N459" s="57"/>
      <c r="O459" s="57"/>
      <c r="AA459" s="640" t="str">
        <f t="shared" si="46"/>
        <v/>
      </c>
      <c r="AB459" s="640" t="str">
        <f t="shared" si="48"/>
        <v/>
      </c>
      <c r="AC459" s="640"/>
      <c r="AD459" s="890" t="str">
        <f t="shared" si="49"/>
        <v/>
      </c>
      <c r="AE459" s="890" t="str">
        <f t="shared" si="50"/>
        <v/>
      </c>
      <c r="AF459" s="890" t="str">
        <f t="shared" si="51"/>
        <v/>
      </c>
      <c r="AG459" s="192">
        <f t="shared" si="47"/>
        <v>0</v>
      </c>
    </row>
    <row r="460" spans="1:33" x14ac:dyDescent="0.25">
      <c r="A460" s="57"/>
      <c r="B460" s="57"/>
      <c r="C460" s="109"/>
      <c r="F460" s="57"/>
      <c r="J460" s="57"/>
      <c r="K460" s="57"/>
      <c r="L460" s="57"/>
      <c r="M460" s="57"/>
      <c r="N460" s="57"/>
      <c r="O460" s="57"/>
      <c r="AA460" s="640" t="str">
        <f t="shared" si="46"/>
        <v/>
      </c>
      <c r="AB460" s="640" t="str">
        <f t="shared" si="48"/>
        <v/>
      </c>
      <c r="AC460" s="640"/>
      <c r="AD460" s="890" t="str">
        <f t="shared" si="49"/>
        <v/>
      </c>
      <c r="AE460" s="890" t="str">
        <f t="shared" si="50"/>
        <v/>
      </c>
      <c r="AF460" s="890" t="str">
        <f t="shared" si="51"/>
        <v/>
      </c>
      <c r="AG460" s="192">
        <f t="shared" si="47"/>
        <v>0</v>
      </c>
    </row>
    <row r="461" spans="1:33" x14ac:dyDescent="0.25">
      <c r="A461" s="57"/>
      <c r="B461" s="57"/>
      <c r="C461" s="109"/>
      <c r="F461" s="57"/>
      <c r="J461" s="57"/>
      <c r="K461" s="57"/>
      <c r="L461" s="57"/>
      <c r="M461" s="57"/>
      <c r="N461" s="57"/>
      <c r="O461" s="57"/>
      <c r="AA461" s="640" t="str">
        <f t="shared" si="46"/>
        <v/>
      </c>
      <c r="AB461" s="640" t="str">
        <f t="shared" si="48"/>
        <v/>
      </c>
      <c r="AC461" s="640"/>
      <c r="AD461" s="890" t="str">
        <f t="shared" si="49"/>
        <v/>
      </c>
      <c r="AE461" s="890" t="str">
        <f t="shared" si="50"/>
        <v/>
      </c>
      <c r="AF461" s="890" t="str">
        <f t="shared" si="51"/>
        <v/>
      </c>
      <c r="AG461" s="192">
        <f t="shared" si="47"/>
        <v>0</v>
      </c>
    </row>
    <row r="462" spans="1:33" x14ac:dyDescent="0.25">
      <c r="A462" s="57"/>
      <c r="B462" s="57"/>
      <c r="C462" s="109"/>
      <c r="F462" s="57"/>
      <c r="J462" s="57"/>
      <c r="K462" s="57"/>
      <c r="L462" s="57"/>
      <c r="M462" s="57"/>
      <c r="N462" s="57"/>
      <c r="O462" s="57"/>
      <c r="AA462" s="640" t="str">
        <f t="shared" si="46"/>
        <v/>
      </c>
      <c r="AB462" s="640" t="str">
        <f t="shared" si="48"/>
        <v/>
      </c>
      <c r="AC462" s="640"/>
      <c r="AD462" s="890" t="str">
        <f t="shared" si="49"/>
        <v/>
      </c>
      <c r="AE462" s="890" t="str">
        <f t="shared" si="50"/>
        <v/>
      </c>
      <c r="AF462" s="890" t="str">
        <f t="shared" si="51"/>
        <v/>
      </c>
      <c r="AG462" s="192">
        <f t="shared" si="47"/>
        <v>0</v>
      </c>
    </row>
    <row r="463" spans="1:33" x14ac:dyDescent="0.25">
      <c r="A463" s="57"/>
      <c r="B463" s="57"/>
      <c r="C463" s="109"/>
      <c r="F463" s="57"/>
      <c r="J463" s="57"/>
      <c r="K463" s="57"/>
      <c r="L463" s="57"/>
      <c r="M463" s="57"/>
      <c r="N463" s="57"/>
      <c r="O463" s="57"/>
      <c r="AA463" s="640" t="str">
        <f t="shared" si="46"/>
        <v/>
      </c>
      <c r="AB463" s="640" t="str">
        <f t="shared" si="48"/>
        <v/>
      </c>
      <c r="AC463" s="640"/>
      <c r="AD463" s="890" t="str">
        <f t="shared" si="49"/>
        <v/>
      </c>
      <c r="AE463" s="890" t="str">
        <f t="shared" si="50"/>
        <v/>
      </c>
      <c r="AF463" s="890" t="str">
        <f t="shared" si="51"/>
        <v/>
      </c>
      <c r="AG463" s="192">
        <f t="shared" si="47"/>
        <v>0</v>
      </c>
    </row>
    <row r="464" spans="1:33" x14ac:dyDescent="0.25">
      <c r="A464" s="57"/>
      <c r="B464" s="57"/>
      <c r="C464" s="109"/>
      <c r="F464" s="57"/>
      <c r="J464" s="57"/>
      <c r="K464" s="57"/>
      <c r="L464" s="57"/>
      <c r="M464" s="57"/>
      <c r="N464" s="57"/>
      <c r="O464" s="57"/>
      <c r="AA464" s="640" t="str">
        <f t="shared" si="46"/>
        <v/>
      </c>
      <c r="AB464" s="640" t="str">
        <f t="shared" si="48"/>
        <v/>
      </c>
      <c r="AC464" s="640"/>
      <c r="AD464" s="890" t="str">
        <f t="shared" si="49"/>
        <v/>
      </c>
      <c r="AE464" s="890" t="str">
        <f t="shared" si="50"/>
        <v/>
      </c>
      <c r="AF464" s="890" t="str">
        <f t="shared" si="51"/>
        <v/>
      </c>
      <c r="AG464" s="192">
        <f t="shared" si="47"/>
        <v>0</v>
      </c>
    </row>
    <row r="465" spans="1:33" x14ac:dyDescent="0.25">
      <c r="A465" s="57"/>
      <c r="B465" s="57"/>
      <c r="C465" s="109"/>
      <c r="F465" s="57"/>
      <c r="J465" s="57"/>
      <c r="K465" s="57"/>
      <c r="L465" s="57"/>
      <c r="M465" s="57"/>
      <c r="N465" s="57"/>
      <c r="O465" s="57"/>
      <c r="AA465" s="640" t="str">
        <f t="shared" si="46"/>
        <v/>
      </c>
      <c r="AB465" s="640" t="str">
        <f t="shared" si="48"/>
        <v/>
      </c>
      <c r="AC465" s="640"/>
      <c r="AD465" s="890" t="str">
        <f t="shared" si="49"/>
        <v/>
      </c>
      <c r="AE465" s="890" t="str">
        <f t="shared" si="50"/>
        <v/>
      </c>
      <c r="AF465" s="890" t="str">
        <f t="shared" si="51"/>
        <v/>
      </c>
      <c r="AG465" s="192">
        <f t="shared" si="47"/>
        <v>0</v>
      </c>
    </row>
    <row r="466" spans="1:33" x14ac:dyDescent="0.25">
      <c r="A466" s="57"/>
      <c r="B466" s="57"/>
      <c r="C466" s="109"/>
      <c r="F466" s="57"/>
      <c r="J466" s="57"/>
      <c r="K466" s="57"/>
      <c r="L466" s="57"/>
      <c r="M466" s="57"/>
      <c r="N466" s="57"/>
      <c r="O466" s="57"/>
      <c r="AA466" s="640" t="str">
        <f t="shared" si="46"/>
        <v/>
      </c>
      <c r="AB466" s="640" t="str">
        <f t="shared" si="48"/>
        <v/>
      </c>
      <c r="AC466" s="640"/>
      <c r="AD466" s="890" t="str">
        <f t="shared" si="49"/>
        <v/>
      </c>
      <c r="AE466" s="890" t="str">
        <f t="shared" si="50"/>
        <v/>
      </c>
      <c r="AF466" s="890" t="str">
        <f t="shared" si="51"/>
        <v/>
      </c>
      <c r="AG466" s="192">
        <f t="shared" si="47"/>
        <v>0</v>
      </c>
    </row>
    <row r="467" spans="1:33" x14ac:dyDescent="0.25">
      <c r="A467" s="57"/>
      <c r="B467" s="57"/>
      <c r="C467" s="109"/>
      <c r="F467" s="57"/>
      <c r="J467" s="57"/>
      <c r="K467" s="57"/>
      <c r="L467" s="57"/>
      <c r="M467" s="57"/>
      <c r="N467" s="57"/>
      <c r="O467" s="57"/>
      <c r="AA467" s="640" t="str">
        <f t="shared" si="46"/>
        <v/>
      </c>
      <c r="AB467" s="640" t="str">
        <f t="shared" si="48"/>
        <v/>
      </c>
      <c r="AC467" s="640"/>
      <c r="AD467" s="890" t="str">
        <f t="shared" si="49"/>
        <v/>
      </c>
      <c r="AE467" s="890" t="str">
        <f t="shared" si="50"/>
        <v/>
      </c>
      <c r="AF467" s="890" t="str">
        <f t="shared" si="51"/>
        <v/>
      </c>
      <c r="AG467" s="192">
        <f t="shared" si="47"/>
        <v>0</v>
      </c>
    </row>
    <row r="468" spans="1:33" x14ac:dyDescent="0.25">
      <c r="A468" s="57"/>
      <c r="B468" s="57"/>
      <c r="C468" s="109"/>
      <c r="F468" s="57"/>
      <c r="J468" s="57"/>
      <c r="K468" s="57"/>
      <c r="L468" s="57"/>
      <c r="M468" s="57"/>
      <c r="N468" s="57"/>
      <c r="O468" s="57"/>
      <c r="AA468" s="640" t="str">
        <f t="shared" si="46"/>
        <v/>
      </c>
      <c r="AB468" s="640" t="str">
        <f t="shared" si="48"/>
        <v/>
      </c>
      <c r="AC468" s="640"/>
      <c r="AD468" s="890" t="str">
        <f t="shared" si="49"/>
        <v/>
      </c>
      <c r="AE468" s="890" t="str">
        <f t="shared" si="50"/>
        <v/>
      </c>
      <c r="AF468" s="890" t="str">
        <f t="shared" si="51"/>
        <v/>
      </c>
      <c r="AG468" s="192">
        <f t="shared" si="47"/>
        <v>0</v>
      </c>
    </row>
    <row r="469" spans="1:33" x14ac:dyDescent="0.25">
      <c r="A469" s="57"/>
      <c r="B469" s="57"/>
      <c r="C469" s="109"/>
      <c r="F469" s="57"/>
      <c r="J469" s="57"/>
      <c r="K469" s="57"/>
      <c r="L469" s="57"/>
      <c r="M469" s="57"/>
      <c r="N469" s="57"/>
      <c r="O469" s="57"/>
      <c r="AA469" s="640" t="str">
        <f t="shared" si="46"/>
        <v/>
      </c>
      <c r="AB469" s="640" t="str">
        <f t="shared" si="48"/>
        <v/>
      </c>
      <c r="AC469" s="640"/>
      <c r="AD469" s="890" t="str">
        <f t="shared" si="49"/>
        <v/>
      </c>
      <c r="AE469" s="890" t="str">
        <f t="shared" si="50"/>
        <v/>
      </c>
      <c r="AF469" s="890" t="str">
        <f t="shared" si="51"/>
        <v/>
      </c>
      <c r="AG469" s="192">
        <f t="shared" si="47"/>
        <v>0</v>
      </c>
    </row>
    <row r="470" spans="1:33" x14ac:dyDescent="0.25">
      <c r="A470" s="57"/>
      <c r="B470" s="57"/>
      <c r="C470" s="109"/>
      <c r="F470" s="57"/>
      <c r="J470" s="57"/>
      <c r="K470" s="57"/>
      <c r="L470" s="57"/>
      <c r="M470" s="57"/>
      <c r="N470" s="57"/>
      <c r="O470" s="57"/>
      <c r="AA470" s="640" t="str">
        <f t="shared" si="46"/>
        <v/>
      </c>
      <c r="AB470" s="640" t="str">
        <f t="shared" si="48"/>
        <v/>
      </c>
      <c r="AC470" s="640"/>
      <c r="AD470" s="890" t="str">
        <f t="shared" si="49"/>
        <v/>
      </c>
      <c r="AE470" s="890" t="str">
        <f t="shared" si="50"/>
        <v/>
      </c>
      <c r="AF470" s="890" t="str">
        <f t="shared" si="51"/>
        <v/>
      </c>
      <c r="AG470" s="192">
        <f t="shared" si="47"/>
        <v>0</v>
      </c>
    </row>
    <row r="471" spans="1:33" x14ac:dyDescent="0.25">
      <c r="A471" s="57"/>
      <c r="B471" s="57"/>
      <c r="C471" s="109"/>
      <c r="F471" s="57"/>
      <c r="J471" s="57"/>
      <c r="K471" s="57"/>
      <c r="L471" s="57"/>
      <c r="M471" s="57"/>
      <c r="N471" s="57"/>
      <c r="O471" s="57"/>
      <c r="AA471" s="640" t="str">
        <f t="shared" si="46"/>
        <v/>
      </c>
      <c r="AB471" s="640" t="str">
        <f t="shared" si="48"/>
        <v/>
      </c>
      <c r="AC471" s="640"/>
      <c r="AD471" s="890" t="str">
        <f t="shared" si="49"/>
        <v/>
      </c>
      <c r="AE471" s="890" t="str">
        <f t="shared" si="50"/>
        <v/>
      </c>
      <c r="AF471" s="890" t="str">
        <f t="shared" si="51"/>
        <v/>
      </c>
      <c r="AG471" s="192">
        <f t="shared" si="47"/>
        <v>0</v>
      </c>
    </row>
    <row r="472" spans="1:33" x14ac:dyDescent="0.25">
      <c r="A472" s="57"/>
      <c r="B472" s="57"/>
      <c r="C472" s="109"/>
      <c r="F472" s="57"/>
      <c r="J472" s="57"/>
      <c r="K472" s="57"/>
      <c r="L472" s="57"/>
      <c r="M472" s="57"/>
      <c r="N472" s="57"/>
      <c r="O472" s="57"/>
      <c r="AA472" s="640" t="str">
        <f t="shared" si="46"/>
        <v/>
      </c>
      <c r="AB472" s="640" t="str">
        <f t="shared" si="48"/>
        <v/>
      </c>
      <c r="AC472" s="640"/>
      <c r="AD472" s="890" t="str">
        <f t="shared" si="49"/>
        <v/>
      </c>
      <c r="AE472" s="890" t="str">
        <f t="shared" si="50"/>
        <v/>
      </c>
      <c r="AF472" s="890" t="str">
        <f t="shared" si="51"/>
        <v/>
      </c>
      <c r="AG472" s="192">
        <f t="shared" si="47"/>
        <v>0</v>
      </c>
    </row>
    <row r="473" spans="1:33" x14ac:dyDescent="0.25">
      <c r="A473" s="57"/>
      <c r="B473" s="57"/>
      <c r="C473" s="109"/>
      <c r="F473" s="57"/>
      <c r="J473" s="57"/>
      <c r="K473" s="57"/>
      <c r="L473" s="57"/>
      <c r="M473" s="57"/>
      <c r="N473" s="57"/>
      <c r="O473" s="57"/>
      <c r="AA473" s="640" t="str">
        <f t="shared" si="46"/>
        <v/>
      </c>
      <c r="AB473" s="640" t="str">
        <f t="shared" si="48"/>
        <v/>
      </c>
      <c r="AC473" s="640"/>
      <c r="AD473" s="890" t="str">
        <f t="shared" si="49"/>
        <v/>
      </c>
      <c r="AE473" s="890" t="str">
        <f t="shared" si="50"/>
        <v/>
      </c>
      <c r="AF473" s="890" t="str">
        <f t="shared" si="51"/>
        <v/>
      </c>
      <c r="AG473" s="192">
        <f t="shared" si="47"/>
        <v>0</v>
      </c>
    </row>
    <row r="474" spans="1:33" x14ac:dyDescent="0.25">
      <c r="A474" s="57"/>
      <c r="B474" s="57"/>
      <c r="C474" s="109"/>
      <c r="F474" s="57"/>
      <c r="J474" s="57"/>
      <c r="K474" s="57"/>
      <c r="L474" s="57"/>
      <c r="M474" s="57"/>
      <c r="N474" s="57"/>
      <c r="O474" s="57"/>
      <c r="AA474" s="640" t="str">
        <f t="shared" si="46"/>
        <v/>
      </c>
      <c r="AB474" s="640" t="str">
        <f t="shared" si="48"/>
        <v/>
      </c>
      <c r="AC474" s="640"/>
      <c r="AD474" s="890" t="str">
        <f t="shared" si="49"/>
        <v/>
      </c>
      <c r="AE474" s="890" t="str">
        <f t="shared" si="50"/>
        <v/>
      </c>
      <c r="AF474" s="890" t="str">
        <f t="shared" si="51"/>
        <v/>
      </c>
      <c r="AG474" s="192">
        <f t="shared" si="47"/>
        <v>0</v>
      </c>
    </row>
    <row r="475" spans="1:33" x14ac:dyDescent="0.25">
      <c r="A475" s="57"/>
      <c r="B475" s="57"/>
      <c r="C475" s="109"/>
      <c r="F475" s="57"/>
      <c r="J475" s="57"/>
      <c r="K475" s="57"/>
      <c r="L475" s="57"/>
      <c r="M475" s="57"/>
      <c r="N475" s="57"/>
      <c r="O475" s="57"/>
      <c r="AA475" s="640" t="str">
        <f t="shared" si="46"/>
        <v/>
      </c>
      <c r="AB475" s="640" t="str">
        <f t="shared" si="48"/>
        <v/>
      </c>
      <c r="AC475" s="640"/>
      <c r="AD475" s="890" t="str">
        <f t="shared" si="49"/>
        <v/>
      </c>
      <c r="AE475" s="890" t="str">
        <f t="shared" si="50"/>
        <v/>
      </c>
      <c r="AF475" s="890" t="str">
        <f t="shared" si="51"/>
        <v/>
      </c>
      <c r="AG475" s="192">
        <f t="shared" si="47"/>
        <v>0</v>
      </c>
    </row>
    <row r="476" spans="1:33" x14ac:dyDescent="0.25">
      <c r="A476" s="57"/>
      <c r="B476" s="57"/>
      <c r="C476" s="109"/>
      <c r="F476" s="57"/>
      <c r="J476" s="57"/>
      <c r="K476" s="57"/>
      <c r="L476" s="57"/>
      <c r="M476" s="57"/>
      <c r="N476" s="57"/>
      <c r="O476" s="57"/>
      <c r="AA476" s="640" t="str">
        <f t="shared" si="46"/>
        <v/>
      </c>
      <c r="AB476" s="640" t="str">
        <f t="shared" si="48"/>
        <v/>
      </c>
      <c r="AC476" s="640"/>
      <c r="AD476" s="890" t="str">
        <f t="shared" si="49"/>
        <v/>
      </c>
      <c r="AE476" s="890" t="str">
        <f t="shared" si="50"/>
        <v/>
      </c>
      <c r="AF476" s="890" t="str">
        <f t="shared" si="51"/>
        <v/>
      </c>
      <c r="AG476" s="192">
        <f t="shared" si="47"/>
        <v>0</v>
      </c>
    </row>
    <row r="477" spans="1:33" x14ac:dyDescent="0.25">
      <c r="A477" s="57"/>
      <c r="B477" s="57"/>
      <c r="C477" s="109"/>
      <c r="F477" s="57"/>
      <c r="J477" s="57"/>
      <c r="K477" s="57"/>
      <c r="L477" s="57"/>
      <c r="M477" s="57"/>
      <c r="N477" s="57"/>
      <c r="O477" s="57"/>
      <c r="AA477" s="640" t="str">
        <f t="shared" si="46"/>
        <v/>
      </c>
      <c r="AB477" s="640" t="str">
        <f t="shared" si="48"/>
        <v/>
      </c>
      <c r="AC477" s="640"/>
      <c r="AD477" s="890" t="str">
        <f t="shared" si="49"/>
        <v/>
      </c>
      <c r="AE477" s="890" t="str">
        <f t="shared" si="50"/>
        <v/>
      </c>
      <c r="AF477" s="890" t="str">
        <f t="shared" si="51"/>
        <v/>
      </c>
      <c r="AG477" s="192">
        <f t="shared" si="47"/>
        <v>0</v>
      </c>
    </row>
    <row r="478" spans="1:33" x14ac:dyDescent="0.25">
      <c r="A478" s="57"/>
      <c r="B478" s="57"/>
      <c r="C478" s="109"/>
      <c r="F478" s="57"/>
      <c r="J478" s="57"/>
      <c r="K478" s="57"/>
      <c r="L478" s="57"/>
      <c r="M478" s="57"/>
      <c r="N478" s="57"/>
      <c r="O478" s="57"/>
      <c r="AA478" s="640" t="str">
        <f t="shared" si="46"/>
        <v/>
      </c>
      <c r="AB478" s="640" t="str">
        <f t="shared" si="48"/>
        <v/>
      </c>
      <c r="AC478" s="640"/>
      <c r="AD478" s="890" t="str">
        <f t="shared" si="49"/>
        <v/>
      </c>
      <c r="AE478" s="890" t="str">
        <f t="shared" si="50"/>
        <v/>
      </c>
      <c r="AF478" s="890" t="str">
        <f t="shared" si="51"/>
        <v/>
      </c>
      <c r="AG478" s="192">
        <f t="shared" si="47"/>
        <v>0</v>
      </c>
    </row>
    <row r="479" spans="1:33" x14ac:dyDescent="0.25">
      <c r="A479" s="57"/>
      <c r="B479" s="57"/>
      <c r="C479" s="109"/>
      <c r="F479" s="57"/>
      <c r="J479" s="57"/>
      <c r="K479" s="57"/>
      <c r="L479" s="57"/>
      <c r="M479" s="57"/>
      <c r="N479" s="57"/>
      <c r="O479" s="57"/>
      <c r="AA479" s="640" t="str">
        <f t="shared" si="46"/>
        <v/>
      </c>
      <c r="AB479" s="640" t="str">
        <f t="shared" si="48"/>
        <v/>
      </c>
      <c r="AC479" s="640"/>
      <c r="AD479" s="890" t="str">
        <f t="shared" si="49"/>
        <v/>
      </c>
      <c r="AE479" s="890" t="str">
        <f t="shared" si="50"/>
        <v/>
      </c>
      <c r="AF479" s="890" t="str">
        <f t="shared" si="51"/>
        <v/>
      </c>
      <c r="AG479" s="192">
        <f t="shared" si="47"/>
        <v>0</v>
      </c>
    </row>
    <row r="480" spans="1:33" x14ac:dyDescent="0.25">
      <c r="A480" s="57"/>
      <c r="B480" s="57"/>
      <c r="C480" s="109"/>
      <c r="F480" s="57"/>
      <c r="J480" s="57"/>
      <c r="K480" s="57"/>
      <c r="L480" s="57"/>
      <c r="M480" s="57"/>
      <c r="N480" s="57"/>
      <c r="O480" s="57"/>
      <c r="AA480" s="640" t="str">
        <f t="shared" si="46"/>
        <v/>
      </c>
      <c r="AB480" s="640" t="str">
        <f t="shared" si="48"/>
        <v/>
      </c>
      <c r="AC480" s="640"/>
      <c r="AD480" s="890" t="str">
        <f t="shared" si="49"/>
        <v/>
      </c>
      <c r="AE480" s="890" t="str">
        <f t="shared" si="50"/>
        <v/>
      </c>
      <c r="AF480" s="890" t="str">
        <f t="shared" si="51"/>
        <v/>
      </c>
      <c r="AG480" s="192">
        <f t="shared" si="47"/>
        <v>0</v>
      </c>
    </row>
    <row r="481" spans="1:33" x14ac:dyDescent="0.25">
      <c r="A481" s="57"/>
      <c r="B481" s="57"/>
      <c r="C481" s="109"/>
      <c r="F481" s="57"/>
      <c r="J481" s="57"/>
      <c r="K481" s="57"/>
      <c r="L481" s="57"/>
      <c r="M481" s="57"/>
      <c r="N481" s="57"/>
      <c r="O481" s="57"/>
      <c r="AA481" s="640" t="str">
        <f t="shared" si="46"/>
        <v/>
      </c>
      <c r="AB481" s="640" t="str">
        <f t="shared" si="48"/>
        <v/>
      </c>
      <c r="AC481" s="640"/>
      <c r="AD481" s="890" t="str">
        <f t="shared" si="49"/>
        <v/>
      </c>
      <c r="AE481" s="890" t="str">
        <f t="shared" si="50"/>
        <v/>
      </c>
      <c r="AF481" s="890" t="str">
        <f t="shared" si="51"/>
        <v/>
      </c>
      <c r="AG481" s="192">
        <f t="shared" si="47"/>
        <v>0</v>
      </c>
    </row>
    <row r="482" spans="1:33" x14ac:dyDescent="0.25">
      <c r="A482" s="57"/>
      <c r="B482" s="57"/>
      <c r="C482" s="109"/>
      <c r="F482" s="57"/>
      <c r="J482" s="57"/>
      <c r="K482" s="57"/>
      <c r="L482" s="57"/>
      <c r="M482" s="57"/>
      <c r="N482" s="57"/>
      <c r="O482" s="57"/>
      <c r="AA482" s="640" t="str">
        <f t="shared" si="46"/>
        <v/>
      </c>
      <c r="AB482" s="640" t="str">
        <f t="shared" si="48"/>
        <v/>
      </c>
      <c r="AC482" s="640"/>
      <c r="AD482" s="890" t="str">
        <f t="shared" si="49"/>
        <v/>
      </c>
      <c r="AE482" s="890" t="str">
        <f t="shared" si="50"/>
        <v/>
      </c>
      <c r="AF482" s="890" t="str">
        <f t="shared" si="51"/>
        <v/>
      </c>
      <c r="AG482" s="192">
        <f t="shared" si="47"/>
        <v>0</v>
      </c>
    </row>
    <row r="483" spans="1:33" x14ac:dyDescent="0.25">
      <c r="A483" s="57"/>
      <c r="B483" s="57"/>
      <c r="C483" s="109"/>
      <c r="F483" s="57"/>
      <c r="J483" s="57"/>
      <c r="K483" s="57"/>
      <c r="L483" s="57"/>
      <c r="M483" s="57"/>
      <c r="N483" s="57"/>
      <c r="O483" s="57"/>
      <c r="AA483" s="640" t="str">
        <f t="shared" si="46"/>
        <v/>
      </c>
      <c r="AB483" s="640" t="str">
        <f t="shared" si="48"/>
        <v/>
      </c>
      <c r="AC483" s="640"/>
      <c r="AD483" s="890" t="str">
        <f t="shared" si="49"/>
        <v/>
      </c>
      <c r="AE483" s="890" t="str">
        <f t="shared" si="50"/>
        <v/>
      </c>
      <c r="AF483" s="890" t="str">
        <f t="shared" si="51"/>
        <v/>
      </c>
      <c r="AG483" s="192">
        <f t="shared" si="47"/>
        <v>0</v>
      </c>
    </row>
    <row r="484" spans="1:33" x14ac:dyDescent="0.25">
      <c r="A484" s="57"/>
      <c r="B484" s="57"/>
      <c r="C484" s="109"/>
      <c r="F484" s="57"/>
      <c r="J484" s="57"/>
      <c r="K484" s="57"/>
      <c r="L484" s="57"/>
      <c r="M484" s="57"/>
      <c r="N484" s="57"/>
      <c r="O484" s="57"/>
      <c r="AA484" s="640" t="str">
        <f t="shared" si="46"/>
        <v/>
      </c>
      <c r="AB484" s="640" t="str">
        <f t="shared" si="48"/>
        <v/>
      </c>
      <c r="AC484" s="640"/>
      <c r="AD484" s="890" t="str">
        <f t="shared" si="49"/>
        <v/>
      </c>
      <c r="AE484" s="890" t="str">
        <f t="shared" si="50"/>
        <v/>
      </c>
      <c r="AF484" s="890" t="str">
        <f t="shared" si="51"/>
        <v/>
      </c>
      <c r="AG484" s="192">
        <f t="shared" si="47"/>
        <v>0</v>
      </c>
    </row>
    <row r="485" spans="1:33" x14ac:dyDescent="0.25">
      <c r="A485" s="57"/>
      <c r="B485" s="57"/>
      <c r="C485" s="109"/>
      <c r="F485" s="57"/>
      <c r="J485" s="57"/>
      <c r="K485" s="57"/>
      <c r="L485" s="57"/>
      <c r="M485" s="57"/>
      <c r="N485" s="57"/>
      <c r="O485" s="57"/>
      <c r="AA485" s="640" t="str">
        <f t="shared" si="46"/>
        <v/>
      </c>
      <c r="AB485" s="640" t="str">
        <f t="shared" si="48"/>
        <v/>
      </c>
      <c r="AC485" s="640"/>
      <c r="AD485" s="890" t="str">
        <f t="shared" si="49"/>
        <v/>
      </c>
      <c r="AE485" s="890" t="str">
        <f t="shared" si="50"/>
        <v/>
      </c>
      <c r="AF485" s="890" t="str">
        <f t="shared" si="51"/>
        <v/>
      </c>
      <c r="AG485" s="192">
        <f t="shared" si="47"/>
        <v>0</v>
      </c>
    </row>
    <row r="486" spans="1:33" x14ac:dyDescent="0.25">
      <c r="A486" s="57"/>
      <c r="B486" s="57"/>
      <c r="C486" s="109"/>
      <c r="F486" s="57"/>
      <c r="J486" s="57"/>
      <c r="K486" s="57"/>
      <c r="L486" s="57"/>
      <c r="M486" s="57"/>
      <c r="N486" s="57"/>
      <c r="O486" s="57"/>
      <c r="AA486" s="640" t="str">
        <f t="shared" si="46"/>
        <v/>
      </c>
      <c r="AB486" s="640" t="str">
        <f t="shared" si="48"/>
        <v/>
      </c>
      <c r="AC486" s="640"/>
      <c r="AD486" s="890" t="str">
        <f t="shared" si="49"/>
        <v/>
      </c>
      <c r="AE486" s="890" t="str">
        <f t="shared" si="50"/>
        <v/>
      </c>
      <c r="AF486" s="890" t="str">
        <f t="shared" si="51"/>
        <v/>
      </c>
      <c r="AG486" s="192">
        <f t="shared" si="47"/>
        <v>0</v>
      </c>
    </row>
    <row r="487" spans="1:33" x14ac:dyDescent="0.25">
      <c r="A487" s="57"/>
      <c r="B487" s="57"/>
      <c r="C487" s="109"/>
      <c r="F487" s="57"/>
      <c r="J487" s="57"/>
      <c r="K487" s="57"/>
      <c r="L487" s="57"/>
      <c r="M487" s="57"/>
      <c r="N487" s="57"/>
      <c r="O487" s="57"/>
      <c r="AA487" s="640" t="str">
        <f t="shared" si="46"/>
        <v/>
      </c>
      <c r="AB487" s="640" t="str">
        <f t="shared" si="48"/>
        <v/>
      </c>
      <c r="AC487" s="640"/>
      <c r="AD487" s="890" t="str">
        <f t="shared" si="49"/>
        <v/>
      </c>
      <c r="AE487" s="890" t="str">
        <f t="shared" si="50"/>
        <v/>
      </c>
      <c r="AF487" s="890" t="str">
        <f t="shared" si="51"/>
        <v/>
      </c>
      <c r="AG487" s="192">
        <f t="shared" si="47"/>
        <v>0</v>
      </c>
    </row>
    <row r="488" spans="1:33" x14ac:dyDescent="0.25">
      <c r="A488" s="57"/>
      <c r="B488" s="57"/>
      <c r="C488" s="109"/>
      <c r="F488" s="57"/>
      <c r="J488" s="57"/>
      <c r="K488" s="57"/>
      <c r="L488" s="57"/>
      <c r="M488" s="57"/>
      <c r="N488" s="57"/>
      <c r="O488" s="57"/>
      <c r="AA488" s="640" t="str">
        <f t="shared" si="46"/>
        <v/>
      </c>
      <c r="AB488" s="640" t="str">
        <f t="shared" si="48"/>
        <v/>
      </c>
      <c r="AC488" s="640"/>
      <c r="AD488" s="890" t="str">
        <f t="shared" si="49"/>
        <v/>
      </c>
      <c r="AE488" s="890" t="str">
        <f t="shared" si="50"/>
        <v/>
      </c>
      <c r="AF488" s="890" t="str">
        <f t="shared" si="51"/>
        <v/>
      </c>
      <c r="AG488" s="192">
        <f t="shared" si="47"/>
        <v>0</v>
      </c>
    </row>
    <row r="489" spans="1:33" x14ac:dyDescent="0.25">
      <c r="A489" s="57"/>
      <c r="B489" s="57"/>
      <c r="C489" s="109"/>
      <c r="F489" s="57"/>
      <c r="J489" s="57"/>
      <c r="K489" s="57"/>
      <c r="L489" s="57"/>
      <c r="M489" s="57"/>
      <c r="N489" s="57"/>
      <c r="O489" s="57"/>
      <c r="AA489" s="640" t="str">
        <f t="shared" si="46"/>
        <v/>
      </c>
      <c r="AB489" s="640" t="str">
        <f t="shared" si="48"/>
        <v/>
      </c>
      <c r="AC489" s="640"/>
      <c r="AD489" s="890" t="str">
        <f t="shared" si="49"/>
        <v/>
      </c>
      <c r="AE489" s="890" t="str">
        <f t="shared" si="50"/>
        <v/>
      </c>
      <c r="AF489" s="890" t="str">
        <f t="shared" si="51"/>
        <v/>
      </c>
      <c r="AG489" s="192">
        <f t="shared" si="47"/>
        <v>0</v>
      </c>
    </row>
    <row r="490" spans="1:33" x14ac:dyDescent="0.25">
      <c r="A490" s="57"/>
      <c r="B490" s="57"/>
      <c r="C490" s="109"/>
      <c r="F490" s="57"/>
      <c r="J490" s="57"/>
      <c r="K490" s="57"/>
      <c r="L490" s="57"/>
      <c r="M490" s="57"/>
      <c r="N490" s="57"/>
      <c r="O490" s="57"/>
      <c r="AA490" s="640" t="str">
        <f t="shared" si="46"/>
        <v/>
      </c>
      <c r="AB490" s="640" t="str">
        <f t="shared" si="48"/>
        <v/>
      </c>
      <c r="AC490" s="640"/>
      <c r="AD490" s="890" t="str">
        <f t="shared" si="49"/>
        <v/>
      </c>
      <c r="AE490" s="890" t="str">
        <f t="shared" si="50"/>
        <v/>
      </c>
      <c r="AF490" s="890" t="str">
        <f t="shared" si="51"/>
        <v/>
      </c>
      <c r="AG490" s="192">
        <f t="shared" si="47"/>
        <v>0</v>
      </c>
    </row>
    <row r="491" spans="1:33" x14ac:dyDescent="0.25">
      <c r="A491" s="57"/>
      <c r="B491" s="57"/>
      <c r="C491" s="109"/>
      <c r="F491" s="57"/>
      <c r="J491" s="57"/>
      <c r="K491" s="57"/>
      <c r="L491" s="57"/>
      <c r="M491" s="57"/>
      <c r="N491" s="57"/>
      <c r="O491" s="57"/>
      <c r="AA491" s="640" t="str">
        <f t="shared" si="46"/>
        <v/>
      </c>
      <c r="AB491" s="640" t="str">
        <f t="shared" si="48"/>
        <v/>
      </c>
      <c r="AC491" s="640"/>
      <c r="AD491" s="890" t="str">
        <f t="shared" si="49"/>
        <v/>
      </c>
      <c r="AE491" s="890" t="str">
        <f t="shared" si="50"/>
        <v/>
      </c>
      <c r="AF491" s="890" t="str">
        <f t="shared" si="51"/>
        <v/>
      </c>
      <c r="AG491" s="192">
        <f t="shared" si="47"/>
        <v>0</v>
      </c>
    </row>
    <row r="492" spans="1:33" x14ac:dyDescent="0.25">
      <c r="A492" s="57"/>
      <c r="B492" s="57"/>
      <c r="C492" s="109"/>
      <c r="F492" s="57"/>
      <c r="J492" s="57"/>
      <c r="K492" s="57"/>
      <c r="L492" s="57"/>
      <c r="M492" s="57"/>
      <c r="N492" s="57"/>
      <c r="O492" s="57"/>
      <c r="AA492" s="640" t="str">
        <f t="shared" si="46"/>
        <v/>
      </c>
      <c r="AB492" s="640" t="str">
        <f t="shared" si="48"/>
        <v/>
      </c>
      <c r="AC492" s="640"/>
      <c r="AD492" s="890" t="str">
        <f t="shared" si="49"/>
        <v/>
      </c>
      <c r="AE492" s="890" t="str">
        <f t="shared" si="50"/>
        <v/>
      </c>
      <c r="AF492" s="890" t="str">
        <f t="shared" si="51"/>
        <v/>
      </c>
      <c r="AG492" s="192">
        <f t="shared" si="47"/>
        <v>0</v>
      </c>
    </row>
    <row r="493" spans="1:33" x14ac:dyDescent="0.25">
      <c r="A493" s="57"/>
      <c r="B493" s="57"/>
      <c r="C493" s="109"/>
      <c r="F493" s="57"/>
      <c r="J493" s="57"/>
      <c r="K493" s="57"/>
      <c r="L493" s="57"/>
      <c r="M493" s="57"/>
      <c r="N493" s="57"/>
      <c r="O493" s="57"/>
      <c r="AA493" s="640" t="str">
        <f t="shared" si="46"/>
        <v/>
      </c>
      <c r="AB493" s="640" t="str">
        <f t="shared" si="48"/>
        <v/>
      </c>
      <c r="AC493" s="640"/>
      <c r="AD493" s="890" t="str">
        <f t="shared" si="49"/>
        <v/>
      </c>
      <c r="AE493" s="890" t="str">
        <f t="shared" si="50"/>
        <v/>
      </c>
      <c r="AF493" s="890" t="str">
        <f t="shared" si="51"/>
        <v/>
      </c>
      <c r="AG493" s="192">
        <f t="shared" si="47"/>
        <v>0</v>
      </c>
    </row>
    <row r="494" spans="1:33" x14ac:dyDescent="0.25">
      <c r="A494" s="57"/>
      <c r="B494" s="57"/>
      <c r="C494" s="109"/>
      <c r="F494" s="57"/>
      <c r="J494" s="57"/>
      <c r="K494" s="57"/>
      <c r="L494" s="57"/>
      <c r="M494" s="57"/>
      <c r="N494" s="57"/>
      <c r="O494" s="57"/>
      <c r="AA494" s="640" t="str">
        <f t="shared" si="46"/>
        <v/>
      </c>
      <c r="AB494" s="640" t="str">
        <f t="shared" si="48"/>
        <v/>
      </c>
      <c r="AC494" s="640"/>
      <c r="AD494" s="890" t="str">
        <f t="shared" si="49"/>
        <v/>
      </c>
      <c r="AE494" s="890" t="str">
        <f t="shared" si="50"/>
        <v/>
      </c>
      <c r="AF494" s="890" t="str">
        <f t="shared" si="51"/>
        <v/>
      </c>
      <c r="AG494" s="192">
        <f t="shared" si="47"/>
        <v>0</v>
      </c>
    </row>
    <row r="495" spans="1:33" x14ac:dyDescent="0.25">
      <c r="A495" s="57"/>
      <c r="B495" s="57"/>
      <c r="C495" s="109"/>
      <c r="F495" s="57"/>
      <c r="J495" s="57"/>
      <c r="K495" s="57"/>
      <c r="L495" s="57"/>
      <c r="M495" s="57"/>
      <c r="N495" s="57"/>
      <c r="O495" s="57"/>
      <c r="AA495" s="640" t="str">
        <f t="shared" si="46"/>
        <v/>
      </c>
      <c r="AB495" s="640" t="str">
        <f t="shared" si="48"/>
        <v/>
      </c>
      <c r="AC495" s="640"/>
      <c r="AD495" s="890" t="str">
        <f t="shared" si="49"/>
        <v/>
      </c>
      <c r="AE495" s="890" t="str">
        <f t="shared" si="50"/>
        <v/>
      </c>
      <c r="AF495" s="890" t="str">
        <f t="shared" si="51"/>
        <v/>
      </c>
      <c r="AG495" s="192">
        <f t="shared" si="47"/>
        <v>0</v>
      </c>
    </row>
    <row r="496" spans="1:33" x14ac:dyDescent="0.25">
      <c r="A496" s="57"/>
      <c r="B496" s="57"/>
      <c r="C496" s="109"/>
      <c r="F496" s="57"/>
      <c r="J496" s="57"/>
      <c r="K496" s="57"/>
      <c r="L496" s="57"/>
      <c r="M496" s="57"/>
      <c r="N496" s="57"/>
      <c r="O496" s="57"/>
      <c r="AA496" s="640" t="str">
        <f t="shared" si="46"/>
        <v/>
      </c>
      <c r="AB496" s="640" t="str">
        <f t="shared" si="48"/>
        <v/>
      </c>
      <c r="AC496" s="640"/>
      <c r="AD496" s="890" t="str">
        <f t="shared" si="49"/>
        <v/>
      </c>
      <c r="AE496" s="890" t="str">
        <f t="shared" si="50"/>
        <v/>
      </c>
      <c r="AF496" s="890" t="str">
        <f t="shared" si="51"/>
        <v/>
      </c>
      <c r="AG496" s="192">
        <f t="shared" si="47"/>
        <v>0</v>
      </c>
    </row>
    <row r="497" spans="1:33" x14ac:dyDescent="0.25">
      <c r="A497" s="57"/>
      <c r="B497" s="57"/>
      <c r="C497" s="109"/>
      <c r="F497" s="57"/>
      <c r="J497" s="57"/>
      <c r="K497" s="57"/>
      <c r="L497" s="57"/>
      <c r="M497" s="57"/>
      <c r="N497" s="57"/>
      <c r="O497" s="57"/>
      <c r="AA497" s="640" t="str">
        <f t="shared" si="46"/>
        <v/>
      </c>
      <c r="AB497" s="640" t="str">
        <f t="shared" si="48"/>
        <v/>
      </c>
      <c r="AC497" s="640"/>
      <c r="AD497" s="890" t="str">
        <f t="shared" si="49"/>
        <v/>
      </c>
      <c r="AE497" s="890" t="str">
        <f t="shared" si="50"/>
        <v/>
      </c>
      <c r="AF497" s="890" t="str">
        <f t="shared" si="51"/>
        <v/>
      </c>
      <c r="AG497" s="192">
        <f t="shared" si="47"/>
        <v>0</v>
      </c>
    </row>
    <row r="498" spans="1:33" x14ac:dyDescent="0.25">
      <c r="A498" s="57"/>
      <c r="B498" s="57"/>
      <c r="C498" s="109"/>
      <c r="F498" s="57"/>
      <c r="J498" s="57"/>
      <c r="K498" s="57"/>
      <c r="L498" s="57"/>
      <c r="M498" s="57"/>
      <c r="N498" s="57"/>
      <c r="O498" s="57"/>
      <c r="AA498" s="640" t="str">
        <f t="shared" si="46"/>
        <v/>
      </c>
      <c r="AB498" s="640" t="str">
        <f t="shared" si="48"/>
        <v/>
      </c>
      <c r="AC498" s="640"/>
      <c r="AD498" s="890" t="str">
        <f t="shared" si="49"/>
        <v/>
      </c>
      <c r="AE498" s="890" t="str">
        <f t="shared" si="50"/>
        <v/>
      </c>
      <c r="AF498" s="890" t="str">
        <f t="shared" si="51"/>
        <v/>
      </c>
      <c r="AG498" s="192">
        <f t="shared" si="47"/>
        <v>0</v>
      </c>
    </row>
    <row r="499" spans="1:33" x14ac:dyDescent="0.25">
      <c r="A499" s="57"/>
      <c r="B499" s="57"/>
      <c r="C499" s="109"/>
      <c r="F499" s="57"/>
      <c r="J499" s="57"/>
      <c r="K499" s="57"/>
      <c r="L499" s="57"/>
      <c r="M499" s="57"/>
      <c r="N499" s="57"/>
      <c r="O499" s="57"/>
      <c r="AA499" s="640" t="str">
        <f t="shared" si="46"/>
        <v/>
      </c>
      <c r="AB499" s="640" t="str">
        <f t="shared" si="48"/>
        <v/>
      </c>
      <c r="AC499" s="640"/>
      <c r="AD499" s="890" t="str">
        <f t="shared" si="49"/>
        <v/>
      </c>
      <c r="AE499" s="890" t="str">
        <f t="shared" si="50"/>
        <v/>
      </c>
      <c r="AF499" s="890" t="str">
        <f t="shared" si="51"/>
        <v/>
      </c>
      <c r="AG499" s="192">
        <f t="shared" si="47"/>
        <v>0</v>
      </c>
    </row>
    <row r="500" spans="1:33" x14ac:dyDescent="0.25">
      <c r="A500" s="57"/>
      <c r="B500" s="57"/>
      <c r="C500" s="109"/>
      <c r="F500" s="57"/>
      <c r="J500" s="57"/>
      <c r="K500" s="57"/>
      <c r="L500" s="57"/>
      <c r="M500" s="57"/>
      <c r="N500" s="57"/>
      <c r="O500" s="57"/>
      <c r="AA500" s="640" t="str">
        <f t="shared" si="46"/>
        <v/>
      </c>
      <c r="AB500" s="640" t="str">
        <f t="shared" si="48"/>
        <v/>
      </c>
      <c r="AC500" s="640"/>
      <c r="AD500" s="890" t="str">
        <f t="shared" si="49"/>
        <v/>
      </c>
      <c r="AE500" s="890" t="str">
        <f t="shared" si="50"/>
        <v/>
      </c>
      <c r="AF500" s="890" t="str">
        <f t="shared" si="51"/>
        <v/>
      </c>
      <c r="AG500" s="192">
        <f t="shared" si="47"/>
        <v>0</v>
      </c>
    </row>
    <row r="501" spans="1:33" x14ac:dyDescent="0.25">
      <c r="A501"/>
      <c r="B501"/>
      <c r="F501"/>
      <c r="J501"/>
      <c r="K501"/>
      <c r="L501"/>
      <c r="M501"/>
      <c r="N501"/>
      <c r="O501"/>
      <c r="P501"/>
      <c r="Q501"/>
      <c r="R501"/>
      <c r="S501"/>
      <c r="T501"/>
      <c r="U501"/>
      <c r="V501"/>
      <c r="W501"/>
      <c r="X501"/>
      <c r="Y501"/>
      <c r="AA501" s="640" t="str">
        <f t="shared" si="46"/>
        <v/>
      </c>
      <c r="AB501" s="640" t="str">
        <f t="shared" si="48"/>
        <v/>
      </c>
      <c r="AC501" s="640"/>
      <c r="AD501" s="890" t="str">
        <f t="shared" si="49"/>
        <v/>
      </c>
      <c r="AE501" s="890" t="str">
        <f t="shared" si="50"/>
        <v/>
      </c>
      <c r="AF501" s="890" t="str">
        <f t="shared" si="51"/>
        <v/>
      </c>
      <c r="AG501" s="192">
        <f t="shared" si="47"/>
        <v>0</v>
      </c>
    </row>
    <row r="502" spans="1:33" x14ac:dyDescent="0.25">
      <c r="F502"/>
      <c r="AA502" s="640" t="str">
        <f t="shared" si="46"/>
        <v/>
      </c>
      <c r="AB502" s="640" t="str">
        <f t="shared" si="48"/>
        <v/>
      </c>
      <c r="AC502" s="640"/>
      <c r="AD502" s="890" t="str">
        <f t="shared" si="49"/>
        <v/>
      </c>
      <c r="AE502" s="890" t="str">
        <f t="shared" si="50"/>
        <v/>
      </c>
      <c r="AF502" s="890" t="str">
        <f t="shared" si="51"/>
        <v/>
      </c>
      <c r="AG502" s="192">
        <f t="shared" si="47"/>
        <v>0</v>
      </c>
    </row>
    <row r="503" spans="1:33" x14ac:dyDescent="0.25">
      <c r="F503"/>
      <c r="AA503" s="640" t="str">
        <f t="shared" si="46"/>
        <v/>
      </c>
      <c r="AB503" s="640" t="str">
        <f t="shared" si="48"/>
        <v/>
      </c>
      <c r="AC503" s="640"/>
      <c r="AD503" s="890" t="str">
        <f t="shared" si="49"/>
        <v/>
      </c>
      <c r="AE503" s="890" t="str">
        <f t="shared" si="50"/>
        <v/>
      </c>
      <c r="AF503" s="890" t="str">
        <f t="shared" si="51"/>
        <v/>
      </c>
      <c r="AG503" s="192">
        <f t="shared" si="47"/>
        <v>0</v>
      </c>
    </row>
    <row r="504" spans="1:33" x14ac:dyDescent="0.25">
      <c r="F504"/>
      <c r="AA504" s="640" t="str">
        <f t="shared" si="46"/>
        <v/>
      </c>
      <c r="AB504" s="640" t="str">
        <f t="shared" si="48"/>
        <v/>
      </c>
      <c r="AC504" s="640"/>
      <c r="AD504" s="890" t="str">
        <f t="shared" si="49"/>
        <v/>
      </c>
      <c r="AE504" s="890" t="str">
        <f t="shared" si="50"/>
        <v/>
      </c>
      <c r="AF504" s="890" t="str">
        <f t="shared" si="51"/>
        <v/>
      </c>
      <c r="AG504" s="192">
        <f t="shared" si="47"/>
        <v>0</v>
      </c>
    </row>
    <row r="505" spans="1:33" x14ac:dyDescent="0.25">
      <c r="F505"/>
      <c r="AA505" s="640" t="str">
        <f t="shared" si="46"/>
        <v/>
      </c>
      <c r="AB505" s="640" t="str">
        <f t="shared" si="48"/>
        <v/>
      </c>
      <c r="AC505" s="640"/>
      <c r="AD505" s="890" t="str">
        <f t="shared" si="49"/>
        <v/>
      </c>
      <c r="AE505" s="890" t="str">
        <f t="shared" si="50"/>
        <v/>
      </c>
      <c r="AF505" s="890" t="str">
        <f t="shared" si="51"/>
        <v/>
      </c>
      <c r="AG505" s="192">
        <f t="shared" si="47"/>
        <v>0</v>
      </c>
    </row>
    <row r="506" spans="1:33" x14ac:dyDescent="0.25">
      <c r="F506"/>
      <c r="AA506" s="640" t="str">
        <f t="shared" si="46"/>
        <v/>
      </c>
      <c r="AB506" s="640" t="str">
        <f t="shared" si="48"/>
        <v/>
      </c>
      <c r="AC506" s="640"/>
      <c r="AD506" s="890" t="str">
        <f t="shared" si="49"/>
        <v/>
      </c>
      <c r="AE506" s="890" t="str">
        <f t="shared" si="50"/>
        <v/>
      </c>
      <c r="AF506" s="890" t="str">
        <f t="shared" si="51"/>
        <v/>
      </c>
      <c r="AG506" s="192">
        <f t="shared" si="47"/>
        <v>0</v>
      </c>
    </row>
    <row r="507" spans="1:33" x14ac:dyDescent="0.25">
      <c r="F507"/>
      <c r="AA507" s="640" t="str">
        <f t="shared" si="46"/>
        <v/>
      </c>
      <c r="AB507" s="640" t="str">
        <f t="shared" si="48"/>
        <v/>
      </c>
      <c r="AC507" s="640"/>
      <c r="AD507" s="890" t="str">
        <f t="shared" si="49"/>
        <v/>
      </c>
      <c r="AE507" s="890" t="str">
        <f t="shared" si="50"/>
        <v/>
      </c>
      <c r="AF507" s="890" t="str">
        <f t="shared" si="51"/>
        <v/>
      </c>
      <c r="AG507" s="192">
        <f t="shared" si="47"/>
        <v>0</v>
      </c>
    </row>
    <row r="508" spans="1:33" x14ac:dyDescent="0.25">
      <c r="F508"/>
      <c r="AA508" s="640" t="str">
        <f t="shared" si="46"/>
        <v/>
      </c>
      <c r="AB508" s="640" t="str">
        <f t="shared" si="48"/>
        <v/>
      </c>
      <c r="AC508" s="640"/>
      <c r="AD508" s="890" t="str">
        <f t="shared" si="49"/>
        <v/>
      </c>
      <c r="AE508" s="890" t="str">
        <f t="shared" si="50"/>
        <v/>
      </c>
      <c r="AF508" s="890" t="str">
        <f t="shared" si="51"/>
        <v/>
      </c>
      <c r="AG508" s="192">
        <f t="shared" si="47"/>
        <v>0</v>
      </c>
    </row>
    <row r="509" spans="1:33" x14ac:dyDescent="0.25">
      <c r="F509"/>
      <c r="AA509" s="640" t="str">
        <f t="shared" si="46"/>
        <v/>
      </c>
      <c r="AB509" s="640" t="str">
        <f t="shared" si="48"/>
        <v/>
      </c>
      <c r="AC509" s="640"/>
      <c r="AD509" s="890" t="str">
        <f t="shared" si="49"/>
        <v/>
      </c>
      <c r="AE509" s="890" t="str">
        <f t="shared" si="50"/>
        <v/>
      </c>
      <c r="AF509" s="890" t="str">
        <f t="shared" si="51"/>
        <v/>
      </c>
      <c r="AG509" s="192">
        <f t="shared" si="47"/>
        <v>0</v>
      </c>
    </row>
    <row r="510" spans="1:33" x14ac:dyDescent="0.25">
      <c r="F510"/>
      <c r="AA510" s="640" t="str">
        <f t="shared" si="46"/>
        <v/>
      </c>
      <c r="AB510" s="640" t="str">
        <f t="shared" si="48"/>
        <v/>
      </c>
      <c r="AC510" s="640"/>
      <c r="AD510" s="890" t="str">
        <f t="shared" si="49"/>
        <v/>
      </c>
      <c r="AE510" s="890" t="str">
        <f t="shared" si="50"/>
        <v/>
      </c>
      <c r="AF510" s="890" t="str">
        <f t="shared" si="51"/>
        <v/>
      </c>
      <c r="AG510" s="192">
        <f t="shared" si="47"/>
        <v>0</v>
      </c>
    </row>
    <row r="511" spans="1:33" x14ac:dyDescent="0.25">
      <c r="F511"/>
      <c r="AA511" s="640" t="str">
        <f t="shared" si="46"/>
        <v/>
      </c>
      <c r="AB511" s="640" t="str">
        <f t="shared" si="48"/>
        <v/>
      </c>
      <c r="AC511" s="640"/>
      <c r="AD511" s="890" t="str">
        <f t="shared" si="49"/>
        <v/>
      </c>
      <c r="AE511" s="890" t="str">
        <f t="shared" si="50"/>
        <v/>
      </c>
      <c r="AF511" s="890" t="str">
        <f t="shared" si="51"/>
        <v/>
      </c>
      <c r="AG511" s="192">
        <f t="shared" si="47"/>
        <v>0</v>
      </c>
    </row>
    <row r="512" spans="1:33" x14ac:dyDescent="0.25">
      <c r="F512"/>
      <c r="AA512" s="640" t="str">
        <f t="shared" si="46"/>
        <v/>
      </c>
      <c r="AB512" s="640" t="str">
        <f t="shared" si="48"/>
        <v/>
      </c>
      <c r="AC512" s="640"/>
      <c r="AD512" s="890" t="str">
        <f t="shared" si="49"/>
        <v/>
      </c>
      <c r="AE512" s="890" t="str">
        <f t="shared" si="50"/>
        <v/>
      </c>
      <c r="AF512" s="890" t="str">
        <f t="shared" si="51"/>
        <v/>
      </c>
      <c r="AG512" s="192">
        <f t="shared" si="47"/>
        <v>0</v>
      </c>
    </row>
    <row r="513" spans="6:33" x14ac:dyDescent="0.25">
      <c r="F513"/>
      <c r="AA513" s="640" t="str">
        <f t="shared" si="46"/>
        <v/>
      </c>
      <c r="AB513" s="640" t="str">
        <f t="shared" si="48"/>
        <v/>
      </c>
      <c r="AC513" s="640"/>
      <c r="AD513" s="890" t="str">
        <f t="shared" si="49"/>
        <v/>
      </c>
      <c r="AE513" s="890" t="str">
        <f t="shared" si="50"/>
        <v/>
      </c>
      <c r="AF513" s="890" t="str">
        <f t="shared" si="51"/>
        <v/>
      </c>
      <c r="AG513" s="192">
        <f t="shared" si="47"/>
        <v>0</v>
      </c>
    </row>
    <row r="514" spans="6:33" x14ac:dyDescent="0.25">
      <c r="F514"/>
      <c r="AA514" s="640" t="str">
        <f t="shared" si="46"/>
        <v/>
      </c>
      <c r="AB514" s="640" t="str">
        <f t="shared" si="48"/>
        <v/>
      </c>
      <c r="AC514" s="640"/>
      <c r="AD514" s="890" t="str">
        <f t="shared" si="49"/>
        <v/>
      </c>
      <c r="AE514" s="890" t="str">
        <f t="shared" si="50"/>
        <v/>
      </c>
      <c r="AF514" s="890" t="str">
        <f t="shared" si="51"/>
        <v/>
      </c>
      <c r="AG514" s="192">
        <f t="shared" si="47"/>
        <v>0</v>
      </c>
    </row>
    <row r="515" spans="6:33" x14ac:dyDescent="0.25">
      <c r="F515"/>
      <c r="AA515" s="640" t="str">
        <f t="shared" si="46"/>
        <v/>
      </c>
      <c r="AB515" s="640" t="str">
        <f t="shared" si="48"/>
        <v/>
      </c>
      <c r="AC515" s="640"/>
      <c r="AD515" s="890" t="str">
        <f t="shared" si="49"/>
        <v/>
      </c>
      <c r="AE515" s="890" t="str">
        <f t="shared" si="50"/>
        <v/>
      </c>
      <c r="AF515" s="890" t="str">
        <f t="shared" si="51"/>
        <v/>
      </c>
      <c r="AG515" s="192">
        <f t="shared" si="47"/>
        <v>0</v>
      </c>
    </row>
    <row r="516" spans="6:33" x14ac:dyDescent="0.25">
      <c r="F516"/>
      <c r="AA516" s="640" t="str">
        <f t="shared" si="46"/>
        <v/>
      </c>
      <c r="AB516" s="640" t="str">
        <f t="shared" si="48"/>
        <v/>
      </c>
      <c r="AC516" s="640"/>
      <c r="AD516" s="890" t="str">
        <f t="shared" si="49"/>
        <v/>
      </c>
      <c r="AE516" s="890" t="str">
        <f t="shared" si="50"/>
        <v/>
      </c>
      <c r="AF516" s="890" t="str">
        <f t="shared" si="51"/>
        <v/>
      </c>
      <c r="AG516" s="192">
        <f t="shared" si="47"/>
        <v>0</v>
      </c>
    </row>
    <row r="517" spans="6:33" x14ac:dyDescent="0.25">
      <c r="F517"/>
      <c r="AA517" s="640" t="str">
        <f t="shared" si="46"/>
        <v/>
      </c>
      <c r="AB517" s="640" t="str">
        <f t="shared" si="48"/>
        <v/>
      </c>
      <c r="AC517" s="640"/>
      <c r="AD517" s="890" t="str">
        <f t="shared" si="49"/>
        <v/>
      </c>
      <c r="AE517" s="890" t="str">
        <f t="shared" si="50"/>
        <v/>
      </c>
      <c r="AF517" s="890" t="str">
        <f t="shared" si="51"/>
        <v/>
      </c>
      <c r="AG517" s="192">
        <f t="shared" si="47"/>
        <v>0</v>
      </c>
    </row>
    <row r="518" spans="6:33" x14ac:dyDescent="0.25">
      <c r="F518"/>
      <c r="AA518" s="640" t="str">
        <f t="shared" si="46"/>
        <v/>
      </c>
      <c r="AB518" s="640" t="str">
        <f t="shared" si="48"/>
        <v/>
      </c>
      <c r="AC518" s="640"/>
      <c r="AD518" s="890" t="str">
        <f t="shared" si="49"/>
        <v/>
      </c>
      <c r="AE518" s="890" t="str">
        <f t="shared" si="50"/>
        <v/>
      </c>
      <c r="AF518" s="890" t="str">
        <f t="shared" si="51"/>
        <v/>
      </c>
      <c r="AG518" s="192">
        <f t="shared" si="47"/>
        <v>0</v>
      </c>
    </row>
    <row r="519" spans="6:33" x14ac:dyDescent="0.25">
      <c r="F519"/>
      <c r="AA519" s="640" t="str">
        <f t="shared" ref="AA519:AA582" si="52">IF(G519=0, IF(OR(H519&gt;0,F519&gt;0),C519*F519,""),"")</f>
        <v/>
      </c>
      <c r="AB519" s="640" t="str">
        <f t="shared" si="48"/>
        <v/>
      </c>
      <c r="AC519" s="640"/>
      <c r="AD519" s="890" t="str">
        <f t="shared" si="49"/>
        <v/>
      </c>
      <c r="AE519" s="890" t="str">
        <f t="shared" si="50"/>
        <v/>
      </c>
      <c r="AF519" s="890" t="str">
        <f t="shared" si="51"/>
        <v/>
      </c>
      <c r="AG519" s="192">
        <f t="shared" ref="AG519:AG582" si="53">(C519*G519)+(C519*H519)+(C519*I519)</f>
        <v>0</v>
      </c>
    </row>
    <row r="520" spans="6:33" x14ac:dyDescent="0.25">
      <c r="F520"/>
      <c r="AA520" s="640" t="str">
        <f t="shared" si="52"/>
        <v/>
      </c>
      <c r="AB520" s="640" t="str">
        <f t="shared" ref="AB520:AB583" si="54">IF(G520&gt;=1,IF(F520&gt;1,C520*(F520-2),""),"")</f>
        <v/>
      </c>
      <c r="AC520" s="640"/>
      <c r="AD520" s="890" t="str">
        <f t="shared" ref="AD520:AD583" si="55">IF(E520="YES",IF(G520=1,"",""),IF(G520=1,C520,IF(G520=2,C520,IF(G520=0,"",""))))</f>
        <v/>
      </c>
      <c r="AE520" s="890" t="str">
        <f t="shared" ref="AE520:AE583" si="56">IF(E520="YES",IF(G520=1,"",IF(H520=1,C520,"")),IF(H520=1,C520,IF(H520=2,C520,IF(H520=0,"",""))))</f>
        <v/>
      </c>
      <c r="AF520" s="890" t="str">
        <f t="shared" ref="AF520:AF583" si="57">IF(E520="YES",IF(I520=1,C520,""),IF(I520=1,C520,IF(I520=2,C520,IF(I520=0,"",""))))</f>
        <v/>
      </c>
      <c r="AG520" s="192">
        <f t="shared" si="53"/>
        <v>0</v>
      </c>
    </row>
    <row r="521" spans="6:33" x14ac:dyDescent="0.25">
      <c r="F521"/>
      <c r="AA521" s="640" t="str">
        <f t="shared" si="52"/>
        <v/>
      </c>
      <c r="AB521" s="640" t="str">
        <f t="shared" si="54"/>
        <v/>
      </c>
      <c r="AC521" s="640"/>
      <c r="AD521" s="890" t="str">
        <f t="shared" si="55"/>
        <v/>
      </c>
      <c r="AE521" s="890" t="str">
        <f t="shared" si="56"/>
        <v/>
      </c>
      <c r="AF521" s="890" t="str">
        <f t="shared" si="57"/>
        <v/>
      </c>
      <c r="AG521" s="192">
        <f t="shared" si="53"/>
        <v>0</v>
      </c>
    </row>
    <row r="522" spans="6:33" x14ac:dyDescent="0.25">
      <c r="F522"/>
      <c r="AA522" s="640" t="str">
        <f t="shared" si="52"/>
        <v/>
      </c>
      <c r="AB522" s="640" t="str">
        <f t="shared" si="54"/>
        <v/>
      </c>
      <c r="AC522" s="640"/>
      <c r="AD522" s="890" t="str">
        <f t="shared" si="55"/>
        <v/>
      </c>
      <c r="AE522" s="890" t="str">
        <f t="shared" si="56"/>
        <v/>
      </c>
      <c r="AF522" s="890" t="str">
        <f t="shared" si="57"/>
        <v/>
      </c>
      <c r="AG522" s="192">
        <f t="shared" si="53"/>
        <v>0</v>
      </c>
    </row>
    <row r="523" spans="6:33" x14ac:dyDescent="0.25">
      <c r="F523"/>
      <c r="AA523" s="640" t="str">
        <f t="shared" si="52"/>
        <v/>
      </c>
      <c r="AB523" s="640" t="str">
        <f t="shared" si="54"/>
        <v/>
      </c>
      <c r="AC523" s="640"/>
      <c r="AD523" s="890" t="str">
        <f t="shared" si="55"/>
        <v/>
      </c>
      <c r="AE523" s="890" t="str">
        <f t="shared" si="56"/>
        <v/>
      </c>
      <c r="AF523" s="890" t="str">
        <f t="shared" si="57"/>
        <v/>
      </c>
      <c r="AG523" s="192">
        <f t="shared" si="53"/>
        <v>0</v>
      </c>
    </row>
    <row r="524" spans="6:33" x14ac:dyDescent="0.25">
      <c r="F524"/>
      <c r="AA524" s="640" t="str">
        <f t="shared" si="52"/>
        <v/>
      </c>
      <c r="AB524" s="640" t="str">
        <f t="shared" si="54"/>
        <v/>
      </c>
      <c r="AC524" s="640"/>
      <c r="AD524" s="890" t="str">
        <f t="shared" si="55"/>
        <v/>
      </c>
      <c r="AE524" s="890" t="str">
        <f t="shared" si="56"/>
        <v/>
      </c>
      <c r="AF524" s="890" t="str">
        <f t="shared" si="57"/>
        <v/>
      </c>
      <c r="AG524" s="192">
        <f t="shared" si="53"/>
        <v>0</v>
      </c>
    </row>
    <row r="525" spans="6:33" x14ac:dyDescent="0.25">
      <c r="F525"/>
      <c r="AA525" s="640" t="str">
        <f t="shared" si="52"/>
        <v/>
      </c>
      <c r="AB525" s="640" t="str">
        <f t="shared" si="54"/>
        <v/>
      </c>
      <c r="AC525" s="640"/>
      <c r="AD525" s="890" t="str">
        <f t="shared" si="55"/>
        <v/>
      </c>
      <c r="AE525" s="890" t="str">
        <f t="shared" si="56"/>
        <v/>
      </c>
      <c r="AF525" s="890" t="str">
        <f t="shared" si="57"/>
        <v/>
      </c>
      <c r="AG525" s="192">
        <f t="shared" si="53"/>
        <v>0</v>
      </c>
    </row>
    <row r="526" spans="6:33" x14ac:dyDescent="0.25">
      <c r="F526"/>
      <c r="AA526" s="640" t="str">
        <f t="shared" si="52"/>
        <v/>
      </c>
      <c r="AB526" s="640" t="str">
        <f t="shared" si="54"/>
        <v/>
      </c>
      <c r="AC526" s="640"/>
      <c r="AD526" s="890" t="str">
        <f t="shared" si="55"/>
        <v/>
      </c>
      <c r="AE526" s="890" t="str">
        <f t="shared" si="56"/>
        <v/>
      </c>
      <c r="AF526" s="890" t="str">
        <f t="shared" si="57"/>
        <v/>
      </c>
      <c r="AG526" s="192">
        <f t="shared" si="53"/>
        <v>0</v>
      </c>
    </row>
    <row r="527" spans="6:33" x14ac:dyDescent="0.25">
      <c r="F527"/>
      <c r="AA527" s="640" t="str">
        <f t="shared" si="52"/>
        <v/>
      </c>
      <c r="AB527" s="640" t="str">
        <f t="shared" si="54"/>
        <v/>
      </c>
      <c r="AC527" s="640"/>
      <c r="AD527" s="890" t="str">
        <f t="shared" si="55"/>
        <v/>
      </c>
      <c r="AE527" s="890" t="str">
        <f t="shared" si="56"/>
        <v/>
      </c>
      <c r="AF527" s="890" t="str">
        <f t="shared" si="57"/>
        <v/>
      </c>
      <c r="AG527" s="192">
        <f t="shared" si="53"/>
        <v>0</v>
      </c>
    </row>
    <row r="528" spans="6:33" x14ac:dyDescent="0.25">
      <c r="F528"/>
      <c r="AA528" s="640" t="str">
        <f t="shared" si="52"/>
        <v/>
      </c>
      <c r="AB528" s="640" t="str">
        <f t="shared" si="54"/>
        <v/>
      </c>
      <c r="AC528" s="640"/>
      <c r="AD528" s="890" t="str">
        <f t="shared" si="55"/>
        <v/>
      </c>
      <c r="AE528" s="890" t="str">
        <f t="shared" si="56"/>
        <v/>
      </c>
      <c r="AF528" s="890" t="str">
        <f t="shared" si="57"/>
        <v/>
      </c>
      <c r="AG528" s="192">
        <f t="shared" si="53"/>
        <v>0</v>
      </c>
    </row>
    <row r="529" spans="6:33" x14ac:dyDescent="0.25">
      <c r="F529"/>
      <c r="AA529" s="640" t="str">
        <f t="shared" si="52"/>
        <v/>
      </c>
      <c r="AB529" s="640" t="str">
        <f t="shared" si="54"/>
        <v/>
      </c>
      <c r="AC529" s="640"/>
      <c r="AD529" s="890" t="str">
        <f t="shared" si="55"/>
        <v/>
      </c>
      <c r="AE529" s="890" t="str">
        <f t="shared" si="56"/>
        <v/>
      </c>
      <c r="AF529" s="890" t="str">
        <f t="shared" si="57"/>
        <v/>
      </c>
      <c r="AG529" s="192">
        <f t="shared" si="53"/>
        <v>0</v>
      </c>
    </row>
    <row r="530" spans="6:33" x14ac:dyDescent="0.25">
      <c r="F530"/>
      <c r="AA530" s="640" t="str">
        <f t="shared" si="52"/>
        <v/>
      </c>
      <c r="AB530" s="640" t="str">
        <f t="shared" si="54"/>
        <v/>
      </c>
      <c r="AC530" s="640"/>
      <c r="AD530" s="890" t="str">
        <f t="shared" si="55"/>
        <v/>
      </c>
      <c r="AE530" s="890" t="str">
        <f t="shared" si="56"/>
        <v/>
      </c>
      <c r="AF530" s="890" t="str">
        <f t="shared" si="57"/>
        <v/>
      </c>
      <c r="AG530" s="192">
        <f t="shared" si="53"/>
        <v>0</v>
      </c>
    </row>
    <row r="531" spans="6:33" x14ac:dyDescent="0.25">
      <c r="F531"/>
      <c r="AA531" s="640" t="str">
        <f t="shared" si="52"/>
        <v/>
      </c>
      <c r="AB531" s="640" t="str">
        <f t="shared" si="54"/>
        <v/>
      </c>
      <c r="AC531" s="640"/>
      <c r="AD531" s="890" t="str">
        <f t="shared" si="55"/>
        <v/>
      </c>
      <c r="AE531" s="890" t="str">
        <f t="shared" si="56"/>
        <v/>
      </c>
      <c r="AF531" s="890" t="str">
        <f t="shared" si="57"/>
        <v/>
      </c>
      <c r="AG531" s="192">
        <f t="shared" si="53"/>
        <v>0</v>
      </c>
    </row>
    <row r="532" spans="6:33" x14ac:dyDescent="0.25">
      <c r="F532"/>
      <c r="AA532" s="640" t="str">
        <f t="shared" si="52"/>
        <v/>
      </c>
      <c r="AB532" s="640" t="str">
        <f t="shared" si="54"/>
        <v/>
      </c>
      <c r="AC532" s="640"/>
      <c r="AD532" s="890" t="str">
        <f t="shared" si="55"/>
        <v/>
      </c>
      <c r="AE532" s="890" t="str">
        <f t="shared" si="56"/>
        <v/>
      </c>
      <c r="AF532" s="890" t="str">
        <f t="shared" si="57"/>
        <v/>
      </c>
      <c r="AG532" s="192">
        <f t="shared" si="53"/>
        <v>0</v>
      </c>
    </row>
    <row r="533" spans="6:33" x14ac:dyDescent="0.25">
      <c r="F533"/>
      <c r="AA533" s="640" t="str">
        <f t="shared" si="52"/>
        <v/>
      </c>
      <c r="AB533" s="640" t="str">
        <f t="shared" si="54"/>
        <v/>
      </c>
      <c r="AC533" s="640"/>
      <c r="AD533" s="890" t="str">
        <f t="shared" si="55"/>
        <v/>
      </c>
      <c r="AE533" s="890" t="str">
        <f t="shared" si="56"/>
        <v/>
      </c>
      <c r="AF533" s="890" t="str">
        <f t="shared" si="57"/>
        <v/>
      </c>
      <c r="AG533" s="192">
        <f t="shared" si="53"/>
        <v>0</v>
      </c>
    </row>
    <row r="534" spans="6:33" x14ac:dyDescent="0.25">
      <c r="F534"/>
      <c r="AA534" s="640" t="str">
        <f t="shared" si="52"/>
        <v/>
      </c>
      <c r="AB534" s="640" t="str">
        <f t="shared" si="54"/>
        <v/>
      </c>
      <c r="AC534" s="640"/>
      <c r="AD534" s="890" t="str">
        <f t="shared" si="55"/>
        <v/>
      </c>
      <c r="AE534" s="890" t="str">
        <f t="shared" si="56"/>
        <v/>
      </c>
      <c r="AF534" s="890" t="str">
        <f t="shared" si="57"/>
        <v/>
      </c>
      <c r="AG534" s="192">
        <f t="shared" si="53"/>
        <v>0</v>
      </c>
    </row>
    <row r="535" spans="6:33" x14ac:dyDescent="0.25">
      <c r="F535"/>
      <c r="AA535" s="640" t="str">
        <f t="shared" si="52"/>
        <v/>
      </c>
      <c r="AB535" s="640" t="str">
        <f t="shared" si="54"/>
        <v/>
      </c>
      <c r="AC535" s="640"/>
      <c r="AD535" s="890" t="str">
        <f t="shared" si="55"/>
        <v/>
      </c>
      <c r="AE535" s="890" t="str">
        <f t="shared" si="56"/>
        <v/>
      </c>
      <c r="AF535" s="890" t="str">
        <f t="shared" si="57"/>
        <v/>
      </c>
      <c r="AG535" s="192">
        <f t="shared" si="53"/>
        <v>0</v>
      </c>
    </row>
    <row r="536" spans="6:33" x14ac:dyDescent="0.25">
      <c r="F536"/>
      <c r="AA536" s="640" t="str">
        <f t="shared" si="52"/>
        <v/>
      </c>
      <c r="AB536" s="640" t="str">
        <f t="shared" si="54"/>
        <v/>
      </c>
      <c r="AC536" s="640"/>
      <c r="AD536" s="890" t="str">
        <f t="shared" si="55"/>
        <v/>
      </c>
      <c r="AE536" s="890" t="str">
        <f t="shared" si="56"/>
        <v/>
      </c>
      <c r="AF536" s="890" t="str">
        <f t="shared" si="57"/>
        <v/>
      </c>
      <c r="AG536" s="192">
        <f t="shared" si="53"/>
        <v>0</v>
      </c>
    </row>
    <row r="537" spans="6:33" x14ac:dyDescent="0.25">
      <c r="F537"/>
      <c r="AA537" s="640" t="str">
        <f t="shared" si="52"/>
        <v/>
      </c>
      <c r="AB537" s="640" t="str">
        <f t="shared" si="54"/>
        <v/>
      </c>
      <c r="AC537" s="640"/>
      <c r="AD537" s="890" t="str">
        <f t="shared" si="55"/>
        <v/>
      </c>
      <c r="AE537" s="890" t="str">
        <f t="shared" si="56"/>
        <v/>
      </c>
      <c r="AF537" s="890" t="str">
        <f t="shared" si="57"/>
        <v/>
      </c>
      <c r="AG537" s="192">
        <f t="shared" si="53"/>
        <v>0</v>
      </c>
    </row>
    <row r="538" spans="6:33" x14ac:dyDescent="0.25">
      <c r="F538"/>
      <c r="AA538" s="640" t="str">
        <f t="shared" si="52"/>
        <v/>
      </c>
      <c r="AB538" s="640" t="str">
        <f t="shared" si="54"/>
        <v/>
      </c>
      <c r="AC538" s="640"/>
      <c r="AD538" s="890" t="str">
        <f t="shared" si="55"/>
        <v/>
      </c>
      <c r="AE538" s="890" t="str">
        <f t="shared" si="56"/>
        <v/>
      </c>
      <c r="AF538" s="890" t="str">
        <f t="shared" si="57"/>
        <v/>
      </c>
      <c r="AG538" s="192">
        <f t="shared" si="53"/>
        <v>0</v>
      </c>
    </row>
    <row r="539" spans="6:33" x14ac:dyDescent="0.25">
      <c r="F539"/>
      <c r="AA539" s="640" t="str">
        <f t="shared" si="52"/>
        <v/>
      </c>
      <c r="AB539" s="640" t="str">
        <f t="shared" si="54"/>
        <v/>
      </c>
      <c r="AC539" s="640"/>
      <c r="AD539" s="890" t="str">
        <f t="shared" si="55"/>
        <v/>
      </c>
      <c r="AE539" s="890" t="str">
        <f t="shared" si="56"/>
        <v/>
      </c>
      <c r="AF539" s="890" t="str">
        <f t="shared" si="57"/>
        <v/>
      </c>
      <c r="AG539" s="192">
        <f t="shared" si="53"/>
        <v>0</v>
      </c>
    </row>
    <row r="540" spans="6:33" x14ac:dyDescent="0.25">
      <c r="F540"/>
      <c r="AA540" s="640" t="str">
        <f t="shared" si="52"/>
        <v/>
      </c>
      <c r="AB540" s="640" t="str">
        <f t="shared" si="54"/>
        <v/>
      </c>
      <c r="AC540" s="640"/>
      <c r="AD540" s="890" t="str">
        <f t="shared" si="55"/>
        <v/>
      </c>
      <c r="AE540" s="890" t="str">
        <f t="shared" si="56"/>
        <v/>
      </c>
      <c r="AF540" s="890" t="str">
        <f t="shared" si="57"/>
        <v/>
      </c>
      <c r="AG540" s="192">
        <f t="shared" si="53"/>
        <v>0</v>
      </c>
    </row>
    <row r="541" spans="6:33" x14ac:dyDescent="0.25">
      <c r="F541"/>
      <c r="AA541" s="640" t="str">
        <f t="shared" si="52"/>
        <v/>
      </c>
      <c r="AB541" s="640" t="str">
        <f t="shared" si="54"/>
        <v/>
      </c>
      <c r="AC541" s="640"/>
      <c r="AD541" s="890" t="str">
        <f t="shared" si="55"/>
        <v/>
      </c>
      <c r="AE541" s="890" t="str">
        <f t="shared" si="56"/>
        <v/>
      </c>
      <c r="AF541" s="890" t="str">
        <f t="shared" si="57"/>
        <v/>
      </c>
      <c r="AG541" s="192">
        <f t="shared" si="53"/>
        <v>0</v>
      </c>
    </row>
    <row r="542" spans="6:33" x14ac:dyDescent="0.25">
      <c r="F542"/>
      <c r="AA542" s="640" t="str">
        <f t="shared" si="52"/>
        <v/>
      </c>
      <c r="AB542" s="640" t="str">
        <f t="shared" si="54"/>
        <v/>
      </c>
      <c r="AC542" s="640"/>
      <c r="AD542" s="890" t="str">
        <f t="shared" si="55"/>
        <v/>
      </c>
      <c r="AE542" s="890" t="str">
        <f t="shared" si="56"/>
        <v/>
      </c>
      <c r="AF542" s="890" t="str">
        <f t="shared" si="57"/>
        <v/>
      </c>
      <c r="AG542" s="192">
        <f t="shared" si="53"/>
        <v>0</v>
      </c>
    </row>
    <row r="543" spans="6:33" x14ac:dyDescent="0.25">
      <c r="F543"/>
      <c r="AA543" s="640" t="str">
        <f t="shared" si="52"/>
        <v/>
      </c>
      <c r="AB543" s="640" t="str">
        <f t="shared" si="54"/>
        <v/>
      </c>
      <c r="AC543" s="640"/>
      <c r="AD543" s="890" t="str">
        <f t="shared" si="55"/>
        <v/>
      </c>
      <c r="AE543" s="890" t="str">
        <f t="shared" si="56"/>
        <v/>
      </c>
      <c r="AF543" s="890" t="str">
        <f t="shared" si="57"/>
        <v/>
      </c>
      <c r="AG543" s="192">
        <f t="shared" si="53"/>
        <v>0</v>
      </c>
    </row>
    <row r="544" spans="6:33" x14ac:dyDescent="0.25">
      <c r="F544"/>
      <c r="AA544" s="640" t="str">
        <f t="shared" si="52"/>
        <v/>
      </c>
      <c r="AB544" s="640" t="str">
        <f t="shared" si="54"/>
        <v/>
      </c>
      <c r="AC544" s="640"/>
      <c r="AD544" s="890" t="str">
        <f t="shared" si="55"/>
        <v/>
      </c>
      <c r="AE544" s="890" t="str">
        <f t="shared" si="56"/>
        <v/>
      </c>
      <c r="AF544" s="890" t="str">
        <f t="shared" si="57"/>
        <v/>
      </c>
      <c r="AG544" s="192">
        <f t="shared" si="53"/>
        <v>0</v>
      </c>
    </row>
    <row r="545" spans="6:33" x14ac:dyDescent="0.25">
      <c r="F545"/>
      <c r="AA545" s="640" t="str">
        <f t="shared" si="52"/>
        <v/>
      </c>
      <c r="AB545" s="640" t="str">
        <f t="shared" si="54"/>
        <v/>
      </c>
      <c r="AC545" s="640"/>
      <c r="AD545" s="890" t="str">
        <f t="shared" si="55"/>
        <v/>
      </c>
      <c r="AE545" s="890" t="str">
        <f t="shared" si="56"/>
        <v/>
      </c>
      <c r="AF545" s="890" t="str">
        <f t="shared" si="57"/>
        <v/>
      </c>
      <c r="AG545" s="192">
        <f t="shared" si="53"/>
        <v>0</v>
      </c>
    </row>
    <row r="546" spans="6:33" x14ac:dyDescent="0.25">
      <c r="F546"/>
      <c r="AA546" s="640" t="str">
        <f t="shared" si="52"/>
        <v/>
      </c>
      <c r="AB546" s="640" t="str">
        <f t="shared" si="54"/>
        <v/>
      </c>
      <c r="AC546" s="640"/>
      <c r="AD546" s="890" t="str">
        <f t="shared" si="55"/>
        <v/>
      </c>
      <c r="AE546" s="890" t="str">
        <f t="shared" si="56"/>
        <v/>
      </c>
      <c r="AF546" s="890" t="str">
        <f t="shared" si="57"/>
        <v/>
      </c>
      <c r="AG546" s="192">
        <f t="shared" si="53"/>
        <v>0</v>
      </c>
    </row>
    <row r="547" spans="6:33" x14ac:dyDescent="0.25">
      <c r="F547"/>
      <c r="AA547" s="640" t="str">
        <f t="shared" si="52"/>
        <v/>
      </c>
      <c r="AB547" s="640" t="str">
        <f t="shared" si="54"/>
        <v/>
      </c>
      <c r="AC547" s="640"/>
      <c r="AD547" s="890" t="str">
        <f t="shared" si="55"/>
        <v/>
      </c>
      <c r="AE547" s="890" t="str">
        <f t="shared" si="56"/>
        <v/>
      </c>
      <c r="AF547" s="890" t="str">
        <f t="shared" si="57"/>
        <v/>
      </c>
      <c r="AG547" s="192">
        <f t="shared" si="53"/>
        <v>0</v>
      </c>
    </row>
    <row r="548" spans="6:33" x14ac:dyDescent="0.25">
      <c r="F548"/>
      <c r="AA548" s="640" t="str">
        <f t="shared" si="52"/>
        <v/>
      </c>
      <c r="AB548" s="640" t="str">
        <f t="shared" si="54"/>
        <v/>
      </c>
      <c r="AC548" s="640"/>
      <c r="AD548" s="890" t="str">
        <f t="shared" si="55"/>
        <v/>
      </c>
      <c r="AE548" s="890" t="str">
        <f t="shared" si="56"/>
        <v/>
      </c>
      <c r="AF548" s="890" t="str">
        <f t="shared" si="57"/>
        <v/>
      </c>
      <c r="AG548" s="192">
        <f t="shared" si="53"/>
        <v>0</v>
      </c>
    </row>
    <row r="549" spans="6:33" x14ac:dyDescent="0.25">
      <c r="F549"/>
      <c r="AA549" s="640" t="str">
        <f t="shared" si="52"/>
        <v/>
      </c>
      <c r="AB549" s="640" t="str">
        <f t="shared" si="54"/>
        <v/>
      </c>
      <c r="AC549" s="640"/>
      <c r="AD549" s="890" t="str">
        <f t="shared" si="55"/>
        <v/>
      </c>
      <c r="AE549" s="890" t="str">
        <f t="shared" si="56"/>
        <v/>
      </c>
      <c r="AF549" s="890" t="str">
        <f t="shared" si="57"/>
        <v/>
      </c>
      <c r="AG549" s="192">
        <f t="shared" si="53"/>
        <v>0</v>
      </c>
    </row>
    <row r="550" spans="6:33" x14ac:dyDescent="0.25">
      <c r="F550"/>
      <c r="AA550" s="640" t="str">
        <f t="shared" si="52"/>
        <v/>
      </c>
      <c r="AB550" s="640" t="str">
        <f t="shared" si="54"/>
        <v/>
      </c>
      <c r="AC550" s="640"/>
      <c r="AD550" s="890" t="str">
        <f t="shared" si="55"/>
        <v/>
      </c>
      <c r="AE550" s="890" t="str">
        <f t="shared" si="56"/>
        <v/>
      </c>
      <c r="AF550" s="890" t="str">
        <f t="shared" si="57"/>
        <v/>
      </c>
      <c r="AG550" s="192">
        <f t="shared" si="53"/>
        <v>0</v>
      </c>
    </row>
    <row r="551" spans="6:33" x14ac:dyDescent="0.25">
      <c r="F551"/>
      <c r="AA551" s="640" t="str">
        <f t="shared" si="52"/>
        <v/>
      </c>
      <c r="AB551" s="640" t="str">
        <f t="shared" si="54"/>
        <v/>
      </c>
      <c r="AC551" s="640"/>
      <c r="AD551" s="890" t="str">
        <f t="shared" si="55"/>
        <v/>
      </c>
      <c r="AE551" s="890" t="str">
        <f t="shared" si="56"/>
        <v/>
      </c>
      <c r="AF551" s="890" t="str">
        <f t="shared" si="57"/>
        <v/>
      </c>
      <c r="AG551" s="192">
        <f t="shared" si="53"/>
        <v>0</v>
      </c>
    </row>
    <row r="552" spans="6:33" x14ac:dyDescent="0.25">
      <c r="F552"/>
      <c r="AA552" s="640" t="str">
        <f t="shared" si="52"/>
        <v/>
      </c>
      <c r="AB552" s="640" t="str">
        <f t="shared" si="54"/>
        <v/>
      </c>
      <c r="AC552" s="640"/>
      <c r="AD552" s="890" t="str">
        <f t="shared" si="55"/>
        <v/>
      </c>
      <c r="AE552" s="890" t="str">
        <f t="shared" si="56"/>
        <v/>
      </c>
      <c r="AF552" s="890" t="str">
        <f t="shared" si="57"/>
        <v/>
      </c>
      <c r="AG552" s="192">
        <f t="shared" si="53"/>
        <v>0</v>
      </c>
    </row>
    <row r="553" spans="6:33" x14ac:dyDescent="0.25">
      <c r="F553"/>
      <c r="AA553" s="640" t="str">
        <f t="shared" si="52"/>
        <v/>
      </c>
      <c r="AB553" s="640" t="str">
        <f t="shared" si="54"/>
        <v/>
      </c>
      <c r="AC553" s="640"/>
      <c r="AD553" s="890" t="str">
        <f t="shared" si="55"/>
        <v/>
      </c>
      <c r="AE553" s="890" t="str">
        <f t="shared" si="56"/>
        <v/>
      </c>
      <c r="AF553" s="890" t="str">
        <f t="shared" si="57"/>
        <v/>
      </c>
      <c r="AG553" s="192">
        <f t="shared" si="53"/>
        <v>0</v>
      </c>
    </row>
    <row r="554" spans="6:33" x14ac:dyDescent="0.25">
      <c r="F554"/>
      <c r="AA554" s="640" t="str">
        <f t="shared" si="52"/>
        <v/>
      </c>
      <c r="AB554" s="640" t="str">
        <f t="shared" si="54"/>
        <v/>
      </c>
      <c r="AC554" s="640"/>
      <c r="AD554" s="890" t="str">
        <f t="shared" si="55"/>
        <v/>
      </c>
      <c r="AE554" s="890" t="str">
        <f t="shared" si="56"/>
        <v/>
      </c>
      <c r="AF554" s="890" t="str">
        <f t="shared" si="57"/>
        <v/>
      </c>
      <c r="AG554" s="192">
        <f t="shared" si="53"/>
        <v>0</v>
      </c>
    </row>
    <row r="555" spans="6:33" x14ac:dyDescent="0.25">
      <c r="F555"/>
      <c r="AA555" s="640" t="str">
        <f t="shared" si="52"/>
        <v/>
      </c>
      <c r="AB555" s="640" t="str">
        <f t="shared" si="54"/>
        <v/>
      </c>
      <c r="AC555" s="640"/>
      <c r="AD555" s="890" t="str">
        <f t="shared" si="55"/>
        <v/>
      </c>
      <c r="AE555" s="890" t="str">
        <f t="shared" si="56"/>
        <v/>
      </c>
      <c r="AF555" s="890" t="str">
        <f t="shared" si="57"/>
        <v/>
      </c>
      <c r="AG555" s="192">
        <f t="shared" si="53"/>
        <v>0</v>
      </c>
    </row>
    <row r="556" spans="6:33" x14ac:dyDescent="0.25">
      <c r="F556"/>
      <c r="AA556" s="640" t="str">
        <f t="shared" si="52"/>
        <v/>
      </c>
      <c r="AB556" s="640" t="str">
        <f t="shared" si="54"/>
        <v/>
      </c>
      <c r="AC556" s="640"/>
      <c r="AD556" s="890" t="str">
        <f t="shared" si="55"/>
        <v/>
      </c>
      <c r="AE556" s="890" t="str">
        <f t="shared" si="56"/>
        <v/>
      </c>
      <c r="AF556" s="890" t="str">
        <f t="shared" si="57"/>
        <v/>
      </c>
      <c r="AG556" s="192">
        <f t="shared" si="53"/>
        <v>0</v>
      </c>
    </row>
    <row r="557" spans="6:33" x14ac:dyDescent="0.25">
      <c r="F557"/>
      <c r="AA557" s="640" t="str">
        <f t="shared" si="52"/>
        <v/>
      </c>
      <c r="AB557" s="640" t="str">
        <f t="shared" si="54"/>
        <v/>
      </c>
      <c r="AC557" s="640"/>
      <c r="AD557" s="890" t="str">
        <f t="shared" si="55"/>
        <v/>
      </c>
      <c r="AE557" s="890" t="str">
        <f t="shared" si="56"/>
        <v/>
      </c>
      <c r="AF557" s="890" t="str">
        <f t="shared" si="57"/>
        <v/>
      </c>
      <c r="AG557" s="192">
        <f t="shared" si="53"/>
        <v>0</v>
      </c>
    </row>
    <row r="558" spans="6:33" x14ac:dyDescent="0.25">
      <c r="F558"/>
      <c r="AA558" s="640" t="str">
        <f t="shared" si="52"/>
        <v/>
      </c>
      <c r="AB558" s="640" t="str">
        <f t="shared" si="54"/>
        <v/>
      </c>
      <c r="AC558" s="640"/>
      <c r="AD558" s="890" t="str">
        <f t="shared" si="55"/>
        <v/>
      </c>
      <c r="AE558" s="890" t="str">
        <f t="shared" si="56"/>
        <v/>
      </c>
      <c r="AF558" s="890" t="str">
        <f t="shared" si="57"/>
        <v/>
      </c>
      <c r="AG558" s="192">
        <f t="shared" si="53"/>
        <v>0</v>
      </c>
    </row>
    <row r="559" spans="6:33" x14ac:dyDescent="0.25">
      <c r="F559"/>
      <c r="AA559" s="640" t="str">
        <f t="shared" si="52"/>
        <v/>
      </c>
      <c r="AB559" s="640" t="str">
        <f t="shared" si="54"/>
        <v/>
      </c>
      <c r="AC559" s="640"/>
      <c r="AD559" s="890" t="str">
        <f t="shared" si="55"/>
        <v/>
      </c>
      <c r="AE559" s="890" t="str">
        <f t="shared" si="56"/>
        <v/>
      </c>
      <c r="AF559" s="890" t="str">
        <f t="shared" si="57"/>
        <v/>
      </c>
      <c r="AG559" s="192">
        <f t="shared" si="53"/>
        <v>0</v>
      </c>
    </row>
    <row r="560" spans="6:33" x14ac:dyDescent="0.25">
      <c r="F560"/>
      <c r="AA560" s="640" t="str">
        <f t="shared" si="52"/>
        <v/>
      </c>
      <c r="AB560" s="640" t="str">
        <f t="shared" si="54"/>
        <v/>
      </c>
      <c r="AC560" s="640"/>
      <c r="AD560" s="890" t="str">
        <f t="shared" si="55"/>
        <v/>
      </c>
      <c r="AE560" s="890" t="str">
        <f t="shared" si="56"/>
        <v/>
      </c>
      <c r="AF560" s="890" t="str">
        <f t="shared" si="57"/>
        <v/>
      </c>
      <c r="AG560" s="192">
        <f t="shared" si="53"/>
        <v>0</v>
      </c>
    </row>
    <row r="561" spans="6:33" x14ac:dyDescent="0.25">
      <c r="F561"/>
      <c r="AA561" s="640" t="str">
        <f t="shared" si="52"/>
        <v/>
      </c>
      <c r="AB561" s="640" t="str">
        <f t="shared" si="54"/>
        <v/>
      </c>
      <c r="AC561" s="640"/>
      <c r="AD561" s="890" t="str">
        <f t="shared" si="55"/>
        <v/>
      </c>
      <c r="AE561" s="890" t="str">
        <f t="shared" si="56"/>
        <v/>
      </c>
      <c r="AF561" s="890" t="str">
        <f t="shared" si="57"/>
        <v/>
      </c>
      <c r="AG561" s="192">
        <f t="shared" si="53"/>
        <v>0</v>
      </c>
    </row>
    <row r="562" spans="6:33" x14ac:dyDescent="0.25">
      <c r="F562"/>
      <c r="AA562" s="640" t="str">
        <f t="shared" si="52"/>
        <v/>
      </c>
      <c r="AB562" s="640" t="str">
        <f t="shared" si="54"/>
        <v/>
      </c>
      <c r="AC562" s="640"/>
      <c r="AD562" s="890" t="str">
        <f t="shared" si="55"/>
        <v/>
      </c>
      <c r="AE562" s="890" t="str">
        <f t="shared" si="56"/>
        <v/>
      </c>
      <c r="AF562" s="890" t="str">
        <f t="shared" si="57"/>
        <v/>
      </c>
      <c r="AG562" s="192">
        <f t="shared" si="53"/>
        <v>0</v>
      </c>
    </row>
    <row r="563" spans="6:33" x14ac:dyDescent="0.25">
      <c r="F563"/>
      <c r="AA563" s="640" t="str">
        <f t="shared" si="52"/>
        <v/>
      </c>
      <c r="AB563" s="640" t="str">
        <f t="shared" si="54"/>
        <v/>
      </c>
      <c r="AC563" s="640"/>
      <c r="AD563" s="890" t="str">
        <f t="shared" si="55"/>
        <v/>
      </c>
      <c r="AE563" s="890" t="str">
        <f t="shared" si="56"/>
        <v/>
      </c>
      <c r="AF563" s="890" t="str">
        <f t="shared" si="57"/>
        <v/>
      </c>
      <c r="AG563" s="192">
        <f t="shared" si="53"/>
        <v>0</v>
      </c>
    </row>
    <row r="564" spans="6:33" x14ac:dyDescent="0.25">
      <c r="F564"/>
      <c r="AA564" s="640" t="str">
        <f t="shared" si="52"/>
        <v/>
      </c>
      <c r="AB564" s="640" t="str">
        <f t="shared" si="54"/>
        <v/>
      </c>
      <c r="AC564" s="640"/>
      <c r="AD564" s="890" t="str">
        <f t="shared" si="55"/>
        <v/>
      </c>
      <c r="AE564" s="890" t="str">
        <f t="shared" si="56"/>
        <v/>
      </c>
      <c r="AF564" s="890" t="str">
        <f t="shared" si="57"/>
        <v/>
      </c>
      <c r="AG564" s="192">
        <f t="shared" si="53"/>
        <v>0</v>
      </c>
    </row>
    <row r="565" spans="6:33" x14ac:dyDescent="0.25">
      <c r="F565"/>
      <c r="AA565" s="640" t="str">
        <f t="shared" si="52"/>
        <v/>
      </c>
      <c r="AB565" s="640" t="str">
        <f t="shared" si="54"/>
        <v/>
      </c>
      <c r="AC565" s="640"/>
      <c r="AD565" s="890" t="str">
        <f t="shared" si="55"/>
        <v/>
      </c>
      <c r="AE565" s="890" t="str">
        <f t="shared" si="56"/>
        <v/>
      </c>
      <c r="AF565" s="890" t="str">
        <f t="shared" si="57"/>
        <v/>
      </c>
      <c r="AG565" s="192">
        <f t="shared" si="53"/>
        <v>0</v>
      </c>
    </row>
    <row r="566" spans="6:33" x14ac:dyDescent="0.25">
      <c r="F566"/>
      <c r="AA566" s="640" t="str">
        <f t="shared" si="52"/>
        <v/>
      </c>
      <c r="AB566" s="640" t="str">
        <f t="shared" si="54"/>
        <v/>
      </c>
      <c r="AC566" s="640"/>
      <c r="AD566" s="890" t="str">
        <f t="shared" si="55"/>
        <v/>
      </c>
      <c r="AE566" s="890" t="str">
        <f t="shared" si="56"/>
        <v/>
      </c>
      <c r="AF566" s="890" t="str">
        <f t="shared" si="57"/>
        <v/>
      </c>
      <c r="AG566" s="192">
        <f t="shared" si="53"/>
        <v>0</v>
      </c>
    </row>
    <row r="567" spans="6:33" x14ac:dyDescent="0.25">
      <c r="F567"/>
      <c r="AA567" s="640" t="str">
        <f t="shared" si="52"/>
        <v/>
      </c>
      <c r="AB567" s="640" t="str">
        <f t="shared" si="54"/>
        <v/>
      </c>
      <c r="AC567" s="640"/>
      <c r="AD567" s="890" t="str">
        <f t="shared" si="55"/>
        <v/>
      </c>
      <c r="AE567" s="890" t="str">
        <f t="shared" si="56"/>
        <v/>
      </c>
      <c r="AF567" s="890" t="str">
        <f t="shared" si="57"/>
        <v/>
      </c>
      <c r="AG567" s="192">
        <f t="shared" si="53"/>
        <v>0</v>
      </c>
    </row>
    <row r="568" spans="6:33" x14ac:dyDescent="0.25">
      <c r="F568"/>
      <c r="AA568" s="640" t="str">
        <f t="shared" si="52"/>
        <v/>
      </c>
      <c r="AB568" s="640" t="str">
        <f t="shared" si="54"/>
        <v/>
      </c>
      <c r="AC568" s="640"/>
      <c r="AD568" s="890" t="str">
        <f t="shared" si="55"/>
        <v/>
      </c>
      <c r="AE568" s="890" t="str">
        <f t="shared" si="56"/>
        <v/>
      </c>
      <c r="AF568" s="890" t="str">
        <f t="shared" si="57"/>
        <v/>
      </c>
      <c r="AG568" s="192">
        <f t="shared" si="53"/>
        <v>0</v>
      </c>
    </row>
    <row r="569" spans="6:33" x14ac:dyDescent="0.25">
      <c r="F569"/>
      <c r="AA569" s="640" t="str">
        <f t="shared" si="52"/>
        <v/>
      </c>
      <c r="AB569" s="640" t="str">
        <f t="shared" si="54"/>
        <v/>
      </c>
      <c r="AC569" s="640"/>
      <c r="AD569" s="890" t="str">
        <f t="shared" si="55"/>
        <v/>
      </c>
      <c r="AE569" s="890" t="str">
        <f t="shared" si="56"/>
        <v/>
      </c>
      <c r="AF569" s="890" t="str">
        <f t="shared" si="57"/>
        <v/>
      </c>
      <c r="AG569" s="192">
        <f t="shared" si="53"/>
        <v>0</v>
      </c>
    </row>
    <row r="570" spans="6:33" x14ac:dyDescent="0.25">
      <c r="F570"/>
      <c r="AA570" s="640" t="str">
        <f t="shared" si="52"/>
        <v/>
      </c>
      <c r="AB570" s="640" t="str">
        <f t="shared" si="54"/>
        <v/>
      </c>
      <c r="AC570" s="640"/>
      <c r="AD570" s="890" t="str">
        <f t="shared" si="55"/>
        <v/>
      </c>
      <c r="AE570" s="890" t="str">
        <f t="shared" si="56"/>
        <v/>
      </c>
      <c r="AF570" s="890" t="str">
        <f t="shared" si="57"/>
        <v/>
      </c>
      <c r="AG570" s="192">
        <f t="shared" si="53"/>
        <v>0</v>
      </c>
    </row>
    <row r="571" spans="6:33" x14ac:dyDescent="0.25">
      <c r="F571"/>
      <c r="AA571" s="640" t="str">
        <f t="shared" si="52"/>
        <v/>
      </c>
      <c r="AB571" s="640" t="str">
        <f t="shared" si="54"/>
        <v/>
      </c>
      <c r="AC571" s="640"/>
      <c r="AD571" s="890" t="str">
        <f t="shared" si="55"/>
        <v/>
      </c>
      <c r="AE571" s="890" t="str">
        <f t="shared" si="56"/>
        <v/>
      </c>
      <c r="AF571" s="890" t="str">
        <f t="shared" si="57"/>
        <v/>
      </c>
      <c r="AG571" s="192">
        <f t="shared" si="53"/>
        <v>0</v>
      </c>
    </row>
    <row r="572" spans="6:33" x14ac:dyDescent="0.25">
      <c r="F572"/>
      <c r="AA572" s="640" t="str">
        <f t="shared" si="52"/>
        <v/>
      </c>
      <c r="AB572" s="640" t="str">
        <f t="shared" si="54"/>
        <v/>
      </c>
      <c r="AC572" s="640"/>
      <c r="AD572" s="890" t="str">
        <f t="shared" si="55"/>
        <v/>
      </c>
      <c r="AE572" s="890" t="str">
        <f t="shared" si="56"/>
        <v/>
      </c>
      <c r="AF572" s="890" t="str">
        <f t="shared" si="57"/>
        <v/>
      </c>
      <c r="AG572" s="192">
        <f t="shared" si="53"/>
        <v>0</v>
      </c>
    </row>
    <row r="573" spans="6:33" x14ac:dyDescent="0.25">
      <c r="F573"/>
      <c r="AA573" s="640" t="str">
        <f t="shared" si="52"/>
        <v/>
      </c>
      <c r="AB573" s="640" t="str">
        <f t="shared" si="54"/>
        <v/>
      </c>
      <c r="AC573" s="640"/>
      <c r="AD573" s="890" t="str">
        <f t="shared" si="55"/>
        <v/>
      </c>
      <c r="AE573" s="890" t="str">
        <f t="shared" si="56"/>
        <v/>
      </c>
      <c r="AF573" s="890" t="str">
        <f t="shared" si="57"/>
        <v/>
      </c>
      <c r="AG573" s="192">
        <f t="shared" si="53"/>
        <v>0</v>
      </c>
    </row>
    <row r="574" spans="6:33" x14ac:dyDescent="0.25">
      <c r="F574"/>
      <c r="AA574" s="640" t="str">
        <f t="shared" si="52"/>
        <v/>
      </c>
      <c r="AB574" s="640" t="str">
        <f t="shared" si="54"/>
        <v/>
      </c>
      <c r="AC574" s="640"/>
      <c r="AD574" s="890" t="str">
        <f t="shared" si="55"/>
        <v/>
      </c>
      <c r="AE574" s="890" t="str">
        <f t="shared" si="56"/>
        <v/>
      </c>
      <c r="AF574" s="890" t="str">
        <f t="shared" si="57"/>
        <v/>
      </c>
      <c r="AG574" s="192">
        <f t="shared" si="53"/>
        <v>0</v>
      </c>
    </row>
    <row r="575" spans="6:33" x14ac:dyDescent="0.25">
      <c r="F575"/>
      <c r="AA575" s="640" t="str">
        <f t="shared" si="52"/>
        <v/>
      </c>
      <c r="AB575" s="640" t="str">
        <f t="shared" si="54"/>
        <v/>
      </c>
      <c r="AC575" s="640"/>
      <c r="AD575" s="890" t="str">
        <f t="shared" si="55"/>
        <v/>
      </c>
      <c r="AE575" s="890" t="str">
        <f t="shared" si="56"/>
        <v/>
      </c>
      <c r="AF575" s="890" t="str">
        <f t="shared" si="57"/>
        <v/>
      </c>
      <c r="AG575" s="192">
        <f t="shared" si="53"/>
        <v>0</v>
      </c>
    </row>
    <row r="576" spans="6:33" x14ac:dyDescent="0.25">
      <c r="F576"/>
      <c r="AA576" s="640" t="str">
        <f t="shared" si="52"/>
        <v/>
      </c>
      <c r="AB576" s="640" t="str">
        <f t="shared" si="54"/>
        <v/>
      </c>
      <c r="AC576" s="640"/>
      <c r="AD576" s="890" t="str">
        <f t="shared" si="55"/>
        <v/>
      </c>
      <c r="AE576" s="890" t="str">
        <f t="shared" si="56"/>
        <v/>
      </c>
      <c r="AF576" s="890" t="str">
        <f t="shared" si="57"/>
        <v/>
      </c>
      <c r="AG576" s="192">
        <f t="shared" si="53"/>
        <v>0</v>
      </c>
    </row>
    <row r="577" spans="6:33" x14ac:dyDescent="0.25">
      <c r="F577"/>
      <c r="AA577" s="640" t="str">
        <f t="shared" si="52"/>
        <v/>
      </c>
      <c r="AB577" s="640" t="str">
        <f t="shared" si="54"/>
        <v/>
      </c>
      <c r="AC577" s="640"/>
      <c r="AD577" s="890" t="str">
        <f t="shared" si="55"/>
        <v/>
      </c>
      <c r="AE577" s="890" t="str">
        <f t="shared" si="56"/>
        <v/>
      </c>
      <c r="AF577" s="890" t="str">
        <f t="shared" si="57"/>
        <v/>
      </c>
      <c r="AG577" s="192">
        <f t="shared" si="53"/>
        <v>0</v>
      </c>
    </row>
    <row r="578" spans="6:33" x14ac:dyDescent="0.25">
      <c r="F578"/>
      <c r="AA578" s="640" t="str">
        <f t="shared" si="52"/>
        <v/>
      </c>
      <c r="AB578" s="640" t="str">
        <f t="shared" si="54"/>
        <v/>
      </c>
      <c r="AC578" s="640"/>
      <c r="AD578" s="890" t="str">
        <f t="shared" si="55"/>
        <v/>
      </c>
      <c r="AE578" s="890" t="str">
        <f t="shared" si="56"/>
        <v/>
      </c>
      <c r="AF578" s="890" t="str">
        <f t="shared" si="57"/>
        <v/>
      </c>
      <c r="AG578" s="192">
        <f t="shared" si="53"/>
        <v>0</v>
      </c>
    </row>
    <row r="579" spans="6:33" x14ac:dyDescent="0.25">
      <c r="F579"/>
      <c r="AA579" s="640" t="str">
        <f t="shared" si="52"/>
        <v/>
      </c>
      <c r="AB579" s="640" t="str">
        <f t="shared" si="54"/>
        <v/>
      </c>
      <c r="AC579" s="640"/>
      <c r="AD579" s="890" t="str">
        <f t="shared" si="55"/>
        <v/>
      </c>
      <c r="AE579" s="890" t="str">
        <f t="shared" si="56"/>
        <v/>
      </c>
      <c r="AF579" s="890" t="str">
        <f t="shared" si="57"/>
        <v/>
      </c>
      <c r="AG579" s="192">
        <f t="shared" si="53"/>
        <v>0</v>
      </c>
    </row>
    <row r="580" spans="6:33" x14ac:dyDescent="0.25">
      <c r="F580"/>
      <c r="AA580" s="640" t="str">
        <f t="shared" si="52"/>
        <v/>
      </c>
      <c r="AB580" s="640" t="str">
        <f t="shared" si="54"/>
        <v/>
      </c>
      <c r="AC580" s="640"/>
      <c r="AD580" s="890" t="str">
        <f t="shared" si="55"/>
        <v/>
      </c>
      <c r="AE580" s="890" t="str">
        <f t="shared" si="56"/>
        <v/>
      </c>
      <c r="AF580" s="890" t="str">
        <f t="shared" si="57"/>
        <v/>
      </c>
      <c r="AG580" s="192">
        <f t="shared" si="53"/>
        <v>0</v>
      </c>
    </row>
    <row r="581" spans="6:33" x14ac:dyDescent="0.25">
      <c r="F581"/>
      <c r="AA581" s="640" t="str">
        <f t="shared" si="52"/>
        <v/>
      </c>
      <c r="AB581" s="640" t="str">
        <f t="shared" si="54"/>
        <v/>
      </c>
      <c r="AC581" s="640"/>
      <c r="AD581" s="890" t="str">
        <f t="shared" si="55"/>
        <v/>
      </c>
      <c r="AE581" s="890" t="str">
        <f t="shared" si="56"/>
        <v/>
      </c>
      <c r="AF581" s="890" t="str">
        <f t="shared" si="57"/>
        <v/>
      </c>
      <c r="AG581" s="192">
        <f t="shared" si="53"/>
        <v>0</v>
      </c>
    </row>
    <row r="582" spans="6:33" x14ac:dyDescent="0.25">
      <c r="F582"/>
      <c r="AA582" s="640" t="str">
        <f t="shared" si="52"/>
        <v/>
      </c>
      <c r="AB582" s="640" t="str">
        <f t="shared" si="54"/>
        <v/>
      </c>
      <c r="AC582" s="640"/>
      <c r="AD582" s="890" t="str">
        <f t="shared" si="55"/>
        <v/>
      </c>
      <c r="AE582" s="890" t="str">
        <f t="shared" si="56"/>
        <v/>
      </c>
      <c r="AF582" s="890" t="str">
        <f t="shared" si="57"/>
        <v/>
      </c>
      <c r="AG582" s="192">
        <f t="shared" si="53"/>
        <v>0</v>
      </c>
    </row>
    <row r="583" spans="6:33" x14ac:dyDescent="0.25">
      <c r="F583"/>
      <c r="AA583" s="640" t="str">
        <f t="shared" ref="AA583:AA646" si="58">IF(G583=0, IF(OR(H583&gt;0,F583&gt;0),C583*F583,""),"")</f>
        <v/>
      </c>
      <c r="AB583" s="640" t="str">
        <f t="shared" si="54"/>
        <v/>
      </c>
      <c r="AC583" s="640"/>
      <c r="AD583" s="890" t="str">
        <f t="shared" si="55"/>
        <v/>
      </c>
      <c r="AE583" s="890" t="str">
        <f t="shared" si="56"/>
        <v/>
      </c>
      <c r="AF583" s="890" t="str">
        <f t="shared" si="57"/>
        <v/>
      </c>
      <c r="AG583" s="192">
        <f t="shared" ref="AG583:AG646" si="59">(C583*G583)+(C583*H583)+(C583*I583)</f>
        <v>0</v>
      </c>
    </row>
    <row r="584" spans="6:33" x14ac:dyDescent="0.25">
      <c r="F584"/>
      <c r="AA584" s="640" t="str">
        <f t="shared" si="58"/>
        <v/>
      </c>
      <c r="AB584" s="640" t="str">
        <f t="shared" ref="AB584:AB647" si="60">IF(G584&gt;=1,IF(F584&gt;1,C584*(F584-2),""),"")</f>
        <v/>
      </c>
      <c r="AC584" s="640"/>
      <c r="AD584" s="890" t="str">
        <f t="shared" ref="AD584:AD647" si="61">IF(E584="YES",IF(G584=1,"",""),IF(G584=1,C584,IF(G584=2,C584,IF(G584=0,"",""))))</f>
        <v/>
      </c>
      <c r="AE584" s="890" t="str">
        <f t="shared" ref="AE584:AE647" si="62">IF(E584="YES",IF(G584=1,"",IF(H584=1,C584,"")),IF(H584=1,C584,IF(H584=2,C584,IF(H584=0,"",""))))</f>
        <v/>
      </c>
      <c r="AF584" s="890" t="str">
        <f t="shared" ref="AF584:AF647" si="63">IF(E584="YES",IF(I584=1,C584,""),IF(I584=1,C584,IF(I584=2,C584,IF(I584=0,"",""))))</f>
        <v/>
      </c>
      <c r="AG584" s="192">
        <f t="shared" si="59"/>
        <v>0</v>
      </c>
    </row>
    <row r="585" spans="6:33" x14ac:dyDescent="0.25">
      <c r="F585"/>
      <c r="AA585" s="640" t="str">
        <f t="shared" si="58"/>
        <v/>
      </c>
      <c r="AB585" s="640" t="str">
        <f t="shared" si="60"/>
        <v/>
      </c>
      <c r="AC585" s="640"/>
      <c r="AD585" s="890" t="str">
        <f t="shared" si="61"/>
        <v/>
      </c>
      <c r="AE585" s="890" t="str">
        <f t="shared" si="62"/>
        <v/>
      </c>
      <c r="AF585" s="890" t="str">
        <f t="shared" si="63"/>
        <v/>
      </c>
      <c r="AG585" s="192">
        <f t="shared" si="59"/>
        <v>0</v>
      </c>
    </row>
    <row r="586" spans="6:33" x14ac:dyDescent="0.25">
      <c r="F586"/>
      <c r="AA586" s="640" t="str">
        <f t="shared" si="58"/>
        <v/>
      </c>
      <c r="AB586" s="640" t="str">
        <f t="shared" si="60"/>
        <v/>
      </c>
      <c r="AC586" s="640"/>
      <c r="AD586" s="890" t="str">
        <f t="shared" si="61"/>
        <v/>
      </c>
      <c r="AE586" s="890" t="str">
        <f t="shared" si="62"/>
        <v/>
      </c>
      <c r="AF586" s="890" t="str">
        <f t="shared" si="63"/>
        <v/>
      </c>
      <c r="AG586" s="192">
        <f t="shared" si="59"/>
        <v>0</v>
      </c>
    </row>
    <row r="587" spans="6:33" x14ac:dyDescent="0.25">
      <c r="F587"/>
      <c r="AA587" s="640" t="str">
        <f t="shared" si="58"/>
        <v/>
      </c>
      <c r="AB587" s="640" t="str">
        <f t="shared" si="60"/>
        <v/>
      </c>
      <c r="AC587" s="640"/>
      <c r="AD587" s="890" t="str">
        <f t="shared" si="61"/>
        <v/>
      </c>
      <c r="AE587" s="890" t="str">
        <f t="shared" si="62"/>
        <v/>
      </c>
      <c r="AF587" s="890" t="str">
        <f t="shared" si="63"/>
        <v/>
      </c>
      <c r="AG587" s="192">
        <f t="shared" si="59"/>
        <v>0</v>
      </c>
    </row>
    <row r="588" spans="6:33" x14ac:dyDescent="0.25">
      <c r="F588"/>
      <c r="AA588" s="640" t="str">
        <f t="shared" si="58"/>
        <v/>
      </c>
      <c r="AB588" s="640" t="str">
        <f t="shared" si="60"/>
        <v/>
      </c>
      <c r="AC588" s="640"/>
      <c r="AD588" s="890" t="str">
        <f t="shared" si="61"/>
        <v/>
      </c>
      <c r="AE588" s="890" t="str">
        <f t="shared" si="62"/>
        <v/>
      </c>
      <c r="AF588" s="890" t="str">
        <f t="shared" si="63"/>
        <v/>
      </c>
      <c r="AG588" s="192">
        <f t="shared" si="59"/>
        <v>0</v>
      </c>
    </row>
    <row r="589" spans="6:33" x14ac:dyDescent="0.25">
      <c r="F589"/>
      <c r="AA589" s="640" t="str">
        <f t="shared" si="58"/>
        <v/>
      </c>
      <c r="AB589" s="640" t="str">
        <f t="shared" si="60"/>
        <v/>
      </c>
      <c r="AC589" s="640"/>
      <c r="AD589" s="890" t="str">
        <f t="shared" si="61"/>
        <v/>
      </c>
      <c r="AE589" s="890" t="str">
        <f t="shared" si="62"/>
        <v/>
      </c>
      <c r="AF589" s="890" t="str">
        <f t="shared" si="63"/>
        <v/>
      </c>
      <c r="AG589" s="192">
        <f t="shared" si="59"/>
        <v>0</v>
      </c>
    </row>
    <row r="590" spans="6:33" x14ac:dyDescent="0.25">
      <c r="F590"/>
      <c r="AA590" s="640" t="str">
        <f t="shared" si="58"/>
        <v/>
      </c>
      <c r="AB590" s="640" t="str">
        <f t="shared" si="60"/>
        <v/>
      </c>
      <c r="AC590" s="640"/>
      <c r="AD590" s="890" t="str">
        <f t="shared" si="61"/>
        <v/>
      </c>
      <c r="AE590" s="890" t="str">
        <f t="shared" si="62"/>
        <v/>
      </c>
      <c r="AF590" s="890" t="str">
        <f t="shared" si="63"/>
        <v/>
      </c>
      <c r="AG590" s="192">
        <f t="shared" si="59"/>
        <v>0</v>
      </c>
    </row>
    <row r="591" spans="6:33" x14ac:dyDescent="0.25">
      <c r="F591"/>
      <c r="AA591" s="640" t="str">
        <f t="shared" si="58"/>
        <v/>
      </c>
      <c r="AB591" s="640" t="str">
        <f t="shared" si="60"/>
        <v/>
      </c>
      <c r="AC591" s="640"/>
      <c r="AD591" s="890" t="str">
        <f t="shared" si="61"/>
        <v/>
      </c>
      <c r="AE591" s="890" t="str">
        <f t="shared" si="62"/>
        <v/>
      </c>
      <c r="AF591" s="890" t="str">
        <f t="shared" si="63"/>
        <v/>
      </c>
      <c r="AG591" s="192">
        <f t="shared" si="59"/>
        <v>0</v>
      </c>
    </row>
    <row r="592" spans="6:33" x14ac:dyDescent="0.25">
      <c r="F592"/>
      <c r="AA592" s="640" t="str">
        <f t="shared" si="58"/>
        <v/>
      </c>
      <c r="AB592" s="640" t="str">
        <f t="shared" si="60"/>
        <v/>
      </c>
      <c r="AC592" s="640"/>
      <c r="AD592" s="890" t="str">
        <f t="shared" si="61"/>
        <v/>
      </c>
      <c r="AE592" s="890" t="str">
        <f t="shared" si="62"/>
        <v/>
      </c>
      <c r="AF592" s="890" t="str">
        <f t="shared" si="63"/>
        <v/>
      </c>
      <c r="AG592" s="192">
        <f t="shared" si="59"/>
        <v>0</v>
      </c>
    </row>
    <row r="593" spans="6:33" x14ac:dyDescent="0.25">
      <c r="F593"/>
      <c r="AA593" s="640" t="str">
        <f t="shared" si="58"/>
        <v/>
      </c>
      <c r="AB593" s="640" t="str">
        <f t="shared" si="60"/>
        <v/>
      </c>
      <c r="AC593" s="640"/>
      <c r="AD593" s="890" t="str">
        <f t="shared" si="61"/>
        <v/>
      </c>
      <c r="AE593" s="890" t="str">
        <f t="shared" si="62"/>
        <v/>
      </c>
      <c r="AF593" s="890" t="str">
        <f t="shared" si="63"/>
        <v/>
      </c>
      <c r="AG593" s="192">
        <f t="shared" si="59"/>
        <v>0</v>
      </c>
    </row>
    <row r="594" spans="6:33" x14ac:dyDescent="0.25">
      <c r="F594"/>
      <c r="AA594" s="640" t="str">
        <f t="shared" si="58"/>
        <v/>
      </c>
      <c r="AB594" s="640" t="str">
        <f t="shared" si="60"/>
        <v/>
      </c>
      <c r="AC594" s="640"/>
      <c r="AD594" s="890" t="str">
        <f t="shared" si="61"/>
        <v/>
      </c>
      <c r="AE594" s="890" t="str">
        <f t="shared" si="62"/>
        <v/>
      </c>
      <c r="AF594" s="890" t="str">
        <f t="shared" si="63"/>
        <v/>
      </c>
      <c r="AG594" s="192">
        <f t="shared" si="59"/>
        <v>0</v>
      </c>
    </row>
    <row r="595" spans="6:33" x14ac:dyDescent="0.25">
      <c r="F595"/>
      <c r="AA595" s="640" t="str">
        <f t="shared" si="58"/>
        <v/>
      </c>
      <c r="AB595" s="640" t="str">
        <f t="shared" si="60"/>
        <v/>
      </c>
      <c r="AC595" s="640"/>
      <c r="AD595" s="890" t="str">
        <f t="shared" si="61"/>
        <v/>
      </c>
      <c r="AE595" s="890" t="str">
        <f t="shared" si="62"/>
        <v/>
      </c>
      <c r="AF595" s="890" t="str">
        <f t="shared" si="63"/>
        <v/>
      </c>
      <c r="AG595" s="192">
        <f t="shared" si="59"/>
        <v>0</v>
      </c>
    </row>
    <row r="596" spans="6:33" x14ac:dyDescent="0.25">
      <c r="F596"/>
      <c r="AA596" s="640" t="str">
        <f t="shared" si="58"/>
        <v/>
      </c>
      <c r="AB596" s="640" t="str">
        <f t="shared" si="60"/>
        <v/>
      </c>
      <c r="AC596" s="640"/>
      <c r="AD596" s="890" t="str">
        <f t="shared" si="61"/>
        <v/>
      </c>
      <c r="AE596" s="890" t="str">
        <f t="shared" si="62"/>
        <v/>
      </c>
      <c r="AF596" s="890" t="str">
        <f t="shared" si="63"/>
        <v/>
      </c>
      <c r="AG596" s="192">
        <f t="shared" si="59"/>
        <v>0</v>
      </c>
    </row>
    <row r="597" spans="6:33" x14ac:dyDescent="0.25">
      <c r="F597"/>
      <c r="AA597" s="640" t="str">
        <f t="shared" si="58"/>
        <v/>
      </c>
      <c r="AB597" s="640" t="str">
        <f t="shared" si="60"/>
        <v/>
      </c>
      <c r="AC597" s="640"/>
      <c r="AD597" s="890" t="str">
        <f t="shared" si="61"/>
        <v/>
      </c>
      <c r="AE597" s="890" t="str">
        <f t="shared" si="62"/>
        <v/>
      </c>
      <c r="AF597" s="890" t="str">
        <f t="shared" si="63"/>
        <v/>
      </c>
      <c r="AG597" s="192">
        <f t="shared" si="59"/>
        <v>0</v>
      </c>
    </row>
    <row r="598" spans="6:33" x14ac:dyDescent="0.25">
      <c r="F598"/>
      <c r="AA598" s="640" t="str">
        <f t="shared" si="58"/>
        <v/>
      </c>
      <c r="AB598" s="640" t="str">
        <f t="shared" si="60"/>
        <v/>
      </c>
      <c r="AC598" s="640"/>
      <c r="AD598" s="890" t="str">
        <f t="shared" si="61"/>
        <v/>
      </c>
      <c r="AE598" s="890" t="str">
        <f t="shared" si="62"/>
        <v/>
      </c>
      <c r="AF598" s="890" t="str">
        <f t="shared" si="63"/>
        <v/>
      </c>
      <c r="AG598" s="192">
        <f t="shared" si="59"/>
        <v>0</v>
      </c>
    </row>
    <row r="599" spans="6:33" x14ac:dyDescent="0.25">
      <c r="F599"/>
      <c r="AA599" s="640" t="str">
        <f t="shared" si="58"/>
        <v/>
      </c>
      <c r="AB599" s="640" t="str">
        <f t="shared" si="60"/>
        <v/>
      </c>
      <c r="AC599" s="640"/>
      <c r="AD599" s="890" t="str">
        <f t="shared" si="61"/>
        <v/>
      </c>
      <c r="AE599" s="890" t="str">
        <f t="shared" si="62"/>
        <v/>
      </c>
      <c r="AF599" s="890" t="str">
        <f t="shared" si="63"/>
        <v/>
      </c>
      <c r="AG599" s="192">
        <f t="shared" si="59"/>
        <v>0</v>
      </c>
    </row>
    <row r="600" spans="6:33" x14ac:dyDescent="0.25">
      <c r="F600"/>
      <c r="AA600" s="640" t="str">
        <f t="shared" si="58"/>
        <v/>
      </c>
      <c r="AB600" s="640" t="str">
        <f t="shared" si="60"/>
        <v/>
      </c>
      <c r="AC600" s="640"/>
      <c r="AD600" s="890" t="str">
        <f t="shared" si="61"/>
        <v/>
      </c>
      <c r="AE600" s="890" t="str">
        <f t="shared" si="62"/>
        <v/>
      </c>
      <c r="AF600" s="890" t="str">
        <f t="shared" si="63"/>
        <v/>
      </c>
      <c r="AG600" s="192">
        <f t="shared" si="59"/>
        <v>0</v>
      </c>
    </row>
    <row r="601" spans="6:33" x14ac:dyDescent="0.25">
      <c r="F601"/>
      <c r="AA601" s="640" t="str">
        <f t="shared" si="58"/>
        <v/>
      </c>
      <c r="AB601" s="640" t="str">
        <f t="shared" si="60"/>
        <v/>
      </c>
      <c r="AC601" s="640"/>
      <c r="AD601" s="890" t="str">
        <f t="shared" si="61"/>
        <v/>
      </c>
      <c r="AE601" s="890" t="str">
        <f t="shared" si="62"/>
        <v/>
      </c>
      <c r="AF601" s="890" t="str">
        <f t="shared" si="63"/>
        <v/>
      </c>
      <c r="AG601" s="192">
        <f t="shared" si="59"/>
        <v>0</v>
      </c>
    </row>
    <row r="602" spans="6:33" x14ac:dyDescent="0.25">
      <c r="F602"/>
      <c r="AA602" s="640" t="str">
        <f t="shared" si="58"/>
        <v/>
      </c>
      <c r="AB602" s="640" t="str">
        <f t="shared" si="60"/>
        <v/>
      </c>
      <c r="AC602" s="640"/>
      <c r="AD602" s="890" t="str">
        <f t="shared" si="61"/>
        <v/>
      </c>
      <c r="AE602" s="890" t="str">
        <f t="shared" si="62"/>
        <v/>
      </c>
      <c r="AF602" s="890" t="str">
        <f t="shared" si="63"/>
        <v/>
      </c>
      <c r="AG602" s="192">
        <f t="shared" si="59"/>
        <v>0</v>
      </c>
    </row>
    <row r="603" spans="6:33" x14ac:dyDescent="0.25">
      <c r="F603"/>
      <c r="AA603" s="640" t="str">
        <f t="shared" si="58"/>
        <v/>
      </c>
      <c r="AB603" s="640" t="str">
        <f t="shared" si="60"/>
        <v/>
      </c>
      <c r="AC603" s="640"/>
      <c r="AD603" s="890" t="str">
        <f t="shared" si="61"/>
        <v/>
      </c>
      <c r="AE603" s="890" t="str">
        <f t="shared" si="62"/>
        <v/>
      </c>
      <c r="AF603" s="890" t="str">
        <f t="shared" si="63"/>
        <v/>
      </c>
      <c r="AG603" s="192">
        <f t="shared" si="59"/>
        <v>0</v>
      </c>
    </row>
    <row r="604" spans="6:33" x14ac:dyDescent="0.25">
      <c r="F604"/>
      <c r="AA604" s="640" t="str">
        <f t="shared" si="58"/>
        <v/>
      </c>
      <c r="AB604" s="640" t="str">
        <f t="shared" si="60"/>
        <v/>
      </c>
      <c r="AC604" s="640"/>
      <c r="AD604" s="890" t="str">
        <f t="shared" si="61"/>
        <v/>
      </c>
      <c r="AE604" s="890" t="str">
        <f t="shared" si="62"/>
        <v/>
      </c>
      <c r="AF604" s="890" t="str">
        <f t="shared" si="63"/>
        <v/>
      </c>
      <c r="AG604" s="192">
        <f t="shared" si="59"/>
        <v>0</v>
      </c>
    </row>
    <row r="605" spans="6:33" x14ac:dyDescent="0.25">
      <c r="F605"/>
      <c r="AA605" s="640" t="str">
        <f t="shared" si="58"/>
        <v/>
      </c>
      <c r="AB605" s="640" t="str">
        <f t="shared" si="60"/>
        <v/>
      </c>
      <c r="AC605" s="640"/>
      <c r="AD605" s="890" t="str">
        <f t="shared" si="61"/>
        <v/>
      </c>
      <c r="AE605" s="890" t="str">
        <f t="shared" si="62"/>
        <v/>
      </c>
      <c r="AF605" s="890" t="str">
        <f t="shared" si="63"/>
        <v/>
      </c>
      <c r="AG605" s="192">
        <f t="shared" si="59"/>
        <v>0</v>
      </c>
    </row>
    <row r="606" spans="6:33" x14ac:dyDescent="0.25">
      <c r="F606"/>
      <c r="AA606" s="640" t="str">
        <f t="shared" si="58"/>
        <v/>
      </c>
      <c r="AB606" s="640" t="str">
        <f t="shared" si="60"/>
        <v/>
      </c>
      <c r="AC606" s="640"/>
      <c r="AD606" s="890" t="str">
        <f t="shared" si="61"/>
        <v/>
      </c>
      <c r="AE606" s="890" t="str">
        <f t="shared" si="62"/>
        <v/>
      </c>
      <c r="AF606" s="890" t="str">
        <f t="shared" si="63"/>
        <v/>
      </c>
      <c r="AG606" s="192">
        <f t="shared" si="59"/>
        <v>0</v>
      </c>
    </row>
    <row r="607" spans="6:33" x14ac:dyDescent="0.25">
      <c r="F607"/>
      <c r="AA607" s="640" t="str">
        <f t="shared" si="58"/>
        <v/>
      </c>
      <c r="AB607" s="640" t="str">
        <f t="shared" si="60"/>
        <v/>
      </c>
      <c r="AC607" s="640"/>
      <c r="AD607" s="890" t="str">
        <f t="shared" si="61"/>
        <v/>
      </c>
      <c r="AE607" s="890" t="str">
        <f t="shared" si="62"/>
        <v/>
      </c>
      <c r="AF607" s="890" t="str">
        <f t="shared" si="63"/>
        <v/>
      </c>
      <c r="AG607" s="192">
        <f t="shared" si="59"/>
        <v>0</v>
      </c>
    </row>
    <row r="608" spans="6:33" x14ac:dyDescent="0.25">
      <c r="F608"/>
      <c r="AA608" s="640" t="str">
        <f t="shared" si="58"/>
        <v/>
      </c>
      <c r="AB608" s="640" t="str">
        <f t="shared" si="60"/>
        <v/>
      </c>
      <c r="AC608" s="640"/>
      <c r="AD608" s="890" t="str">
        <f t="shared" si="61"/>
        <v/>
      </c>
      <c r="AE608" s="890" t="str">
        <f t="shared" si="62"/>
        <v/>
      </c>
      <c r="AF608" s="890" t="str">
        <f t="shared" si="63"/>
        <v/>
      </c>
      <c r="AG608" s="192">
        <f t="shared" si="59"/>
        <v>0</v>
      </c>
    </row>
    <row r="609" spans="6:33" x14ac:dyDescent="0.25">
      <c r="F609"/>
      <c r="AA609" s="640" t="str">
        <f t="shared" si="58"/>
        <v/>
      </c>
      <c r="AB609" s="640" t="str">
        <f t="shared" si="60"/>
        <v/>
      </c>
      <c r="AC609" s="640"/>
      <c r="AD609" s="890" t="str">
        <f t="shared" si="61"/>
        <v/>
      </c>
      <c r="AE609" s="890" t="str">
        <f t="shared" si="62"/>
        <v/>
      </c>
      <c r="AF609" s="890" t="str">
        <f t="shared" si="63"/>
        <v/>
      </c>
      <c r="AG609" s="192">
        <f t="shared" si="59"/>
        <v>0</v>
      </c>
    </row>
    <row r="610" spans="6:33" x14ac:dyDescent="0.25">
      <c r="F610"/>
      <c r="AA610" s="640" t="str">
        <f t="shared" si="58"/>
        <v/>
      </c>
      <c r="AB610" s="640" t="str">
        <f t="shared" si="60"/>
        <v/>
      </c>
      <c r="AC610" s="640"/>
      <c r="AD610" s="890" t="str">
        <f t="shared" si="61"/>
        <v/>
      </c>
      <c r="AE610" s="890" t="str">
        <f t="shared" si="62"/>
        <v/>
      </c>
      <c r="AF610" s="890" t="str">
        <f t="shared" si="63"/>
        <v/>
      </c>
      <c r="AG610" s="192">
        <f t="shared" si="59"/>
        <v>0</v>
      </c>
    </row>
    <row r="611" spans="6:33" x14ac:dyDescent="0.25">
      <c r="F611"/>
      <c r="AA611" s="640" t="str">
        <f t="shared" si="58"/>
        <v/>
      </c>
      <c r="AB611" s="640" t="str">
        <f t="shared" si="60"/>
        <v/>
      </c>
      <c r="AC611" s="640"/>
      <c r="AD611" s="890" t="str">
        <f t="shared" si="61"/>
        <v/>
      </c>
      <c r="AE611" s="890" t="str">
        <f t="shared" si="62"/>
        <v/>
      </c>
      <c r="AF611" s="890" t="str">
        <f t="shared" si="63"/>
        <v/>
      </c>
      <c r="AG611" s="192">
        <f t="shared" si="59"/>
        <v>0</v>
      </c>
    </row>
    <row r="612" spans="6:33" x14ac:dyDescent="0.25">
      <c r="F612"/>
      <c r="AA612" s="640" t="str">
        <f t="shared" si="58"/>
        <v/>
      </c>
      <c r="AB612" s="640" t="str">
        <f t="shared" si="60"/>
        <v/>
      </c>
      <c r="AC612" s="640"/>
      <c r="AD612" s="890" t="str">
        <f t="shared" si="61"/>
        <v/>
      </c>
      <c r="AE612" s="890" t="str">
        <f t="shared" si="62"/>
        <v/>
      </c>
      <c r="AF612" s="890" t="str">
        <f t="shared" si="63"/>
        <v/>
      </c>
      <c r="AG612" s="192">
        <f t="shared" si="59"/>
        <v>0</v>
      </c>
    </row>
    <row r="613" spans="6:33" x14ac:dyDescent="0.25">
      <c r="F613"/>
      <c r="AA613" s="640" t="str">
        <f t="shared" si="58"/>
        <v/>
      </c>
      <c r="AB613" s="640" t="str">
        <f t="shared" si="60"/>
        <v/>
      </c>
      <c r="AC613" s="640"/>
      <c r="AD613" s="890" t="str">
        <f t="shared" si="61"/>
        <v/>
      </c>
      <c r="AE613" s="890" t="str">
        <f t="shared" si="62"/>
        <v/>
      </c>
      <c r="AF613" s="890" t="str">
        <f t="shared" si="63"/>
        <v/>
      </c>
      <c r="AG613" s="192">
        <f t="shared" si="59"/>
        <v>0</v>
      </c>
    </row>
    <row r="614" spans="6:33" x14ac:dyDescent="0.25">
      <c r="F614"/>
      <c r="AA614" s="640" t="str">
        <f t="shared" si="58"/>
        <v/>
      </c>
      <c r="AB614" s="640" t="str">
        <f t="shared" si="60"/>
        <v/>
      </c>
      <c r="AC614" s="640"/>
      <c r="AD614" s="890" t="str">
        <f t="shared" si="61"/>
        <v/>
      </c>
      <c r="AE614" s="890" t="str">
        <f t="shared" si="62"/>
        <v/>
      </c>
      <c r="AF614" s="890" t="str">
        <f t="shared" si="63"/>
        <v/>
      </c>
      <c r="AG614" s="192">
        <f t="shared" si="59"/>
        <v>0</v>
      </c>
    </row>
    <row r="615" spans="6:33" x14ac:dyDescent="0.25">
      <c r="F615"/>
      <c r="AA615" s="640" t="str">
        <f t="shared" si="58"/>
        <v/>
      </c>
      <c r="AB615" s="640" t="str">
        <f t="shared" si="60"/>
        <v/>
      </c>
      <c r="AC615" s="640"/>
      <c r="AD615" s="890" t="str">
        <f t="shared" si="61"/>
        <v/>
      </c>
      <c r="AE615" s="890" t="str">
        <f t="shared" si="62"/>
        <v/>
      </c>
      <c r="AF615" s="890" t="str">
        <f t="shared" si="63"/>
        <v/>
      </c>
      <c r="AG615" s="192">
        <f t="shared" si="59"/>
        <v>0</v>
      </c>
    </row>
    <row r="616" spans="6:33" x14ac:dyDescent="0.25">
      <c r="F616"/>
      <c r="AA616" s="640" t="str">
        <f t="shared" si="58"/>
        <v/>
      </c>
      <c r="AB616" s="640" t="str">
        <f t="shared" si="60"/>
        <v/>
      </c>
      <c r="AC616" s="640"/>
      <c r="AD616" s="890" t="str">
        <f t="shared" si="61"/>
        <v/>
      </c>
      <c r="AE616" s="890" t="str">
        <f t="shared" si="62"/>
        <v/>
      </c>
      <c r="AF616" s="890" t="str">
        <f t="shared" si="63"/>
        <v/>
      </c>
      <c r="AG616" s="192">
        <f t="shared" si="59"/>
        <v>0</v>
      </c>
    </row>
    <row r="617" spans="6:33" x14ac:dyDescent="0.25">
      <c r="F617"/>
      <c r="AA617" s="640" t="str">
        <f t="shared" si="58"/>
        <v/>
      </c>
      <c r="AB617" s="640" t="str">
        <f t="shared" si="60"/>
        <v/>
      </c>
      <c r="AC617" s="640"/>
      <c r="AD617" s="890" t="str">
        <f t="shared" si="61"/>
        <v/>
      </c>
      <c r="AE617" s="890" t="str">
        <f t="shared" si="62"/>
        <v/>
      </c>
      <c r="AF617" s="890" t="str">
        <f t="shared" si="63"/>
        <v/>
      </c>
      <c r="AG617" s="192">
        <f t="shared" si="59"/>
        <v>0</v>
      </c>
    </row>
    <row r="618" spans="6:33" x14ac:dyDescent="0.25">
      <c r="F618"/>
      <c r="AA618" s="640" t="str">
        <f t="shared" si="58"/>
        <v/>
      </c>
      <c r="AB618" s="640" t="str">
        <f t="shared" si="60"/>
        <v/>
      </c>
      <c r="AC618" s="640"/>
      <c r="AD618" s="890" t="str">
        <f t="shared" si="61"/>
        <v/>
      </c>
      <c r="AE618" s="890" t="str">
        <f t="shared" si="62"/>
        <v/>
      </c>
      <c r="AF618" s="890" t="str">
        <f t="shared" si="63"/>
        <v/>
      </c>
      <c r="AG618" s="192">
        <f t="shared" si="59"/>
        <v>0</v>
      </c>
    </row>
    <row r="619" spans="6:33" x14ac:dyDescent="0.25">
      <c r="F619"/>
      <c r="AA619" s="640" t="str">
        <f t="shared" si="58"/>
        <v/>
      </c>
      <c r="AB619" s="640" t="str">
        <f t="shared" si="60"/>
        <v/>
      </c>
      <c r="AC619" s="640"/>
      <c r="AD619" s="890" t="str">
        <f t="shared" si="61"/>
        <v/>
      </c>
      <c r="AE619" s="890" t="str">
        <f t="shared" si="62"/>
        <v/>
      </c>
      <c r="AF619" s="890" t="str">
        <f t="shared" si="63"/>
        <v/>
      </c>
      <c r="AG619" s="192">
        <f t="shared" si="59"/>
        <v>0</v>
      </c>
    </row>
    <row r="620" spans="6:33" x14ac:dyDescent="0.25">
      <c r="F620"/>
      <c r="AA620" s="640" t="str">
        <f t="shared" si="58"/>
        <v/>
      </c>
      <c r="AB620" s="640" t="str">
        <f t="shared" si="60"/>
        <v/>
      </c>
      <c r="AC620" s="640"/>
      <c r="AD620" s="890" t="str">
        <f t="shared" si="61"/>
        <v/>
      </c>
      <c r="AE620" s="890" t="str">
        <f t="shared" si="62"/>
        <v/>
      </c>
      <c r="AF620" s="890" t="str">
        <f t="shared" si="63"/>
        <v/>
      </c>
      <c r="AG620" s="192">
        <f t="shared" si="59"/>
        <v>0</v>
      </c>
    </row>
    <row r="621" spans="6:33" x14ac:dyDescent="0.25">
      <c r="F621"/>
      <c r="AA621" s="640" t="str">
        <f t="shared" si="58"/>
        <v/>
      </c>
      <c r="AB621" s="640" t="str">
        <f t="shared" si="60"/>
        <v/>
      </c>
      <c r="AC621" s="640"/>
      <c r="AD621" s="890" t="str">
        <f t="shared" si="61"/>
        <v/>
      </c>
      <c r="AE621" s="890" t="str">
        <f t="shared" si="62"/>
        <v/>
      </c>
      <c r="AF621" s="890" t="str">
        <f t="shared" si="63"/>
        <v/>
      </c>
      <c r="AG621" s="192">
        <f t="shared" si="59"/>
        <v>0</v>
      </c>
    </row>
    <row r="622" spans="6:33" x14ac:dyDescent="0.25">
      <c r="F622"/>
      <c r="AA622" s="640" t="str">
        <f t="shared" si="58"/>
        <v/>
      </c>
      <c r="AB622" s="640" t="str">
        <f t="shared" si="60"/>
        <v/>
      </c>
      <c r="AC622" s="640"/>
      <c r="AD622" s="890" t="str">
        <f t="shared" si="61"/>
        <v/>
      </c>
      <c r="AE622" s="890" t="str">
        <f t="shared" si="62"/>
        <v/>
      </c>
      <c r="AF622" s="890" t="str">
        <f t="shared" si="63"/>
        <v/>
      </c>
      <c r="AG622" s="192">
        <f t="shared" si="59"/>
        <v>0</v>
      </c>
    </row>
    <row r="623" spans="6:33" x14ac:dyDescent="0.25">
      <c r="F623"/>
      <c r="AA623" s="640" t="str">
        <f t="shared" si="58"/>
        <v/>
      </c>
      <c r="AB623" s="640" t="str">
        <f t="shared" si="60"/>
        <v/>
      </c>
      <c r="AC623" s="640"/>
      <c r="AD623" s="890" t="str">
        <f t="shared" si="61"/>
        <v/>
      </c>
      <c r="AE623" s="890" t="str">
        <f t="shared" si="62"/>
        <v/>
      </c>
      <c r="AF623" s="890" t="str">
        <f t="shared" si="63"/>
        <v/>
      </c>
      <c r="AG623" s="192">
        <f t="shared" si="59"/>
        <v>0</v>
      </c>
    </row>
    <row r="624" spans="6:33" x14ac:dyDescent="0.25">
      <c r="F624"/>
      <c r="AA624" s="640" t="str">
        <f t="shared" si="58"/>
        <v/>
      </c>
      <c r="AB624" s="640" t="str">
        <f t="shared" si="60"/>
        <v/>
      </c>
      <c r="AC624" s="640"/>
      <c r="AD624" s="890" t="str">
        <f t="shared" si="61"/>
        <v/>
      </c>
      <c r="AE624" s="890" t="str">
        <f t="shared" si="62"/>
        <v/>
      </c>
      <c r="AF624" s="890" t="str">
        <f t="shared" si="63"/>
        <v/>
      </c>
      <c r="AG624" s="192">
        <f t="shared" si="59"/>
        <v>0</v>
      </c>
    </row>
    <row r="625" spans="6:33" x14ac:dyDescent="0.25">
      <c r="F625"/>
      <c r="AA625" s="640" t="str">
        <f t="shared" si="58"/>
        <v/>
      </c>
      <c r="AB625" s="640" t="str">
        <f t="shared" si="60"/>
        <v/>
      </c>
      <c r="AC625" s="640"/>
      <c r="AD625" s="890" t="str">
        <f t="shared" si="61"/>
        <v/>
      </c>
      <c r="AE625" s="890" t="str">
        <f t="shared" si="62"/>
        <v/>
      </c>
      <c r="AF625" s="890" t="str">
        <f t="shared" si="63"/>
        <v/>
      </c>
      <c r="AG625" s="192">
        <f t="shared" si="59"/>
        <v>0</v>
      </c>
    </row>
    <row r="626" spans="6:33" x14ac:dyDescent="0.25">
      <c r="F626"/>
      <c r="AA626" s="640" t="str">
        <f t="shared" si="58"/>
        <v/>
      </c>
      <c r="AB626" s="640" t="str">
        <f t="shared" si="60"/>
        <v/>
      </c>
      <c r="AC626" s="640"/>
      <c r="AD626" s="890" t="str">
        <f t="shared" si="61"/>
        <v/>
      </c>
      <c r="AE626" s="890" t="str">
        <f t="shared" si="62"/>
        <v/>
      </c>
      <c r="AF626" s="890" t="str">
        <f t="shared" si="63"/>
        <v/>
      </c>
      <c r="AG626" s="192">
        <f t="shared" si="59"/>
        <v>0</v>
      </c>
    </row>
    <row r="627" spans="6:33" x14ac:dyDescent="0.25">
      <c r="F627"/>
      <c r="AA627" s="640" t="str">
        <f t="shared" si="58"/>
        <v/>
      </c>
      <c r="AB627" s="640" t="str">
        <f t="shared" si="60"/>
        <v/>
      </c>
      <c r="AC627" s="640"/>
      <c r="AD627" s="890" t="str">
        <f t="shared" si="61"/>
        <v/>
      </c>
      <c r="AE627" s="890" t="str">
        <f t="shared" si="62"/>
        <v/>
      </c>
      <c r="AF627" s="890" t="str">
        <f t="shared" si="63"/>
        <v/>
      </c>
      <c r="AG627" s="192">
        <f t="shared" si="59"/>
        <v>0</v>
      </c>
    </row>
    <row r="628" spans="6:33" x14ac:dyDescent="0.25">
      <c r="F628"/>
      <c r="AA628" s="640" t="str">
        <f t="shared" si="58"/>
        <v/>
      </c>
      <c r="AB628" s="640" t="str">
        <f t="shared" si="60"/>
        <v/>
      </c>
      <c r="AC628" s="640"/>
      <c r="AD628" s="890" t="str">
        <f t="shared" si="61"/>
        <v/>
      </c>
      <c r="AE628" s="890" t="str">
        <f t="shared" si="62"/>
        <v/>
      </c>
      <c r="AF628" s="890" t="str">
        <f t="shared" si="63"/>
        <v/>
      </c>
      <c r="AG628" s="192">
        <f t="shared" si="59"/>
        <v>0</v>
      </c>
    </row>
    <row r="629" spans="6:33" x14ac:dyDescent="0.25">
      <c r="F629"/>
      <c r="AA629" s="640" t="str">
        <f t="shared" si="58"/>
        <v/>
      </c>
      <c r="AB629" s="640" t="str">
        <f t="shared" si="60"/>
        <v/>
      </c>
      <c r="AC629" s="640"/>
      <c r="AD629" s="890" t="str">
        <f t="shared" si="61"/>
        <v/>
      </c>
      <c r="AE629" s="890" t="str">
        <f t="shared" si="62"/>
        <v/>
      </c>
      <c r="AF629" s="890" t="str">
        <f t="shared" si="63"/>
        <v/>
      </c>
      <c r="AG629" s="192">
        <f t="shared" si="59"/>
        <v>0</v>
      </c>
    </row>
    <row r="630" spans="6:33" x14ac:dyDescent="0.25">
      <c r="F630"/>
      <c r="AA630" s="640" t="str">
        <f t="shared" si="58"/>
        <v/>
      </c>
      <c r="AB630" s="640" t="str">
        <f t="shared" si="60"/>
        <v/>
      </c>
      <c r="AC630" s="640"/>
      <c r="AD630" s="890" t="str">
        <f t="shared" si="61"/>
        <v/>
      </c>
      <c r="AE630" s="890" t="str">
        <f t="shared" si="62"/>
        <v/>
      </c>
      <c r="AF630" s="890" t="str">
        <f t="shared" si="63"/>
        <v/>
      </c>
      <c r="AG630" s="192">
        <f t="shared" si="59"/>
        <v>0</v>
      </c>
    </row>
    <row r="631" spans="6:33" x14ac:dyDescent="0.25">
      <c r="F631"/>
      <c r="AA631" s="640" t="str">
        <f t="shared" si="58"/>
        <v/>
      </c>
      <c r="AB631" s="640" t="str">
        <f t="shared" si="60"/>
        <v/>
      </c>
      <c r="AC631" s="640"/>
      <c r="AD631" s="890" t="str">
        <f t="shared" si="61"/>
        <v/>
      </c>
      <c r="AE631" s="890" t="str">
        <f t="shared" si="62"/>
        <v/>
      </c>
      <c r="AF631" s="890" t="str">
        <f t="shared" si="63"/>
        <v/>
      </c>
      <c r="AG631" s="192">
        <f t="shared" si="59"/>
        <v>0</v>
      </c>
    </row>
    <row r="632" spans="6:33" x14ac:dyDescent="0.25">
      <c r="F632"/>
      <c r="AA632" s="640" t="str">
        <f t="shared" si="58"/>
        <v/>
      </c>
      <c r="AB632" s="640" t="str">
        <f t="shared" si="60"/>
        <v/>
      </c>
      <c r="AC632" s="640"/>
      <c r="AD632" s="890" t="str">
        <f t="shared" si="61"/>
        <v/>
      </c>
      <c r="AE632" s="890" t="str">
        <f t="shared" si="62"/>
        <v/>
      </c>
      <c r="AF632" s="890" t="str">
        <f t="shared" si="63"/>
        <v/>
      </c>
      <c r="AG632" s="192">
        <f t="shared" si="59"/>
        <v>0</v>
      </c>
    </row>
    <row r="633" spans="6:33" x14ac:dyDescent="0.25">
      <c r="F633"/>
      <c r="AA633" s="640" t="str">
        <f t="shared" si="58"/>
        <v/>
      </c>
      <c r="AB633" s="640" t="str">
        <f t="shared" si="60"/>
        <v/>
      </c>
      <c r="AC633" s="640"/>
      <c r="AD633" s="890" t="str">
        <f t="shared" si="61"/>
        <v/>
      </c>
      <c r="AE633" s="890" t="str">
        <f t="shared" si="62"/>
        <v/>
      </c>
      <c r="AF633" s="890" t="str">
        <f t="shared" si="63"/>
        <v/>
      </c>
      <c r="AG633" s="192">
        <f t="shared" si="59"/>
        <v>0</v>
      </c>
    </row>
    <row r="634" spans="6:33" x14ac:dyDescent="0.25">
      <c r="F634"/>
      <c r="AA634" s="640" t="str">
        <f t="shared" si="58"/>
        <v/>
      </c>
      <c r="AB634" s="640" t="str">
        <f t="shared" si="60"/>
        <v/>
      </c>
      <c r="AC634" s="640"/>
      <c r="AD634" s="890" t="str">
        <f t="shared" si="61"/>
        <v/>
      </c>
      <c r="AE634" s="890" t="str">
        <f t="shared" si="62"/>
        <v/>
      </c>
      <c r="AF634" s="890" t="str">
        <f t="shared" si="63"/>
        <v/>
      </c>
      <c r="AG634" s="192">
        <f t="shared" si="59"/>
        <v>0</v>
      </c>
    </row>
    <row r="635" spans="6:33" x14ac:dyDescent="0.25">
      <c r="F635"/>
      <c r="AA635" s="640" t="str">
        <f t="shared" si="58"/>
        <v/>
      </c>
      <c r="AB635" s="640" t="str">
        <f t="shared" si="60"/>
        <v/>
      </c>
      <c r="AC635" s="640"/>
      <c r="AD635" s="890" t="str">
        <f t="shared" si="61"/>
        <v/>
      </c>
      <c r="AE635" s="890" t="str">
        <f t="shared" si="62"/>
        <v/>
      </c>
      <c r="AF635" s="890" t="str">
        <f t="shared" si="63"/>
        <v/>
      </c>
      <c r="AG635" s="192">
        <f t="shared" si="59"/>
        <v>0</v>
      </c>
    </row>
    <row r="636" spans="6:33" x14ac:dyDescent="0.25">
      <c r="F636"/>
      <c r="AA636" s="640" t="str">
        <f t="shared" si="58"/>
        <v/>
      </c>
      <c r="AB636" s="640" t="str">
        <f t="shared" si="60"/>
        <v/>
      </c>
      <c r="AC636" s="640"/>
      <c r="AD636" s="890" t="str">
        <f t="shared" si="61"/>
        <v/>
      </c>
      <c r="AE636" s="890" t="str">
        <f t="shared" si="62"/>
        <v/>
      </c>
      <c r="AF636" s="890" t="str">
        <f t="shared" si="63"/>
        <v/>
      </c>
      <c r="AG636" s="192">
        <f t="shared" si="59"/>
        <v>0</v>
      </c>
    </row>
    <row r="637" spans="6:33" x14ac:dyDescent="0.25">
      <c r="F637"/>
      <c r="AA637" s="640" t="str">
        <f t="shared" si="58"/>
        <v/>
      </c>
      <c r="AB637" s="640" t="str">
        <f t="shared" si="60"/>
        <v/>
      </c>
      <c r="AC637" s="640"/>
      <c r="AD637" s="890" t="str">
        <f t="shared" si="61"/>
        <v/>
      </c>
      <c r="AE637" s="890" t="str">
        <f t="shared" si="62"/>
        <v/>
      </c>
      <c r="AF637" s="890" t="str">
        <f t="shared" si="63"/>
        <v/>
      </c>
      <c r="AG637" s="192">
        <f t="shared" si="59"/>
        <v>0</v>
      </c>
    </row>
    <row r="638" spans="6:33" x14ac:dyDescent="0.25">
      <c r="F638"/>
      <c r="AA638" s="640" t="str">
        <f t="shared" si="58"/>
        <v/>
      </c>
      <c r="AB638" s="640" t="str">
        <f t="shared" si="60"/>
        <v/>
      </c>
      <c r="AC638" s="640"/>
      <c r="AD638" s="890" t="str">
        <f t="shared" si="61"/>
        <v/>
      </c>
      <c r="AE638" s="890" t="str">
        <f t="shared" si="62"/>
        <v/>
      </c>
      <c r="AF638" s="890" t="str">
        <f t="shared" si="63"/>
        <v/>
      </c>
      <c r="AG638" s="192">
        <f t="shared" si="59"/>
        <v>0</v>
      </c>
    </row>
    <row r="639" spans="6:33" x14ac:dyDescent="0.25">
      <c r="F639"/>
      <c r="AA639" s="640" t="str">
        <f t="shared" si="58"/>
        <v/>
      </c>
      <c r="AB639" s="640" t="str">
        <f t="shared" si="60"/>
        <v/>
      </c>
      <c r="AC639" s="640"/>
      <c r="AD639" s="890" t="str">
        <f t="shared" si="61"/>
        <v/>
      </c>
      <c r="AE639" s="890" t="str">
        <f t="shared" si="62"/>
        <v/>
      </c>
      <c r="AF639" s="890" t="str">
        <f t="shared" si="63"/>
        <v/>
      </c>
      <c r="AG639" s="192">
        <f t="shared" si="59"/>
        <v>0</v>
      </c>
    </row>
    <row r="640" spans="6:33" x14ac:dyDescent="0.25">
      <c r="F640"/>
      <c r="AA640" s="640" t="str">
        <f t="shared" si="58"/>
        <v/>
      </c>
      <c r="AB640" s="640" t="str">
        <f t="shared" si="60"/>
        <v/>
      </c>
      <c r="AC640" s="640"/>
      <c r="AD640" s="890" t="str">
        <f t="shared" si="61"/>
        <v/>
      </c>
      <c r="AE640" s="890" t="str">
        <f t="shared" si="62"/>
        <v/>
      </c>
      <c r="AF640" s="890" t="str">
        <f t="shared" si="63"/>
        <v/>
      </c>
      <c r="AG640" s="192">
        <f t="shared" si="59"/>
        <v>0</v>
      </c>
    </row>
    <row r="641" spans="6:33" x14ac:dyDescent="0.25">
      <c r="F641"/>
      <c r="AA641" s="640" t="str">
        <f t="shared" si="58"/>
        <v/>
      </c>
      <c r="AB641" s="640" t="str">
        <f t="shared" si="60"/>
        <v/>
      </c>
      <c r="AC641" s="640"/>
      <c r="AD641" s="890" t="str">
        <f t="shared" si="61"/>
        <v/>
      </c>
      <c r="AE641" s="890" t="str">
        <f t="shared" si="62"/>
        <v/>
      </c>
      <c r="AF641" s="890" t="str">
        <f t="shared" si="63"/>
        <v/>
      </c>
      <c r="AG641" s="192">
        <f t="shared" si="59"/>
        <v>0</v>
      </c>
    </row>
    <row r="642" spans="6:33" x14ac:dyDescent="0.25">
      <c r="F642"/>
      <c r="AA642" s="640" t="str">
        <f t="shared" si="58"/>
        <v/>
      </c>
      <c r="AB642" s="640" t="str">
        <f t="shared" si="60"/>
        <v/>
      </c>
      <c r="AC642" s="640"/>
      <c r="AD642" s="890" t="str">
        <f t="shared" si="61"/>
        <v/>
      </c>
      <c r="AE642" s="890" t="str">
        <f t="shared" si="62"/>
        <v/>
      </c>
      <c r="AF642" s="890" t="str">
        <f t="shared" si="63"/>
        <v/>
      </c>
      <c r="AG642" s="192">
        <f t="shared" si="59"/>
        <v>0</v>
      </c>
    </row>
    <row r="643" spans="6:33" x14ac:dyDescent="0.25">
      <c r="F643"/>
      <c r="AA643" s="640" t="str">
        <f t="shared" si="58"/>
        <v/>
      </c>
      <c r="AB643" s="640" t="str">
        <f t="shared" si="60"/>
        <v/>
      </c>
      <c r="AC643" s="640"/>
      <c r="AD643" s="890" t="str">
        <f t="shared" si="61"/>
        <v/>
      </c>
      <c r="AE643" s="890" t="str">
        <f t="shared" si="62"/>
        <v/>
      </c>
      <c r="AF643" s="890" t="str">
        <f t="shared" si="63"/>
        <v/>
      </c>
      <c r="AG643" s="192">
        <f t="shared" si="59"/>
        <v>0</v>
      </c>
    </row>
    <row r="644" spans="6:33" x14ac:dyDescent="0.25">
      <c r="F644"/>
      <c r="AA644" s="640" t="str">
        <f t="shared" si="58"/>
        <v/>
      </c>
      <c r="AB644" s="640" t="str">
        <f t="shared" si="60"/>
        <v/>
      </c>
      <c r="AC644" s="640"/>
      <c r="AD644" s="890" t="str">
        <f t="shared" si="61"/>
        <v/>
      </c>
      <c r="AE644" s="890" t="str">
        <f t="shared" si="62"/>
        <v/>
      </c>
      <c r="AF644" s="890" t="str">
        <f t="shared" si="63"/>
        <v/>
      </c>
      <c r="AG644" s="192">
        <f t="shared" si="59"/>
        <v>0</v>
      </c>
    </row>
    <row r="645" spans="6:33" x14ac:dyDescent="0.25">
      <c r="F645"/>
      <c r="AA645" s="640" t="str">
        <f t="shared" si="58"/>
        <v/>
      </c>
      <c r="AB645" s="640" t="str">
        <f t="shared" si="60"/>
        <v/>
      </c>
      <c r="AC645" s="640"/>
      <c r="AD645" s="890" t="str">
        <f t="shared" si="61"/>
        <v/>
      </c>
      <c r="AE645" s="890" t="str">
        <f t="shared" si="62"/>
        <v/>
      </c>
      <c r="AF645" s="890" t="str">
        <f t="shared" si="63"/>
        <v/>
      </c>
      <c r="AG645" s="192">
        <f t="shared" si="59"/>
        <v>0</v>
      </c>
    </row>
    <row r="646" spans="6:33" x14ac:dyDescent="0.25">
      <c r="F646"/>
      <c r="AA646" s="640" t="str">
        <f t="shared" si="58"/>
        <v/>
      </c>
      <c r="AB646" s="640" t="str">
        <f t="shared" si="60"/>
        <v/>
      </c>
      <c r="AC646" s="640"/>
      <c r="AD646" s="890" t="str">
        <f t="shared" si="61"/>
        <v/>
      </c>
      <c r="AE646" s="890" t="str">
        <f t="shared" si="62"/>
        <v/>
      </c>
      <c r="AF646" s="890" t="str">
        <f t="shared" si="63"/>
        <v/>
      </c>
      <c r="AG646" s="192">
        <f t="shared" si="59"/>
        <v>0</v>
      </c>
    </row>
    <row r="647" spans="6:33" x14ac:dyDescent="0.25">
      <c r="F647"/>
      <c r="AA647" s="640" t="str">
        <f t="shared" ref="AA647:AA710" si="64">IF(G647=0, IF(OR(H647&gt;0,F647&gt;0),C647*F647,""),"")</f>
        <v/>
      </c>
      <c r="AB647" s="640" t="str">
        <f t="shared" si="60"/>
        <v/>
      </c>
      <c r="AC647" s="640"/>
      <c r="AD647" s="890" t="str">
        <f t="shared" si="61"/>
        <v/>
      </c>
      <c r="AE647" s="890" t="str">
        <f t="shared" si="62"/>
        <v/>
      </c>
      <c r="AF647" s="890" t="str">
        <f t="shared" si="63"/>
        <v/>
      </c>
      <c r="AG647" s="192">
        <f t="shared" ref="AG647:AG710" si="65">(C647*G647)+(C647*H647)+(C647*I647)</f>
        <v>0</v>
      </c>
    </row>
    <row r="648" spans="6:33" x14ac:dyDescent="0.25">
      <c r="F648"/>
      <c r="AA648" s="640" t="str">
        <f t="shared" si="64"/>
        <v/>
      </c>
      <c r="AB648" s="640" t="str">
        <f t="shared" ref="AB648:AB711" si="66">IF(G648&gt;=1,IF(F648&gt;1,C648*(F648-2),""),"")</f>
        <v/>
      </c>
      <c r="AC648" s="640"/>
      <c r="AD648" s="890" t="str">
        <f t="shared" ref="AD648:AD711" si="67">IF(E648="YES",IF(G648=1,"",""),IF(G648=1,C648,IF(G648=2,C648,IF(G648=0,"",""))))</f>
        <v/>
      </c>
      <c r="AE648" s="890" t="str">
        <f t="shared" ref="AE648:AE711" si="68">IF(E648="YES",IF(G648=1,"",IF(H648=1,C648,"")),IF(H648=1,C648,IF(H648=2,C648,IF(H648=0,"",""))))</f>
        <v/>
      </c>
      <c r="AF648" s="890" t="str">
        <f t="shared" ref="AF648:AF711" si="69">IF(E648="YES",IF(I648=1,C648,""),IF(I648=1,C648,IF(I648=2,C648,IF(I648=0,"",""))))</f>
        <v/>
      </c>
      <c r="AG648" s="192">
        <f t="shared" si="65"/>
        <v>0</v>
      </c>
    </row>
    <row r="649" spans="6:33" x14ac:dyDescent="0.25">
      <c r="F649"/>
      <c r="AA649" s="640" t="str">
        <f t="shared" si="64"/>
        <v/>
      </c>
      <c r="AB649" s="640" t="str">
        <f t="shared" si="66"/>
        <v/>
      </c>
      <c r="AC649" s="640"/>
      <c r="AD649" s="890" t="str">
        <f t="shared" si="67"/>
        <v/>
      </c>
      <c r="AE649" s="890" t="str">
        <f t="shared" si="68"/>
        <v/>
      </c>
      <c r="AF649" s="890" t="str">
        <f t="shared" si="69"/>
        <v/>
      </c>
      <c r="AG649" s="192">
        <f t="shared" si="65"/>
        <v>0</v>
      </c>
    </row>
    <row r="650" spans="6:33" x14ac:dyDescent="0.25">
      <c r="F650"/>
      <c r="AA650" s="640" t="str">
        <f t="shared" si="64"/>
        <v/>
      </c>
      <c r="AB650" s="640" t="str">
        <f t="shared" si="66"/>
        <v/>
      </c>
      <c r="AC650" s="640"/>
      <c r="AD650" s="890" t="str">
        <f t="shared" si="67"/>
        <v/>
      </c>
      <c r="AE650" s="890" t="str">
        <f t="shared" si="68"/>
        <v/>
      </c>
      <c r="AF650" s="890" t="str">
        <f t="shared" si="69"/>
        <v/>
      </c>
      <c r="AG650" s="192">
        <f t="shared" si="65"/>
        <v>0</v>
      </c>
    </row>
    <row r="651" spans="6:33" x14ac:dyDescent="0.25">
      <c r="F651"/>
      <c r="AA651" s="640" t="str">
        <f t="shared" si="64"/>
        <v/>
      </c>
      <c r="AB651" s="640" t="str">
        <f t="shared" si="66"/>
        <v/>
      </c>
      <c r="AC651" s="640"/>
      <c r="AD651" s="890" t="str">
        <f t="shared" si="67"/>
        <v/>
      </c>
      <c r="AE651" s="890" t="str">
        <f t="shared" si="68"/>
        <v/>
      </c>
      <c r="AF651" s="890" t="str">
        <f t="shared" si="69"/>
        <v/>
      </c>
      <c r="AG651" s="192">
        <f t="shared" si="65"/>
        <v>0</v>
      </c>
    </row>
    <row r="652" spans="6:33" x14ac:dyDescent="0.25">
      <c r="F652"/>
      <c r="AA652" s="640" t="str">
        <f t="shared" si="64"/>
        <v/>
      </c>
      <c r="AB652" s="640" t="str">
        <f t="shared" si="66"/>
        <v/>
      </c>
      <c r="AC652" s="640"/>
      <c r="AD652" s="890" t="str">
        <f t="shared" si="67"/>
        <v/>
      </c>
      <c r="AE652" s="890" t="str">
        <f t="shared" si="68"/>
        <v/>
      </c>
      <c r="AF652" s="890" t="str">
        <f t="shared" si="69"/>
        <v/>
      </c>
      <c r="AG652" s="192">
        <f t="shared" si="65"/>
        <v>0</v>
      </c>
    </row>
    <row r="653" spans="6:33" x14ac:dyDescent="0.25">
      <c r="F653"/>
      <c r="AA653" s="640" t="str">
        <f t="shared" si="64"/>
        <v/>
      </c>
      <c r="AB653" s="640" t="str">
        <f t="shared" si="66"/>
        <v/>
      </c>
      <c r="AC653" s="640"/>
      <c r="AD653" s="890" t="str">
        <f t="shared" si="67"/>
        <v/>
      </c>
      <c r="AE653" s="890" t="str">
        <f t="shared" si="68"/>
        <v/>
      </c>
      <c r="AF653" s="890" t="str">
        <f t="shared" si="69"/>
        <v/>
      </c>
      <c r="AG653" s="192">
        <f t="shared" si="65"/>
        <v>0</v>
      </c>
    </row>
    <row r="654" spans="6:33" x14ac:dyDescent="0.25">
      <c r="F654"/>
      <c r="AA654" s="640" t="str">
        <f t="shared" si="64"/>
        <v/>
      </c>
      <c r="AB654" s="640" t="str">
        <f t="shared" si="66"/>
        <v/>
      </c>
      <c r="AC654" s="640"/>
      <c r="AD654" s="890" t="str">
        <f t="shared" si="67"/>
        <v/>
      </c>
      <c r="AE654" s="890" t="str">
        <f t="shared" si="68"/>
        <v/>
      </c>
      <c r="AF654" s="890" t="str">
        <f t="shared" si="69"/>
        <v/>
      </c>
      <c r="AG654" s="192">
        <f t="shared" si="65"/>
        <v>0</v>
      </c>
    </row>
    <row r="655" spans="6:33" x14ac:dyDescent="0.25">
      <c r="F655"/>
      <c r="AA655" s="640" t="str">
        <f t="shared" si="64"/>
        <v/>
      </c>
      <c r="AB655" s="640" t="str">
        <f t="shared" si="66"/>
        <v/>
      </c>
      <c r="AC655" s="640"/>
      <c r="AD655" s="890" t="str">
        <f t="shared" si="67"/>
        <v/>
      </c>
      <c r="AE655" s="890" t="str">
        <f t="shared" si="68"/>
        <v/>
      </c>
      <c r="AF655" s="890" t="str">
        <f t="shared" si="69"/>
        <v/>
      </c>
      <c r="AG655" s="192">
        <f t="shared" si="65"/>
        <v>0</v>
      </c>
    </row>
    <row r="656" spans="6:33" x14ac:dyDescent="0.25">
      <c r="F656"/>
      <c r="AA656" s="640" t="str">
        <f t="shared" si="64"/>
        <v/>
      </c>
      <c r="AB656" s="640" t="str">
        <f t="shared" si="66"/>
        <v/>
      </c>
      <c r="AC656" s="640"/>
      <c r="AD656" s="890" t="str">
        <f t="shared" si="67"/>
        <v/>
      </c>
      <c r="AE656" s="890" t="str">
        <f t="shared" si="68"/>
        <v/>
      </c>
      <c r="AF656" s="890" t="str">
        <f t="shared" si="69"/>
        <v/>
      </c>
      <c r="AG656" s="192">
        <f t="shared" si="65"/>
        <v>0</v>
      </c>
    </row>
    <row r="657" spans="6:33" x14ac:dyDescent="0.25">
      <c r="F657"/>
      <c r="AA657" s="640" t="str">
        <f t="shared" si="64"/>
        <v/>
      </c>
      <c r="AB657" s="640" t="str">
        <f t="shared" si="66"/>
        <v/>
      </c>
      <c r="AC657" s="640"/>
      <c r="AD657" s="890" t="str">
        <f t="shared" si="67"/>
        <v/>
      </c>
      <c r="AE657" s="890" t="str">
        <f t="shared" si="68"/>
        <v/>
      </c>
      <c r="AF657" s="890" t="str">
        <f t="shared" si="69"/>
        <v/>
      </c>
      <c r="AG657" s="192">
        <f t="shared" si="65"/>
        <v>0</v>
      </c>
    </row>
    <row r="658" spans="6:33" x14ac:dyDescent="0.25">
      <c r="F658"/>
      <c r="AA658" s="640" t="str">
        <f t="shared" si="64"/>
        <v/>
      </c>
      <c r="AB658" s="640" t="str">
        <f t="shared" si="66"/>
        <v/>
      </c>
      <c r="AC658" s="640"/>
      <c r="AD658" s="890" t="str">
        <f t="shared" si="67"/>
        <v/>
      </c>
      <c r="AE658" s="890" t="str">
        <f t="shared" si="68"/>
        <v/>
      </c>
      <c r="AF658" s="890" t="str">
        <f t="shared" si="69"/>
        <v/>
      </c>
      <c r="AG658" s="192">
        <f t="shared" si="65"/>
        <v>0</v>
      </c>
    </row>
    <row r="659" spans="6:33" x14ac:dyDescent="0.25">
      <c r="F659"/>
      <c r="AA659" s="640" t="str">
        <f t="shared" si="64"/>
        <v/>
      </c>
      <c r="AB659" s="640" t="str">
        <f t="shared" si="66"/>
        <v/>
      </c>
      <c r="AC659" s="640"/>
      <c r="AD659" s="890" t="str">
        <f t="shared" si="67"/>
        <v/>
      </c>
      <c r="AE659" s="890" t="str">
        <f t="shared" si="68"/>
        <v/>
      </c>
      <c r="AF659" s="890" t="str">
        <f t="shared" si="69"/>
        <v/>
      </c>
      <c r="AG659" s="192">
        <f t="shared" si="65"/>
        <v>0</v>
      </c>
    </row>
    <row r="660" spans="6:33" x14ac:dyDescent="0.25">
      <c r="F660"/>
      <c r="AA660" s="640" t="str">
        <f t="shared" si="64"/>
        <v/>
      </c>
      <c r="AB660" s="640" t="str">
        <f t="shared" si="66"/>
        <v/>
      </c>
      <c r="AC660" s="640"/>
      <c r="AD660" s="890" t="str">
        <f t="shared" si="67"/>
        <v/>
      </c>
      <c r="AE660" s="890" t="str">
        <f t="shared" si="68"/>
        <v/>
      </c>
      <c r="AF660" s="890" t="str">
        <f t="shared" si="69"/>
        <v/>
      </c>
      <c r="AG660" s="192">
        <f t="shared" si="65"/>
        <v>0</v>
      </c>
    </row>
    <row r="661" spans="6:33" x14ac:dyDescent="0.25">
      <c r="F661"/>
      <c r="AA661" s="640" t="str">
        <f t="shared" si="64"/>
        <v/>
      </c>
      <c r="AB661" s="640" t="str">
        <f t="shared" si="66"/>
        <v/>
      </c>
      <c r="AC661" s="640"/>
      <c r="AD661" s="890" t="str">
        <f t="shared" si="67"/>
        <v/>
      </c>
      <c r="AE661" s="890" t="str">
        <f t="shared" si="68"/>
        <v/>
      </c>
      <c r="AF661" s="890" t="str">
        <f t="shared" si="69"/>
        <v/>
      </c>
      <c r="AG661" s="192">
        <f t="shared" si="65"/>
        <v>0</v>
      </c>
    </row>
    <row r="662" spans="6:33" x14ac:dyDescent="0.25">
      <c r="F662"/>
      <c r="AA662" s="640" t="str">
        <f t="shared" si="64"/>
        <v/>
      </c>
      <c r="AB662" s="640" t="str">
        <f t="shared" si="66"/>
        <v/>
      </c>
      <c r="AC662" s="640"/>
      <c r="AD662" s="890" t="str">
        <f t="shared" si="67"/>
        <v/>
      </c>
      <c r="AE662" s="890" t="str">
        <f t="shared" si="68"/>
        <v/>
      </c>
      <c r="AF662" s="890" t="str">
        <f t="shared" si="69"/>
        <v/>
      </c>
      <c r="AG662" s="192">
        <f t="shared" si="65"/>
        <v>0</v>
      </c>
    </row>
    <row r="663" spans="6:33" x14ac:dyDescent="0.25">
      <c r="F663"/>
      <c r="AA663" s="640" t="str">
        <f t="shared" si="64"/>
        <v/>
      </c>
      <c r="AB663" s="640" t="str">
        <f t="shared" si="66"/>
        <v/>
      </c>
      <c r="AC663" s="640"/>
      <c r="AD663" s="890" t="str">
        <f t="shared" si="67"/>
        <v/>
      </c>
      <c r="AE663" s="890" t="str">
        <f t="shared" si="68"/>
        <v/>
      </c>
      <c r="AF663" s="890" t="str">
        <f t="shared" si="69"/>
        <v/>
      </c>
      <c r="AG663" s="192">
        <f t="shared" si="65"/>
        <v>0</v>
      </c>
    </row>
    <row r="664" spans="6:33" x14ac:dyDescent="0.25">
      <c r="F664"/>
      <c r="AA664" s="640" t="str">
        <f t="shared" si="64"/>
        <v/>
      </c>
      <c r="AB664" s="640" t="str">
        <f t="shared" si="66"/>
        <v/>
      </c>
      <c r="AC664" s="640"/>
      <c r="AD664" s="890" t="str">
        <f t="shared" si="67"/>
        <v/>
      </c>
      <c r="AE664" s="890" t="str">
        <f t="shared" si="68"/>
        <v/>
      </c>
      <c r="AF664" s="890" t="str">
        <f t="shared" si="69"/>
        <v/>
      </c>
      <c r="AG664" s="192">
        <f t="shared" si="65"/>
        <v>0</v>
      </c>
    </row>
    <row r="665" spans="6:33" x14ac:dyDescent="0.25">
      <c r="F665"/>
      <c r="AA665" s="640" t="str">
        <f t="shared" si="64"/>
        <v/>
      </c>
      <c r="AB665" s="640" t="str">
        <f t="shared" si="66"/>
        <v/>
      </c>
      <c r="AC665" s="640"/>
      <c r="AD665" s="890" t="str">
        <f t="shared" si="67"/>
        <v/>
      </c>
      <c r="AE665" s="890" t="str">
        <f t="shared" si="68"/>
        <v/>
      </c>
      <c r="AF665" s="890" t="str">
        <f t="shared" si="69"/>
        <v/>
      </c>
      <c r="AG665" s="192">
        <f t="shared" si="65"/>
        <v>0</v>
      </c>
    </row>
    <row r="666" spans="6:33" x14ac:dyDescent="0.25">
      <c r="F666"/>
      <c r="AA666" s="640" t="str">
        <f t="shared" si="64"/>
        <v/>
      </c>
      <c r="AB666" s="640" t="str">
        <f t="shared" si="66"/>
        <v/>
      </c>
      <c r="AC666" s="640"/>
      <c r="AD666" s="890" t="str">
        <f t="shared" si="67"/>
        <v/>
      </c>
      <c r="AE666" s="890" t="str">
        <f t="shared" si="68"/>
        <v/>
      </c>
      <c r="AF666" s="890" t="str">
        <f t="shared" si="69"/>
        <v/>
      </c>
      <c r="AG666" s="192">
        <f t="shared" si="65"/>
        <v>0</v>
      </c>
    </row>
    <row r="667" spans="6:33" x14ac:dyDescent="0.25">
      <c r="F667"/>
      <c r="AA667" s="640" t="str">
        <f t="shared" si="64"/>
        <v/>
      </c>
      <c r="AB667" s="640" t="str">
        <f t="shared" si="66"/>
        <v/>
      </c>
      <c r="AC667" s="640"/>
      <c r="AD667" s="890" t="str">
        <f t="shared" si="67"/>
        <v/>
      </c>
      <c r="AE667" s="890" t="str">
        <f t="shared" si="68"/>
        <v/>
      </c>
      <c r="AF667" s="890" t="str">
        <f t="shared" si="69"/>
        <v/>
      </c>
      <c r="AG667" s="192">
        <f t="shared" si="65"/>
        <v>0</v>
      </c>
    </row>
    <row r="668" spans="6:33" x14ac:dyDescent="0.25">
      <c r="F668"/>
      <c r="AA668" s="640" t="str">
        <f t="shared" si="64"/>
        <v/>
      </c>
      <c r="AB668" s="640" t="str">
        <f t="shared" si="66"/>
        <v/>
      </c>
      <c r="AC668" s="640"/>
      <c r="AD668" s="890" t="str">
        <f t="shared" si="67"/>
        <v/>
      </c>
      <c r="AE668" s="890" t="str">
        <f t="shared" si="68"/>
        <v/>
      </c>
      <c r="AF668" s="890" t="str">
        <f t="shared" si="69"/>
        <v/>
      </c>
      <c r="AG668" s="192">
        <f t="shared" si="65"/>
        <v>0</v>
      </c>
    </row>
    <row r="669" spans="6:33" x14ac:dyDescent="0.25">
      <c r="F669"/>
      <c r="AA669" s="640" t="str">
        <f t="shared" si="64"/>
        <v/>
      </c>
      <c r="AB669" s="640" t="str">
        <f t="shared" si="66"/>
        <v/>
      </c>
      <c r="AC669" s="640"/>
      <c r="AD669" s="890" t="str">
        <f t="shared" si="67"/>
        <v/>
      </c>
      <c r="AE669" s="890" t="str">
        <f t="shared" si="68"/>
        <v/>
      </c>
      <c r="AF669" s="890" t="str">
        <f t="shared" si="69"/>
        <v/>
      </c>
      <c r="AG669" s="192">
        <f t="shared" si="65"/>
        <v>0</v>
      </c>
    </row>
    <row r="670" spans="6:33" x14ac:dyDescent="0.25">
      <c r="F670"/>
      <c r="AA670" s="640" t="str">
        <f t="shared" si="64"/>
        <v/>
      </c>
      <c r="AB670" s="640" t="str">
        <f t="shared" si="66"/>
        <v/>
      </c>
      <c r="AC670" s="640"/>
      <c r="AD670" s="890" t="str">
        <f t="shared" si="67"/>
        <v/>
      </c>
      <c r="AE670" s="890" t="str">
        <f t="shared" si="68"/>
        <v/>
      </c>
      <c r="AF670" s="890" t="str">
        <f t="shared" si="69"/>
        <v/>
      </c>
      <c r="AG670" s="192">
        <f t="shared" si="65"/>
        <v>0</v>
      </c>
    </row>
    <row r="671" spans="6:33" x14ac:dyDescent="0.25">
      <c r="F671"/>
      <c r="AA671" s="640" t="str">
        <f t="shared" si="64"/>
        <v/>
      </c>
      <c r="AB671" s="640" t="str">
        <f t="shared" si="66"/>
        <v/>
      </c>
      <c r="AC671" s="640"/>
      <c r="AD671" s="890" t="str">
        <f t="shared" si="67"/>
        <v/>
      </c>
      <c r="AE671" s="890" t="str">
        <f t="shared" si="68"/>
        <v/>
      </c>
      <c r="AF671" s="890" t="str">
        <f t="shared" si="69"/>
        <v/>
      </c>
      <c r="AG671" s="192">
        <f t="shared" si="65"/>
        <v>0</v>
      </c>
    </row>
    <row r="672" spans="6:33" x14ac:dyDescent="0.25">
      <c r="F672"/>
      <c r="AA672" s="640" t="str">
        <f t="shared" si="64"/>
        <v/>
      </c>
      <c r="AB672" s="640" t="str">
        <f t="shared" si="66"/>
        <v/>
      </c>
      <c r="AC672" s="640"/>
      <c r="AD672" s="890" t="str">
        <f t="shared" si="67"/>
        <v/>
      </c>
      <c r="AE672" s="890" t="str">
        <f t="shared" si="68"/>
        <v/>
      </c>
      <c r="AF672" s="890" t="str">
        <f t="shared" si="69"/>
        <v/>
      </c>
      <c r="AG672" s="192">
        <f t="shared" si="65"/>
        <v>0</v>
      </c>
    </row>
    <row r="673" spans="6:33" x14ac:dyDescent="0.25">
      <c r="F673"/>
      <c r="AA673" s="640" t="str">
        <f t="shared" si="64"/>
        <v/>
      </c>
      <c r="AB673" s="640" t="str">
        <f t="shared" si="66"/>
        <v/>
      </c>
      <c r="AC673" s="640"/>
      <c r="AD673" s="890" t="str">
        <f t="shared" si="67"/>
        <v/>
      </c>
      <c r="AE673" s="890" t="str">
        <f t="shared" si="68"/>
        <v/>
      </c>
      <c r="AF673" s="890" t="str">
        <f t="shared" si="69"/>
        <v/>
      </c>
      <c r="AG673" s="192">
        <f t="shared" si="65"/>
        <v>0</v>
      </c>
    </row>
    <row r="674" spans="6:33" x14ac:dyDescent="0.25">
      <c r="F674"/>
      <c r="AA674" s="640" t="str">
        <f t="shared" si="64"/>
        <v/>
      </c>
      <c r="AB674" s="640" t="str">
        <f t="shared" si="66"/>
        <v/>
      </c>
      <c r="AC674" s="640"/>
      <c r="AD674" s="890" t="str">
        <f t="shared" si="67"/>
        <v/>
      </c>
      <c r="AE674" s="890" t="str">
        <f t="shared" si="68"/>
        <v/>
      </c>
      <c r="AF674" s="890" t="str">
        <f t="shared" si="69"/>
        <v/>
      </c>
      <c r="AG674" s="192">
        <f t="shared" si="65"/>
        <v>0</v>
      </c>
    </row>
    <row r="675" spans="6:33" x14ac:dyDescent="0.25">
      <c r="F675"/>
      <c r="AA675" s="640" t="str">
        <f t="shared" si="64"/>
        <v/>
      </c>
      <c r="AB675" s="640" t="str">
        <f t="shared" si="66"/>
        <v/>
      </c>
      <c r="AC675" s="640"/>
      <c r="AD675" s="890" t="str">
        <f t="shared" si="67"/>
        <v/>
      </c>
      <c r="AE675" s="890" t="str">
        <f t="shared" si="68"/>
        <v/>
      </c>
      <c r="AF675" s="890" t="str">
        <f t="shared" si="69"/>
        <v/>
      </c>
      <c r="AG675" s="192">
        <f t="shared" si="65"/>
        <v>0</v>
      </c>
    </row>
    <row r="676" spans="6:33" x14ac:dyDescent="0.25">
      <c r="F676"/>
      <c r="AA676" s="640" t="str">
        <f t="shared" si="64"/>
        <v/>
      </c>
      <c r="AB676" s="640" t="str">
        <f t="shared" si="66"/>
        <v/>
      </c>
      <c r="AC676" s="640"/>
      <c r="AD676" s="890" t="str">
        <f t="shared" si="67"/>
        <v/>
      </c>
      <c r="AE676" s="890" t="str">
        <f t="shared" si="68"/>
        <v/>
      </c>
      <c r="AF676" s="890" t="str">
        <f t="shared" si="69"/>
        <v/>
      </c>
      <c r="AG676" s="192">
        <f t="shared" si="65"/>
        <v>0</v>
      </c>
    </row>
    <row r="677" spans="6:33" x14ac:dyDescent="0.25">
      <c r="F677"/>
      <c r="AA677" s="640" t="str">
        <f t="shared" si="64"/>
        <v/>
      </c>
      <c r="AB677" s="640" t="str">
        <f t="shared" si="66"/>
        <v/>
      </c>
      <c r="AC677" s="640"/>
      <c r="AD677" s="890" t="str">
        <f t="shared" si="67"/>
        <v/>
      </c>
      <c r="AE677" s="890" t="str">
        <f t="shared" si="68"/>
        <v/>
      </c>
      <c r="AF677" s="890" t="str">
        <f t="shared" si="69"/>
        <v/>
      </c>
      <c r="AG677" s="192">
        <f t="shared" si="65"/>
        <v>0</v>
      </c>
    </row>
    <row r="678" spans="6:33" x14ac:dyDescent="0.25">
      <c r="F678"/>
      <c r="AA678" s="640" t="str">
        <f t="shared" si="64"/>
        <v/>
      </c>
      <c r="AB678" s="640" t="str">
        <f t="shared" si="66"/>
        <v/>
      </c>
      <c r="AC678" s="640"/>
      <c r="AD678" s="890" t="str">
        <f t="shared" si="67"/>
        <v/>
      </c>
      <c r="AE678" s="890" t="str">
        <f t="shared" si="68"/>
        <v/>
      </c>
      <c r="AF678" s="890" t="str">
        <f t="shared" si="69"/>
        <v/>
      </c>
      <c r="AG678" s="192">
        <f t="shared" si="65"/>
        <v>0</v>
      </c>
    </row>
    <row r="679" spans="6:33" x14ac:dyDescent="0.25">
      <c r="F679"/>
      <c r="AA679" s="640" t="str">
        <f t="shared" si="64"/>
        <v/>
      </c>
      <c r="AB679" s="640" t="str">
        <f t="shared" si="66"/>
        <v/>
      </c>
      <c r="AC679" s="640"/>
      <c r="AD679" s="890" t="str">
        <f t="shared" si="67"/>
        <v/>
      </c>
      <c r="AE679" s="890" t="str">
        <f t="shared" si="68"/>
        <v/>
      </c>
      <c r="AF679" s="890" t="str">
        <f t="shared" si="69"/>
        <v/>
      </c>
      <c r="AG679" s="192">
        <f t="shared" si="65"/>
        <v>0</v>
      </c>
    </row>
    <row r="680" spans="6:33" x14ac:dyDescent="0.25">
      <c r="F680"/>
      <c r="AA680" s="640" t="str">
        <f t="shared" si="64"/>
        <v/>
      </c>
      <c r="AB680" s="640" t="str">
        <f t="shared" si="66"/>
        <v/>
      </c>
      <c r="AC680" s="640"/>
      <c r="AD680" s="890" t="str">
        <f t="shared" si="67"/>
        <v/>
      </c>
      <c r="AE680" s="890" t="str">
        <f t="shared" si="68"/>
        <v/>
      </c>
      <c r="AF680" s="890" t="str">
        <f t="shared" si="69"/>
        <v/>
      </c>
      <c r="AG680" s="192">
        <f t="shared" si="65"/>
        <v>0</v>
      </c>
    </row>
    <row r="681" spans="6:33" x14ac:dyDescent="0.25">
      <c r="F681"/>
      <c r="AA681" s="640" t="str">
        <f t="shared" si="64"/>
        <v/>
      </c>
      <c r="AB681" s="640" t="str">
        <f t="shared" si="66"/>
        <v/>
      </c>
      <c r="AC681" s="640"/>
      <c r="AD681" s="890" t="str">
        <f t="shared" si="67"/>
        <v/>
      </c>
      <c r="AE681" s="890" t="str">
        <f t="shared" si="68"/>
        <v/>
      </c>
      <c r="AF681" s="890" t="str">
        <f t="shared" si="69"/>
        <v/>
      </c>
      <c r="AG681" s="192">
        <f t="shared" si="65"/>
        <v>0</v>
      </c>
    </row>
    <row r="682" spans="6:33" x14ac:dyDescent="0.25">
      <c r="F682"/>
      <c r="AA682" s="640" t="str">
        <f t="shared" si="64"/>
        <v/>
      </c>
      <c r="AB682" s="640" t="str">
        <f t="shared" si="66"/>
        <v/>
      </c>
      <c r="AC682" s="640"/>
      <c r="AD682" s="890" t="str">
        <f t="shared" si="67"/>
        <v/>
      </c>
      <c r="AE682" s="890" t="str">
        <f t="shared" si="68"/>
        <v/>
      </c>
      <c r="AF682" s="890" t="str">
        <f t="shared" si="69"/>
        <v/>
      </c>
      <c r="AG682" s="192">
        <f t="shared" si="65"/>
        <v>0</v>
      </c>
    </row>
    <row r="683" spans="6:33" x14ac:dyDescent="0.25">
      <c r="F683"/>
      <c r="AA683" s="640" t="str">
        <f t="shared" si="64"/>
        <v/>
      </c>
      <c r="AB683" s="640" t="str">
        <f t="shared" si="66"/>
        <v/>
      </c>
      <c r="AC683" s="640"/>
      <c r="AD683" s="890" t="str">
        <f t="shared" si="67"/>
        <v/>
      </c>
      <c r="AE683" s="890" t="str">
        <f t="shared" si="68"/>
        <v/>
      </c>
      <c r="AF683" s="890" t="str">
        <f t="shared" si="69"/>
        <v/>
      </c>
      <c r="AG683" s="192">
        <f t="shared" si="65"/>
        <v>0</v>
      </c>
    </row>
    <row r="684" spans="6:33" x14ac:dyDescent="0.25">
      <c r="F684"/>
      <c r="AA684" s="640" t="str">
        <f t="shared" si="64"/>
        <v/>
      </c>
      <c r="AB684" s="640" t="str">
        <f t="shared" si="66"/>
        <v/>
      </c>
      <c r="AC684" s="640"/>
      <c r="AD684" s="890" t="str">
        <f t="shared" si="67"/>
        <v/>
      </c>
      <c r="AE684" s="890" t="str">
        <f t="shared" si="68"/>
        <v/>
      </c>
      <c r="AF684" s="890" t="str">
        <f t="shared" si="69"/>
        <v/>
      </c>
      <c r="AG684" s="192">
        <f t="shared" si="65"/>
        <v>0</v>
      </c>
    </row>
    <row r="685" spans="6:33" x14ac:dyDescent="0.25">
      <c r="F685"/>
      <c r="AA685" s="640" t="str">
        <f t="shared" si="64"/>
        <v/>
      </c>
      <c r="AB685" s="640" t="str">
        <f t="shared" si="66"/>
        <v/>
      </c>
      <c r="AC685" s="640"/>
      <c r="AD685" s="890" t="str">
        <f t="shared" si="67"/>
        <v/>
      </c>
      <c r="AE685" s="890" t="str">
        <f t="shared" si="68"/>
        <v/>
      </c>
      <c r="AF685" s="890" t="str">
        <f t="shared" si="69"/>
        <v/>
      </c>
      <c r="AG685" s="192">
        <f t="shared" si="65"/>
        <v>0</v>
      </c>
    </row>
    <row r="686" spans="6:33" x14ac:dyDescent="0.25">
      <c r="F686"/>
      <c r="AA686" s="640" t="str">
        <f t="shared" si="64"/>
        <v/>
      </c>
      <c r="AB686" s="640" t="str">
        <f t="shared" si="66"/>
        <v/>
      </c>
      <c r="AC686" s="640"/>
      <c r="AD686" s="890" t="str">
        <f t="shared" si="67"/>
        <v/>
      </c>
      <c r="AE686" s="890" t="str">
        <f t="shared" si="68"/>
        <v/>
      </c>
      <c r="AF686" s="890" t="str">
        <f t="shared" si="69"/>
        <v/>
      </c>
      <c r="AG686" s="192">
        <f t="shared" si="65"/>
        <v>0</v>
      </c>
    </row>
    <row r="687" spans="6:33" x14ac:dyDescent="0.25">
      <c r="F687"/>
      <c r="AA687" s="640" t="str">
        <f t="shared" si="64"/>
        <v/>
      </c>
      <c r="AB687" s="640" t="str">
        <f t="shared" si="66"/>
        <v/>
      </c>
      <c r="AC687" s="640"/>
      <c r="AD687" s="890" t="str">
        <f t="shared" si="67"/>
        <v/>
      </c>
      <c r="AE687" s="890" t="str">
        <f t="shared" si="68"/>
        <v/>
      </c>
      <c r="AF687" s="890" t="str">
        <f t="shared" si="69"/>
        <v/>
      </c>
      <c r="AG687" s="192">
        <f t="shared" si="65"/>
        <v>0</v>
      </c>
    </row>
    <row r="688" spans="6:33" x14ac:dyDescent="0.25">
      <c r="F688"/>
      <c r="AA688" s="640" t="str">
        <f t="shared" si="64"/>
        <v/>
      </c>
      <c r="AB688" s="640" t="str">
        <f t="shared" si="66"/>
        <v/>
      </c>
      <c r="AC688" s="640"/>
      <c r="AD688" s="890" t="str">
        <f t="shared" si="67"/>
        <v/>
      </c>
      <c r="AE688" s="890" t="str">
        <f t="shared" si="68"/>
        <v/>
      </c>
      <c r="AF688" s="890" t="str">
        <f t="shared" si="69"/>
        <v/>
      </c>
      <c r="AG688" s="192">
        <f t="shared" si="65"/>
        <v>0</v>
      </c>
    </row>
    <row r="689" spans="6:33" x14ac:dyDescent="0.25">
      <c r="F689"/>
      <c r="AA689" s="640" t="str">
        <f t="shared" si="64"/>
        <v/>
      </c>
      <c r="AB689" s="640" t="str">
        <f t="shared" si="66"/>
        <v/>
      </c>
      <c r="AC689" s="640"/>
      <c r="AD689" s="890" t="str">
        <f t="shared" si="67"/>
        <v/>
      </c>
      <c r="AE689" s="890" t="str">
        <f t="shared" si="68"/>
        <v/>
      </c>
      <c r="AF689" s="890" t="str">
        <f t="shared" si="69"/>
        <v/>
      </c>
      <c r="AG689" s="192">
        <f t="shared" si="65"/>
        <v>0</v>
      </c>
    </row>
    <row r="690" spans="6:33" x14ac:dyDescent="0.25">
      <c r="F690"/>
      <c r="AA690" s="640" t="str">
        <f t="shared" si="64"/>
        <v/>
      </c>
      <c r="AB690" s="640" t="str">
        <f t="shared" si="66"/>
        <v/>
      </c>
      <c r="AC690" s="640"/>
      <c r="AD690" s="890" t="str">
        <f t="shared" si="67"/>
        <v/>
      </c>
      <c r="AE690" s="890" t="str">
        <f t="shared" si="68"/>
        <v/>
      </c>
      <c r="AF690" s="890" t="str">
        <f t="shared" si="69"/>
        <v/>
      </c>
      <c r="AG690" s="192">
        <f t="shared" si="65"/>
        <v>0</v>
      </c>
    </row>
    <row r="691" spans="6:33" x14ac:dyDescent="0.25">
      <c r="F691"/>
      <c r="AA691" s="640" t="str">
        <f t="shared" si="64"/>
        <v/>
      </c>
      <c r="AB691" s="640" t="str">
        <f t="shared" si="66"/>
        <v/>
      </c>
      <c r="AC691" s="640"/>
      <c r="AD691" s="890" t="str">
        <f t="shared" si="67"/>
        <v/>
      </c>
      <c r="AE691" s="890" t="str">
        <f t="shared" si="68"/>
        <v/>
      </c>
      <c r="AF691" s="890" t="str">
        <f t="shared" si="69"/>
        <v/>
      </c>
      <c r="AG691" s="192">
        <f t="shared" si="65"/>
        <v>0</v>
      </c>
    </row>
    <row r="692" spans="6:33" x14ac:dyDescent="0.25">
      <c r="F692"/>
      <c r="AA692" s="640" t="str">
        <f t="shared" si="64"/>
        <v/>
      </c>
      <c r="AB692" s="640" t="str">
        <f t="shared" si="66"/>
        <v/>
      </c>
      <c r="AC692" s="640"/>
      <c r="AD692" s="890" t="str">
        <f t="shared" si="67"/>
        <v/>
      </c>
      <c r="AE692" s="890" t="str">
        <f t="shared" si="68"/>
        <v/>
      </c>
      <c r="AF692" s="890" t="str">
        <f t="shared" si="69"/>
        <v/>
      </c>
      <c r="AG692" s="192">
        <f t="shared" si="65"/>
        <v>0</v>
      </c>
    </row>
    <row r="693" spans="6:33" x14ac:dyDescent="0.25">
      <c r="F693"/>
      <c r="AA693" s="640" t="str">
        <f t="shared" si="64"/>
        <v/>
      </c>
      <c r="AB693" s="640" t="str">
        <f t="shared" si="66"/>
        <v/>
      </c>
      <c r="AC693" s="640"/>
      <c r="AD693" s="890" t="str">
        <f t="shared" si="67"/>
        <v/>
      </c>
      <c r="AE693" s="890" t="str">
        <f t="shared" si="68"/>
        <v/>
      </c>
      <c r="AF693" s="890" t="str">
        <f t="shared" si="69"/>
        <v/>
      </c>
      <c r="AG693" s="192">
        <f t="shared" si="65"/>
        <v>0</v>
      </c>
    </row>
    <row r="694" spans="6:33" x14ac:dyDescent="0.25">
      <c r="F694"/>
      <c r="AA694" s="640" t="str">
        <f t="shared" si="64"/>
        <v/>
      </c>
      <c r="AB694" s="640" t="str">
        <f t="shared" si="66"/>
        <v/>
      </c>
      <c r="AC694" s="640"/>
      <c r="AD694" s="890" t="str">
        <f t="shared" si="67"/>
        <v/>
      </c>
      <c r="AE694" s="890" t="str">
        <f t="shared" si="68"/>
        <v/>
      </c>
      <c r="AF694" s="890" t="str">
        <f t="shared" si="69"/>
        <v/>
      </c>
      <c r="AG694" s="192">
        <f t="shared" si="65"/>
        <v>0</v>
      </c>
    </row>
    <row r="695" spans="6:33" x14ac:dyDescent="0.25">
      <c r="F695"/>
      <c r="AA695" s="640" t="str">
        <f t="shared" si="64"/>
        <v/>
      </c>
      <c r="AB695" s="640" t="str">
        <f t="shared" si="66"/>
        <v/>
      </c>
      <c r="AC695" s="640"/>
      <c r="AD695" s="890" t="str">
        <f t="shared" si="67"/>
        <v/>
      </c>
      <c r="AE695" s="890" t="str">
        <f t="shared" si="68"/>
        <v/>
      </c>
      <c r="AF695" s="890" t="str">
        <f t="shared" si="69"/>
        <v/>
      </c>
      <c r="AG695" s="192">
        <f t="shared" si="65"/>
        <v>0</v>
      </c>
    </row>
    <row r="696" spans="6:33" x14ac:dyDescent="0.25">
      <c r="F696"/>
      <c r="AA696" s="640" t="str">
        <f t="shared" si="64"/>
        <v/>
      </c>
      <c r="AB696" s="640" t="str">
        <f t="shared" si="66"/>
        <v/>
      </c>
      <c r="AC696" s="640"/>
      <c r="AD696" s="890" t="str">
        <f t="shared" si="67"/>
        <v/>
      </c>
      <c r="AE696" s="890" t="str">
        <f t="shared" si="68"/>
        <v/>
      </c>
      <c r="AF696" s="890" t="str">
        <f t="shared" si="69"/>
        <v/>
      </c>
      <c r="AG696" s="192">
        <f t="shared" si="65"/>
        <v>0</v>
      </c>
    </row>
    <row r="697" spans="6:33" x14ac:dyDescent="0.25">
      <c r="F697"/>
      <c r="AA697" s="640" t="str">
        <f t="shared" si="64"/>
        <v/>
      </c>
      <c r="AB697" s="640" t="str">
        <f t="shared" si="66"/>
        <v/>
      </c>
      <c r="AC697" s="640"/>
      <c r="AD697" s="890" t="str">
        <f t="shared" si="67"/>
        <v/>
      </c>
      <c r="AE697" s="890" t="str">
        <f t="shared" si="68"/>
        <v/>
      </c>
      <c r="AF697" s="890" t="str">
        <f t="shared" si="69"/>
        <v/>
      </c>
      <c r="AG697" s="192">
        <f t="shared" si="65"/>
        <v>0</v>
      </c>
    </row>
    <row r="698" spans="6:33" x14ac:dyDescent="0.25">
      <c r="F698"/>
      <c r="AA698" s="640" t="str">
        <f t="shared" si="64"/>
        <v/>
      </c>
      <c r="AB698" s="640" t="str">
        <f t="shared" si="66"/>
        <v/>
      </c>
      <c r="AC698" s="640"/>
      <c r="AD698" s="890" t="str">
        <f t="shared" si="67"/>
        <v/>
      </c>
      <c r="AE698" s="890" t="str">
        <f t="shared" si="68"/>
        <v/>
      </c>
      <c r="AF698" s="890" t="str">
        <f t="shared" si="69"/>
        <v/>
      </c>
      <c r="AG698" s="192">
        <f t="shared" si="65"/>
        <v>0</v>
      </c>
    </row>
    <row r="699" spans="6:33" x14ac:dyDescent="0.25">
      <c r="F699"/>
      <c r="AA699" s="640" t="str">
        <f t="shared" si="64"/>
        <v/>
      </c>
      <c r="AB699" s="640" t="str">
        <f t="shared" si="66"/>
        <v/>
      </c>
      <c r="AC699" s="640"/>
      <c r="AD699" s="890" t="str">
        <f t="shared" si="67"/>
        <v/>
      </c>
      <c r="AE699" s="890" t="str">
        <f t="shared" si="68"/>
        <v/>
      </c>
      <c r="AF699" s="890" t="str">
        <f t="shared" si="69"/>
        <v/>
      </c>
      <c r="AG699" s="192">
        <f t="shared" si="65"/>
        <v>0</v>
      </c>
    </row>
    <row r="700" spans="6:33" x14ac:dyDescent="0.25">
      <c r="F700"/>
      <c r="AA700" s="640" t="str">
        <f t="shared" si="64"/>
        <v/>
      </c>
      <c r="AB700" s="640" t="str">
        <f t="shared" si="66"/>
        <v/>
      </c>
      <c r="AC700" s="640"/>
      <c r="AD700" s="890" t="str">
        <f t="shared" si="67"/>
        <v/>
      </c>
      <c r="AE700" s="890" t="str">
        <f t="shared" si="68"/>
        <v/>
      </c>
      <c r="AF700" s="890" t="str">
        <f t="shared" si="69"/>
        <v/>
      </c>
      <c r="AG700" s="192">
        <f t="shared" si="65"/>
        <v>0</v>
      </c>
    </row>
    <row r="701" spans="6:33" x14ac:dyDescent="0.25">
      <c r="F701"/>
      <c r="AA701" s="640" t="str">
        <f t="shared" si="64"/>
        <v/>
      </c>
      <c r="AB701" s="640" t="str">
        <f t="shared" si="66"/>
        <v/>
      </c>
      <c r="AC701" s="640"/>
      <c r="AD701" s="890" t="str">
        <f t="shared" si="67"/>
        <v/>
      </c>
      <c r="AE701" s="890" t="str">
        <f t="shared" si="68"/>
        <v/>
      </c>
      <c r="AF701" s="890" t="str">
        <f t="shared" si="69"/>
        <v/>
      </c>
      <c r="AG701" s="192">
        <f t="shared" si="65"/>
        <v>0</v>
      </c>
    </row>
    <row r="702" spans="6:33" x14ac:dyDescent="0.25">
      <c r="F702"/>
      <c r="AA702" s="640" t="str">
        <f t="shared" si="64"/>
        <v/>
      </c>
      <c r="AB702" s="640" t="str">
        <f t="shared" si="66"/>
        <v/>
      </c>
      <c r="AC702" s="640"/>
      <c r="AD702" s="890" t="str">
        <f t="shared" si="67"/>
        <v/>
      </c>
      <c r="AE702" s="890" t="str">
        <f t="shared" si="68"/>
        <v/>
      </c>
      <c r="AF702" s="890" t="str">
        <f t="shared" si="69"/>
        <v/>
      </c>
      <c r="AG702" s="192">
        <f t="shared" si="65"/>
        <v>0</v>
      </c>
    </row>
    <row r="703" spans="6:33" x14ac:dyDescent="0.25">
      <c r="F703"/>
      <c r="AA703" s="640" t="str">
        <f t="shared" si="64"/>
        <v/>
      </c>
      <c r="AB703" s="640" t="str">
        <f t="shared" si="66"/>
        <v/>
      </c>
      <c r="AC703" s="640"/>
      <c r="AD703" s="890" t="str">
        <f t="shared" si="67"/>
        <v/>
      </c>
      <c r="AE703" s="890" t="str">
        <f t="shared" si="68"/>
        <v/>
      </c>
      <c r="AF703" s="890" t="str">
        <f t="shared" si="69"/>
        <v/>
      </c>
      <c r="AG703" s="192">
        <f t="shared" si="65"/>
        <v>0</v>
      </c>
    </row>
    <row r="704" spans="6:33" x14ac:dyDescent="0.25">
      <c r="F704"/>
      <c r="AA704" s="640" t="str">
        <f t="shared" si="64"/>
        <v/>
      </c>
      <c r="AB704" s="640" t="str">
        <f t="shared" si="66"/>
        <v/>
      </c>
      <c r="AC704" s="640"/>
      <c r="AD704" s="890" t="str">
        <f t="shared" si="67"/>
        <v/>
      </c>
      <c r="AE704" s="890" t="str">
        <f t="shared" si="68"/>
        <v/>
      </c>
      <c r="AF704" s="890" t="str">
        <f t="shared" si="69"/>
        <v/>
      </c>
      <c r="AG704" s="192">
        <f t="shared" si="65"/>
        <v>0</v>
      </c>
    </row>
    <row r="705" spans="6:33" x14ac:dyDescent="0.25">
      <c r="F705"/>
      <c r="AA705" s="640" t="str">
        <f t="shared" si="64"/>
        <v/>
      </c>
      <c r="AB705" s="640" t="str">
        <f t="shared" si="66"/>
        <v/>
      </c>
      <c r="AC705" s="640"/>
      <c r="AD705" s="890" t="str">
        <f t="shared" si="67"/>
        <v/>
      </c>
      <c r="AE705" s="890" t="str">
        <f t="shared" si="68"/>
        <v/>
      </c>
      <c r="AF705" s="890" t="str">
        <f t="shared" si="69"/>
        <v/>
      </c>
      <c r="AG705" s="192">
        <f t="shared" si="65"/>
        <v>0</v>
      </c>
    </row>
    <row r="706" spans="6:33" x14ac:dyDescent="0.25">
      <c r="F706"/>
      <c r="AA706" s="640" t="str">
        <f t="shared" si="64"/>
        <v/>
      </c>
      <c r="AB706" s="640" t="str">
        <f t="shared" si="66"/>
        <v/>
      </c>
      <c r="AC706" s="640"/>
      <c r="AD706" s="890" t="str">
        <f t="shared" si="67"/>
        <v/>
      </c>
      <c r="AE706" s="890" t="str">
        <f t="shared" si="68"/>
        <v/>
      </c>
      <c r="AF706" s="890" t="str">
        <f t="shared" si="69"/>
        <v/>
      </c>
      <c r="AG706" s="192">
        <f t="shared" si="65"/>
        <v>0</v>
      </c>
    </row>
    <row r="707" spans="6:33" x14ac:dyDescent="0.25">
      <c r="F707"/>
      <c r="AA707" s="640" t="str">
        <f t="shared" si="64"/>
        <v/>
      </c>
      <c r="AB707" s="640" t="str">
        <f t="shared" si="66"/>
        <v/>
      </c>
      <c r="AC707" s="640"/>
      <c r="AD707" s="890" t="str">
        <f t="shared" si="67"/>
        <v/>
      </c>
      <c r="AE707" s="890" t="str">
        <f t="shared" si="68"/>
        <v/>
      </c>
      <c r="AF707" s="890" t="str">
        <f t="shared" si="69"/>
        <v/>
      </c>
      <c r="AG707" s="192">
        <f t="shared" si="65"/>
        <v>0</v>
      </c>
    </row>
    <row r="708" spans="6:33" x14ac:dyDescent="0.25">
      <c r="F708"/>
      <c r="AA708" s="640" t="str">
        <f t="shared" si="64"/>
        <v/>
      </c>
      <c r="AB708" s="640" t="str">
        <f t="shared" si="66"/>
        <v/>
      </c>
      <c r="AC708" s="640"/>
      <c r="AD708" s="890" t="str">
        <f t="shared" si="67"/>
        <v/>
      </c>
      <c r="AE708" s="890" t="str">
        <f t="shared" si="68"/>
        <v/>
      </c>
      <c r="AF708" s="890" t="str">
        <f t="shared" si="69"/>
        <v/>
      </c>
      <c r="AG708" s="192">
        <f t="shared" si="65"/>
        <v>0</v>
      </c>
    </row>
    <row r="709" spans="6:33" x14ac:dyDescent="0.25">
      <c r="F709"/>
      <c r="AA709" s="640" t="str">
        <f t="shared" si="64"/>
        <v/>
      </c>
      <c r="AB709" s="640" t="str">
        <f t="shared" si="66"/>
        <v/>
      </c>
      <c r="AC709" s="640"/>
      <c r="AD709" s="890" t="str">
        <f t="shared" si="67"/>
        <v/>
      </c>
      <c r="AE709" s="890" t="str">
        <f t="shared" si="68"/>
        <v/>
      </c>
      <c r="AF709" s="890" t="str">
        <f t="shared" si="69"/>
        <v/>
      </c>
      <c r="AG709" s="192">
        <f t="shared" si="65"/>
        <v>0</v>
      </c>
    </row>
    <row r="710" spans="6:33" x14ac:dyDescent="0.25">
      <c r="F710"/>
      <c r="AA710" s="640" t="str">
        <f t="shared" si="64"/>
        <v/>
      </c>
      <c r="AB710" s="640" t="str">
        <f t="shared" si="66"/>
        <v/>
      </c>
      <c r="AC710" s="640"/>
      <c r="AD710" s="890" t="str">
        <f t="shared" si="67"/>
        <v/>
      </c>
      <c r="AE710" s="890" t="str">
        <f t="shared" si="68"/>
        <v/>
      </c>
      <c r="AF710" s="890" t="str">
        <f t="shared" si="69"/>
        <v/>
      </c>
      <c r="AG710" s="192">
        <f t="shared" si="65"/>
        <v>0</v>
      </c>
    </row>
    <row r="711" spans="6:33" x14ac:dyDescent="0.25">
      <c r="F711"/>
      <c r="AA711" s="640" t="str">
        <f t="shared" ref="AA711:AA774" si="70">IF(G711=0, IF(OR(H711&gt;0,F711&gt;0),C711*F711,""),"")</f>
        <v/>
      </c>
      <c r="AB711" s="640" t="str">
        <f t="shared" si="66"/>
        <v/>
      </c>
      <c r="AC711" s="640"/>
      <c r="AD711" s="890" t="str">
        <f t="shared" si="67"/>
        <v/>
      </c>
      <c r="AE711" s="890" t="str">
        <f t="shared" si="68"/>
        <v/>
      </c>
      <c r="AF711" s="890" t="str">
        <f t="shared" si="69"/>
        <v/>
      </c>
      <c r="AG711" s="192">
        <f t="shared" ref="AG711:AG774" si="71">(C711*G711)+(C711*H711)+(C711*I711)</f>
        <v>0</v>
      </c>
    </row>
    <row r="712" spans="6:33" x14ac:dyDescent="0.25">
      <c r="F712"/>
      <c r="AA712" s="640" t="str">
        <f t="shared" si="70"/>
        <v/>
      </c>
      <c r="AB712" s="640" t="str">
        <f t="shared" ref="AB712:AB775" si="72">IF(G712&gt;=1,IF(F712&gt;1,C712*(F712-2),""),"")</f>
        <v/>
      </c>
      <c r="AC712" s="640"/>
      <c r="AD712" s="890" t="str">
        <f t="shared" ref="AD712:AD775" si="73">IF(E712="YES",IF(G712=1,"",""),IF(G712=1,C712,IF(G712=2,C712,IF(G712=0,"",""))))</f>
        <v/>
      </c>
      <c r="AE712" s="890" t="str">
        <f t="shared" ref="AE712:AE775" si="74">IF(E712="YES",IF(G712=1,"",IF(H712=1,C712,"")),IF(H712=1,C712,IF(H712=2,C712,IF(H712=0,"",""))))</f>
        <v/>
      </c>
      <c r="AF712" s="890" t="str">
        <f t="shared" ref="AF712:AF775" si="75">IF(E712="YES",IF(I712=1,C712,""),IF(I712=1,C712,IF(I712=2,C712,IF(I712=0,"",""))))</f>
        <v/>
      </c>
      <c r="AG712" s="192">
        <f t="shared" si="71"/>
        <v>0</v>
      </c>
    </row>
    <row r="713" spans="6:33" x14ac:dyDescent="0.25">
      <c r="F713"/>
      <c r="AA713" s="640" t="str">
        <f t="shared" si="70"/>
        <v/>
      </c>
      <c r="AB713" s="640" t="str">
        <f t="shared" si="72"/>
        <v/>
      </c>
      <c r="AC713" s="640"/>
      <c r="AD713" s="890" t="str">
        <f t="shared" si="73"/>
        <v/>
      </c>
      <c r="AE713" s="890" t="str">
        <f t="shared" si="74"/>
        <v/>
      </c>
      <c r="AF713" s="890" t="str">
        <f t="shared" si="75"/>
        <v/>
      </c>
      <c r="AG713" s="192">
        <f t="shared" si="71"/>
        <v>0</v>
      </c>
    </row>
    <row r="714" spans="6:33" x14ac:dyDescent="0.25">
      <c r="F714"/>
      <c r="AA714" s="640" t="str">
        <f t="shared" si="70"/>
        <v/>
      </c>
      <c r="AB714" s="640" t="str">
        <f t="shared" si="72"/>
        <v/>
      </c>
      <c r="AC714" s="640"/>
      <c r="AD714" s="890" t="str">
        <f t="shared" si="73"/>
        <v/>
      </c>
      <c r="AE714" s="890" t="str">
        <f t="shared" si="74"/>
        <v/>
      </c>
      <c r="AF714" s="890" t="str">
        <f t="shared" si="75"/>
        <v/>
      </c>
      <c r="AG714" s="192">
        <f t="shared" si="71"/>
        <v>0</v>
      </c>
    </row>
    <row r="715" spans="6:33" x14ac:dyDescent="0.25">
      <c r="F715"/>
      <c r="AA715" s="640" t="str">
        <f t="shared" si="70"/>
        <v/>
      </c>
      <c r="AB715" s="640" t="str">
        <f t="shared" si="72"/>
        <v/>
      </c>
      <c r="AC715" s="640"/>
      <c r="AD715" s="890" t="str">
        <f t="shared" si="73"/>
        <v/>
      </c>
      <c r="AE715" s="890" t="str">
        <f t="shared" si="74"/>
        <v/>
      </c>
      <c r="AF715" s="890" t="str">
        <f t="shared" si="75"/>
        <v/>
      </c>
      <c r="AG715" s="192">
        <f t="shared" si="71"/>
        <v>0</v>
      </c>
    </row>
    <row r="716" spans="6:33" x14ac:dyDescent="0.25">
      <c r="F716"/>
      <c r="AA716" s="640" t="str">
        <f t="shared" si="70"/>
        <v/>
      </c>
      <c r="AB716" s="640" t="str">
        <f t="shared" si="72"/>
        <v/>
      </c>
      <c r="AC716" s="640"/>
      <c r="AD716" s="890" t="str">
        <f t="shared" si="73"/>
        <v/>
      </c>
      <c r="AE716" s="890" t="str">
        <f t="shared" si="74"/>
        <v/>
      </c>
      <c r="AF716" s="890" t="str">
        <f t="shared" si="75"/>
        <v/>
      </c>
      <c r="AG716" s="192">
        <f t="shared" si="71"/>
        <v>0</v>
      </c>
    </row>
    <row r="717" spans="6:33" x14ac:dyDescent="0.25">
      <c r="F717"/>
      <c r="AA717" s="640" t="str">
        <f t="shared" si="70"/>
        <v/>
      </c>
      <c r="AB717" s="640" t="str">
        <f t="shared" si="72"/>
        <v/>
      </c>
      <c r="AC717" s="640"/>
      <c r="AD717" s="890" t="str">
        <f t="shared" si="73"/>
        <v/>
      </c>
      <c r="AE717" s="890" t="str">
        <f t="shared" si="74"/>
        <v/>
      </c>
      <c r="AF717" s="890" t="str">
        <f t="shared" si="75"/>
        <v/>
      </c>
      <c r="AG717" s="192">
        <f t="shared" si="71"/>
        <v>0</v>
      </c>
    </row>
    <row r="718" spans="6:33" x14ac:dyDescent="0.25">
      <c r="F718"/>
      <c r="AA718" s="640" t="str">
        <f t="shared" si="70"/>
        <v/>
      </c>
      <c r="AB718" s="640" t="str">
        <f t="shared" si="72"/>
        <v/>
      </c>
      <c r="AC718" s="640"/>
      <c r="AD718" s="890" t="str">
        <f t="shared" si="73"/>
        <v/>
      </c>
      <c r="AE718" s="890" t="str">
        <f t="shared" si="74"/>
        <v/>
      </c>
      <c r="AF718" s="890" t="str">
        <f t="shared" si="75"/>
        <v/>
      </c>
      <c r="AG718" s="192">
        <f t="shared" si="71"/>
        <v>0</v>
      </c>
    </row>
    <row r="719" spans="6:33" x14ac:dyDescent="0.25">
      <c r="F719"/>
      <c r="AA719" s="640" t="str">
        <f t="shared" si="70"/>
        <v/>
      </c>
      <c r="AB719" s="640" t="str">
        <f t="shared" si="72"/>
        <v/>
      </c>
      <c r="AC719" s="640"/>
      <c r="AD719" s="890" t="str">
        <f t="shared" si="73"/>
        <v/>
      </c>
      <c r="AE719" s="890" t="str">
        <f t="shared" si="74"/>
        <v/>
      </c>
      <c r="AF719" s="890" t="str">
        <f t="shared" si="75"/>
        <v/>
      </c>
      <c r="AG719" s="192">
        <f t="shared" si="71"/>
        <v>0</v>
      </c>
    </row>
    <row r="720" spans="6:33" x14ac:dyDescent="0.25">
      <c r="F720"/>
      <c r="AA720" s="640" t="str">
        <f t="shared" si="70"/>
        <v/>
      </c>
      <c r="AB720" s="640" t="str">
        <f t="shared" si="72"/>
        <v/>
      </c>
      <c r="AC720" s="640"/>
      <c r="AD720" s="890" t="str">
        <f t="shared" si="73"/>
        <v/>
      </c>
      <c r="AE720" s="890" t="str">
        <f t="shared" si="74"/>
        <v/>
      </c>
      <c r="AF720" s="890" t="str">
        <f t="shared" si="75"/>
        <v/>
      </c>
      <c r="AG720" s="192">
        <f t="shared" si="71"/>
        <v>0</v>
      </c>
    </row>
    <row r="721" spans="6:33" x14ac:dyDescent="0.25">
      <c r="F721"/>
      <c r="AA721" s="640" t="str">
        <f t="shared" si="70"/>
        <v/>
      </c>
      <c r="AB721" s="640" t="str">
        <f t="shared" si="72"/>
        <v/>
      </c>
      <c r="AC721" s="640"/>
      <c r="AD721" s="890" t="str">
        <f t="shared" si="73"/>
        <v/>
      </c>
      <c r="AE721" s="890" t="str">
        <f t="shared" si="74"/>
        <v/>
      </c>
      <c r="AF721" s="890" t="str">
        <f t="shared" si="75"/>
        <v/>
      </c>
      <c r="AG721" s="192">
        <f t="shared" si="71"/>
        <v>0</v>
      </c>
    </row>
    <row r="722" spans="6:33" x14ac:dyDescent="0.25">
      <c r="F722"/>
      <c r="AA722" s="640" t="str">
        <f t="shared" si="70"/>
        <v/>
      </c>
      <c r="AB722" s="640" t="str">
        <f t="shared" si="72"/>
        <v/>
      </c>
      <c r="AC722" s="640"/>
      <c r="AD722" s="890" t="str">
        <f t="shared" si="73"/>
        <v/>
      </c>
      <c r="AE722" s="890" t="str">
        <f t="shared" si="74"/>
        <v/>
      </c>
      <c r="AF722" s="890" t="str">
        <f t="shared" si="75"/>
        <v/>
      </c>
      <c r="AG722" s="192">
        <f t="shared" si="71"/>
        <v>0</v>
      </c>
    </row>
    <row r="723" spans="6:33" x14ac:dyDescent="0.25">
      <c r="F723"/>
      <c r="AA723" s="640" t="str">
        <f t="shared" si="70"/>
        <v/>
      </c>
      <c r="AB723" s="640" t="str">
        <f t="shared" si="72"/>
        <v/>
      </c>
      <c r="AC723" s="640"/>
      <c r="AD723" s="890" t="str">
        <f t="shared" si="73"/>
        <v/>
      </c>
      <c r="AE723" s="890" t="str">
        <f t="shared" si="74"/>
        <v/>
      </c>
      <c r="AF723" s="890" t="str">
        <f t="shared" si="75"/>
        <v/>
      </c>
      <c r="AG723" s="192">
        <f t="shared" si="71"/>
        <v>0</v>
      </c>
    </row>
    <row r="724" spans="6:33" x14ac:dyDescent="0.25">
      <c r="F724"/>
      <c r="AA724" s="640" t="str">
        <f t="shared" si="70"/>
        <v/>
      </c>
      <c r="AB724" s="640" t="str">
        <f t="shared" si="72"/>
        <v/>
      </c>
      <c r="AC724" s="640"/>
      <c r="AD724" s="890" t="str">
        <f t="shared" si="73"/>
        <v/>
      </c>
      <c r="AE724" s="890" t="str">
        <f t="shared" si="74"/>
        <v/>
      </c>
      <c r="AF724" s="890" t="str">
        <f t="shared" si="75"/>
        <v/>
      </c>
      <c r="AG724" s="192">
        <f t="shared" si="71"/>
        <v>0</v>
      </c>
    </row>
    <row r="725" spans="6:33" x14ac:dyDescent="0.25">
      <c r="F725"/>
      <c r="AA725" s="640" t="str">
        <f t="shared" si="70"/>
        <v/>
      </c>
      <c r="AB725" s="640" t="str">
        <f t="shared" si="72"/>
        <v/>
      </c>
      <c r="AC725" s="640"/>
      <c r="AD725" s="890" t="str">
        <f t="shared" si="73"/>
        <v/>
      </c>
      <c r="AE725" s="890" t="str">
        <f t="shared" si="74"/>
        <v/>
      </c>
      <c r="AF725" s="890" t="str">
        <f t="shared" si="75"/>
        <v/>
      </c>
      <c r="AG725" s="192">
        <f t="shared" si="71"/>
        <v>0</v>
      </c>
    </row>
    <row r="726" spans="6:33" x14ac:dyDescent="0.25">
      <c r="F726"/>
      <c r="AA726" s="640" t="str">
        <f t="shared" si="70"/>
        <v/>
      </c>
      <c r="AB726" s="640" t="str">
        <f t="shared" si="72"/>
        <v/>
      </c>
      <c r="AC726" s="640"/>
      <c r="AD726" s="890" t="str">
        <f t="shared" si="73"/>
        <v/>
      </c>
      <c r="AE726" s="890" t="str">
        <f t="shared" si="74"/>
        <v/>
      </c>
      <c r="AF726" s="890" t="str">
        <f t="shared" si="75"/>
        <v/>
      </c>
      <c r="AG726" s="192">
        <f t="shared" si="71"/>
        <v>0</v>
      </c>
    </row>
    <row r="727" spans="6:33" x14ac:dyDescent="0.25">
      <c r="F727"/>
      <c r="AA727" s="640" t="str">
        <f t="shared" si="70"/>
        <v/>
      </c>
      <c r="AB727" s="640" t="str">
        <f t="shared" si="72"/>
        <v/>
      </c>
      <c r="AC727" s="640"/>
      <c r="AD727" s="890" t="str">
        <f t="shared" si="73"/>
        <v/>
      </c>
      <c r="AE727" s="890" t="str">
        <f t="shared" si="74"/>
        <v/>
      </c>
      <c r="AF727" s="890" t="str">
        <f t="shared" si="75"/>
        <v/>
      </c>
      <c r="AG727" s="192">
        <f t="shared" si="71"/>
        <v>0</v>
      </c>
    </row>
    <row r="728" spans="6:33" x14ac:dyDescent="0.25">
      <c r="F728"/>
      <c r="AA728" s="640" t="str">
        <f t="shared" si="70"/>
        <v/>
      </c>
      <c r="AB728" s="640" t="str">
        <f t="shared" si="72"/>
        <v/>
      </c>
      <c r="AC728" s="640"/>
      <c r="AD728" s="890" t="str">
        <f t="shared" si="73"/>
        <v/>
      </c>
      <c r="AE728" s="890" t="str">
        <f t="shared" si="74"/>
        <v/>
      </c>
      <c r="AF728" s="890" t="str">
        <f t="shared" si="75"/>
        <v/>
      </c>
      <c r="AG728" s="192">
        <f t="shared" si="71"/>
        <v>0</v>
      </c>
    </row>
    <row r="729" spans="6:33" x14ac:dyDescent="0.25">
      <c r="F729"/>
      <c r="AA729" s="640" t="str">
        <f t="shared" si="70"/>
        <v/>
      </c>
      <c r="AB729" s="640" t="str">
        <f t="shared" si="72"/>
        <v/>
      </c>
      <c r="AC729" s="640"/>
      <c r="AD729" s="890" t="str">
        <f t="shared" si="73"/>
        <v/>
      </c>
      <c r="AE729" s="890" t="str">
        <f t="shared" si="74"/>
        <v/>
      </c>
      <c r="AF729" s="890" t="str">
        <f t="shared" si="75"/>
        <v/>
      </c>
      <c r="AG729" s="192">
        <f t="shared" si="71"/>
        <v>0</v>
      </c>
    </row>
    <row r="730" spans="6:33" x14ac:dyDescent="0.25">
      <c r="F730"/>
      <c r="AA730" s="640" t="str">
        <f t="shared" si="70"/>
        <v/>
      </c>
      <c r="AB730" s="640" t="str">
        <f t="shared" si="72"/>
        <v/>
      </c>
      <c r="AC730" s="640"/>
      <c r="AD730" s="890" t="str">
        <f t="shared" si="73"/>
        <v/>
      </c>
      <c r="AE730" s="890" t="str">
        <f t="shared" si="74"/>
        <v/>
      </c>
      <c r="AF730" s="890" t="str">
        <f t="shared" si="75"/>
        <v/>
      </c>
      <c r="AG730" s="192">
        <f t="shared" si="71"/>
        <v>0</v>
      </c>
    </row>
    <row r="731" spans="6:33" x14ac:dyDescent="0.25">
      <c r="F731"/>
      <c r="AA731" s="640" t="str">
        <f t="shared" si="70"/>
        <v/>
      </c>
      <c r="AB731" s="640" t="str">
        <f t="shared" si="72"/>
        <v/>
      </c>
      <c r="AC731" s="640"/>
      <c r="AD731" s="890" t="str">
        <f t="shared" si="73"/>
        <v/>
      </c>
      <c r="AE731" s="890" t="str">
        <f t="shared" si="74"/>
        <v/>
      </c>
      <c r="AF731" s="890" t="str">
        <f t="shared" si="75"/>
        <v/>
      </c>
      <c r="AG731" s="192">
        <f t="shared" si="71"/>
        <v>0</v>
      </c>
    </row>
    <row r="732" spans="6:33" x14ac:dyDescent="0.25">
      <c r="F732"/>
      <c r="AA732" s="640" t="str">
        <f t="shared" si="70"/>
        <v/>
      </c>
      <c r="AB732" s="640" t="str">
        <f t="shared" si="72"/>
        <v/>
      </c>
      <c r="AC732" s="640"/>
      <c r="AD732" s="890" t="str">
        <f t="shared" si="73"/>
        <v/>
      </c>
      <c r="AE732" s="890" t="str">
        <f t="shared" si="74"/>
        <v/>
      </c>
      <c r="AF732" s="890" t="str">
        <f t="shared" si="75"/>
        <v/>
      </c>
      <c r="AG732" s="192">
        <f t="shared" si="71"/>
        <v>0</v>
      </c>
    </row>
    <row r="733" spans="6:33" x14ac:dyDescent="0.25">
      <c r="F733"/>
      <c r="AA733" s="640" t="str">
        <f t="shared" si="70"/>
        <v/>
      </c>
      <c r="AB733" s="640" t="str">
        <f t="shared" si="72"/>
        <v/>
      </c>
      <c r="AC733" s="640"/>
      <c r="AD733" s="890" t="str">
        <f t="shared" si="73"/>
        <v/>
      </c>
      <c r="AE733" s="890" t="str">
        <f t="shared" si="74"/>
        <v/>
      </c>
      <c r="AF733" s="890" t="str">
        <f t="shared" si="75"/>
        <v/>
      </c>
      <c r="AG733" s="192">
        <f t="shared" si="71"/>
        <v>0</v>
      </c>
    </row>
    <row r="734" spans="6:33" x14ac:dyDescent="0.25">
      <c r="F734"/>
      <c r="AA734" s="640" t="str">
        <f t="shared" si="70"/>
        <v/>
      </c>
      <c r="AB734" s="640" t="str">
        <f t="shared" si="72"/>
        <v/>
      </c>
      <c r="AC734" s="640"/>
      <c r="AD734" s="890" t="str">
        <f t="shared" si="73"/>
        <v/>
      </c>
      <c r="AE734" s="890" t="str">
        <f t="shared" si="74"/>
        <v/>
      </c>
      <c r="AF734" s="890" t="str">
        <f t="shared" si="75"/>
        <v/>
      </c>
      <c r="AG734" s="192">
        <f t="shared" si="71"/>
        <v>0</v>
      </c>
    </row>
    <row r="735" spans="6:33" x14ac:dyDescent="0.25">
      <c r="F735"/>
      <c r="AA735" s="640" t="str">
        <f t="shared" si="70"/>
        <v/>
      </c>
      <c r="AB735" s="640" t="str">
        <f t="shared" si="72"/>
        <v/>
      </c>
      <c r="AC735" s="640"/>
      <c r="AD735" s="890" t="str">
        <f t="shared" si="73"/>
        <v/>
      </c>
      <c r="AE735" s="890" t="str">
        <f t="shared" si="74"/>
        <v/>
      </c>
      <c r="AF735" s="890" t="str">
        <f t="shared" si="75"/>
        <v/>
      </c>
      <c r="AG735" s="192">
        <f t="shared" si="71"/>
        <v>0</v>
      </c>
    </row>
    <row r="736" spans="6:33" x14ac:dyDescent="0.25">
      <c r="F736"/>
      <c r="AA736" s="640" t="str">
        <f t="shared" si="70"/>
        <v/>
      </c>
      <c r="AB736" s="640" t="str">
        <f t="shared" si="72"/>
        <v/>
      </c>
      <c r="AC736" s="640"/>
      <c r="AD736" s="890" t="str">
        <f t="shared" si="73"/>
        <v/>
      </c>
      <c r="AE736" s="890" t="str">
        <f t="shared" si="74"/>
        <v/>
      </c>
      <c r="AF736" s="890" t="str">
        <f t="shared" si="75"/>
        <v/>
      </c>
      <c r="AG736" s="192">
        <f t="shared" si="71"/>
        <v>0</v>
      </c>
    </row>
    <row r="737" spans="6:33" x14ac:dyDescent="0.25">
      <c r="F737"/>
      <c r="AA737" s="640" t="str">
        <f t="shared" si="70"/>
        <v/>
      </c>
      <c r="AB737" s="640" t="str">
        <f t="shared" si="72"/>
        <v/>
      </c>
      <c r="AC737" s="640"/>
      <c r="AD737" s="890" t="str">
        <f t="shared" si="73"/>
        <v/>
      </c>
      <c r="AE737" s="890" t="str">
        <f t="shared" si="74"/>
        <v/>
      </c>
      <c r="AF737" s="890" t="str">
        <f t="shared" si="75"/>
        <v/>
      </c>
      <c r="AG737" s="192">
        <f t="shared" si="71"/>
        <v>0</v>
      </c>
    </row>
    <row r="738" spans="6:33" x14ac:dyDescent="0.25">
      <c r="F738"/>
      <c r="AA738" s="640" t="str">
        <f t="shared" si="70"/>
        <v/>
      </c>
      <c r="AB738" s="640" t="str">
        <f t="shared" si="72"/>
        <v/>
      </c>
      <c r="AC738" s="640"/>
      <c r="AD738" s="890" t="str">
        <f t="shared" si="73"/>
        <v/>
      </c>
      <c r="AE738" s="890" t="str">
        <f t="shared" si="74"/>
        <v/>
      </c>
      <c r="AF738" s="890" t="str">
        <f t="shared" si="75"/>
        <v/>
      </c>
      <c r="AG738" s="192">
        <f t="shared" si="71"/>
        <v>0</v>
      </c>
    </row>
    <row r="739" spans="6:33" x14ac:dyDescent="0.25">
      <c r="F739"/>
      <c r="AA739" s="640" t="str">
        <f t="shared" si="70"/>
        <v/>
      </c>
      <c r="AB739" s="640" t="str">
        <f t="shared" si="72"/>
        <v/>
      </c>
      <c r="AC739" s="640"/>
      <c r="AD739" s="890" t="str">
        <f t="shared" si="73"/>
        <v/>
      </c>
      <c r="AE739" s="890" t="str">
        <f t="shared" si="74"/>
        <v/>
      </c>
      <c r="AF739" s="890" t="str">
        <f t="shared" si="75"/>
        <v/>
      </c>
      <c r="AG739" s="192">
        <f t="shared" si="71"/>
        <v>0</v>
      </c>
    </row>
    <row r="740" spans="6:33" x14ac:dyDescent="0.25">
      <c r="F740"/>
      <c r="AA740" s="640" t="str">
        <f t="shared" si="70"/>
        <v/>
      </c>
      <c r="AB740" s="640" t="str">
        <f t="shared" si="72"/>
        <v/>
      </c>
      <c r="AC740" s="640"/>
      <c r="AD740" s="890" t="str">
        <f t="shared" si="73"/>
        <v/>
      </c>
      <c r="AE740" s="890" t="str">
        <f t="shared" si="74"/>
        <v/>
      </c>
      <c r="AF740" s="890" t="str">
        <f t="shared" si="75"/>
        <v/>
      </c>
      <c r="AG740" s="192">
        <f t="shared" si="71"/>
        <v>0</v>
      </c>
    </row>
    <row r="741" spans="6:33" x14ac:dyDescent="0.25">
      <c r="F741"/>
      <c r="AA741" s="640" t="str">
        <f t="shared" si="70"/>
        <v/>
      </c>
      <c r="AB741" s="640" t="str">
        <f t="shared" si="72"/>
        <v/>
      </c>
      <c r="AC741" s="640"/>
      <c r="AD741" s="890" t="str">
        <f t="shared" si="73"/>
        <v/>
      </c>
      <c r="AE741" s="890" t="str">
        <f t="shared" si="74"/>
        <v/>
      </c>
      <c r="AF741" s="890" t="str">
        <f t="shared" si="75"/>
        <v/>
      </c>
      <c r="AG741" s="192">
        <f t="shared" si="71"/>
        <v>0</v>
      </c>
    </row>
    <row r="742" spans="6:33" x14ac:dyDescent="0.25">
      <c r="F742"/>
      <c r="AA742" s="640" t="str">
        <f t="shared" si="70"/>
        <v/>
      </c>
      <c r="AB742" s="640" t="str">
        <f t="shared" si="72"/>
        <v/>
      </c>
      <c r="AC742" s="640"/>
      <c r="AD742" s="890" t="str">
        <f t="shared" si="73"/>
        <v/>
      </c>
      <c r="AE742" s="890" t="str">
        <f t="shared" si="74"/>
        <v/>
      </c>
      <c r="AF742" s="890" t="str">
        <f t="shared" si="75"/>
        <v/>
      </c>
      <c r="AG742" s="192">
        <f t="shared" si="71"/>
        <v>0</v>
      </c>
    </row>
    <row r="743" spans="6:33" x14ac:dyDescent="0.25">
      <c r="F743"/>
      <c r="AA743" s="640" t="str">
        <f t="shared" si="70"/>
        <v/>
      </c>
      <c r="AB743" s="640" t="str">
        <f t="shared" si="72"/>
        <v/>
      </c>
      <c r="AC743" s="640"/>
      <c r="AD743" s="890" t="str">
        <f t="shared" si="73"/>
        <v/>
      </c>
      <c r="AE743" s="890" t="str">
        <f t="shared" si="74"/>
        <v/>
      </c>
      <c r="AF743" s="890" t="str">
        <f t="shared" si="75"/>
        <v/>
      </c>
      <c r="AG743" s="192">
        <f t="shared" si="71"/>
        <v>0</v>
      </c>
    </row>
    <row r="744" spans="6:33" x14ac:dyDescent="0.25">
      <c r="F744"/>
      <c r="AA744" s="640" t="str">
        <f t="shared" si="70"/>
        <v/>
      </c>
      <c r="AB744" s="640" t="str">
        <f t="shared" si="72"/>
        <v/>
      </c>
      <c r="AC744" s="640"/>
      <c r="AD744" s="890" t="str">
        <f t="shared" si="73"/>
        <v/>
      </c>
      <c r="AE744" s="890" t="str">
        <f t="shared" si="74"/>
        <v/>
      </c>
      <c r="AF744" s="890" t="str">
        <f t="shared" si="75"/>
        <v/>
      </c>
      <c r="AG744" s="192">
        <f t="shared" si="71"/>
        <v>0</v>
      </c>
    </row>
    <row r="745" spans="6:33" x14ac:dyDescent="0.25">
      <c r="F745"/>
      <c r="AA745" s="640" t="str">
        <f t="shared" si="70"/>
        <v/>
      </c>
      <c r="AB745" s="640" t="str">
        <f t="shared" si="72"/>
        <v/>
      </c>
      <c r="AC745" s="640"/>
      <c r="AD745" s="890" t="str">
        <f t="shared" si="73"/>
        <v/>
      </c>
      <c r="AE745" s="890" t="str">
        <f t="shared" si="74"/>
        <v/>
      </c>
      <c r="AF745" s="890" t="str">
        <f t="shared" si="75"/>
        <v/>
      </c>
      <c r="AG745" s="192">
        <f t="shared" si="71"/>
        <v>0</v>
      </c>
    </row>
    <row r="746" spans="6:33" x14ac:dyDescent="0.25">
      <c r="F746"/>
      <c r="AA746" s="640" t="str">
        <f t="shared" si="70"/>
        <v/>
      </c>
      <c r="AB746" s="640" t="str">
        <f t="shared" si="72"/>
        <v/>
      </c>
      <c r="AC746" s="640"/>
      <c r="AD746" s="890" t="str">
        <f t="shared" si="73"/>
        <v/>
      </c>
      <c r="AE746" s="890" t="str">
        <f t="shared" si="74"/>
        <v/>
      </c>
      <c r="AF746" s="890" t="str">
        <f t="shared" si="75"/>
        <v/>
      </c>
      <c r="AG746" s="192">
        <f t="shared" si="71"/>
        <v>0</v>
      </c>
    </row>
    <row r="747" spans="6:33" x14ac:dyDescent="0.25">
      <c r="F747"/>
      <c r="AA747" s="640" t="str">
        <f t="shared" si="70"/>
        <v/>
      </c>
      <c r="AB747" s="640" t="str">
        <f t="shared" si="72"/>
        <v/>
      </c>
      <c r="AC747" s="640"/>
      <c r="AD747" s="890" t="str">
        <f t="shared" si="73"/>
        <v/>
      </c>
      <c r="AE747" s="890" t="str">
        <f t="shared" si="74"/>
        <v/>
      </c>
      <c r="AF747" s="890" t="str">
        <f t="shared" si="75"/>
        <v/>
      </c>
      <c r="AG747" s="192">
        <f t="shared" si="71"/>
        <v>0</v>
      </c>
    </row>
    <row r="748" spans="6:33" x14ac:dyDescent="0.25">
      <c r="F748"/>
      <c r="AA748" s="640" t="str">
        <f t="shared" si="70"/>
        <v/>
      </c>
      <c r="AB748" s="640" t="str">
        <f t="shared" si="72"/>
        <v/>
      </c>
      <c r="AC748" s="640"/>
      <c r="AD748" s="890" t="str">
        <f t="shared" si="73"/>
        <v/>
      </c>
      <c r="AE748" s="890" t="str">
        <f t="shared" si="74"/>
        <v/>
      </c>
      <c r="AF748" s="890" t="str">
        <f t="shared" si="75"/>
        <v/>
      </c>
      <c r="AG748" s="192">
        <f t="shared" si="71"/>
        <v>0</v>
      </c>
    </row>
    <row r="749" spans="6:33" x14ac:dyDescent="0.25">
      <c r="F749"/>
      <c r="AA749" s="640" t="str">
        <f t="shared" si="70"/>
        <v/>
      </c>
      <c r="AB749" s="640" t="str">
        <f t="shared" si="72"/>
        <v/>
      </c>
      <c r="AC749" s="640"/>
      <c r="AD749" s="890" t="str">
        <f t="shared" si="73"/>
        <v/>
      </c>
      <c r="AE749" s="890" t="str">
        <f t="shared" si="74"/>
        <v/>
      </c>
      <c r="AF749" s="890" t="str">
        <f t="shared" si="75"/>
        <v/>
      </c>
      <c r="AG749" s="192">
        <f t="shared" si="71"/>
        <v>0</v>
      </c>
    </row>
    <row r="750" spans="6:33" x14ac:dyDescent="0.25">
      <c r="F750"/>
      <c r="AA750" s="640" t="str">
        <f t="shared" si="70"/>
        <v/>
      </c>
      <c r="AB750" s="640" t="str">
        <f t="shared" si="72"/>
        <v/>
      </c>
      <c r="AC750" s="640"/>
      <c r="AD750" s="890" t="str">
        <f t="shared" si="73"/>
        <v/>
      </c>
      <c r="AE750" s="890" t="str">
        <f t="shared" si="74"/>
        <v/>
      </c>
      <c r="AF750" s="890" t="str">
        <f t="shared" si="75"/>
        <v/>
      </c>
      <c r="AG750" s="192">
        <f t="shared" si="71"/>
        <v>0</v>
      </c>
    </row>
    <row r="751" spans="6:33" x14ac:dyDescent="0.25">
      <c r="F751"/>
      <c r="AA751" s="640" t="str">
        <f t="shared" si="70"/>
        <v/>
      </c>
      <c r="AB751" s="640" t="str">
        <f t="shared" si="72"/>
        <v/>
      </c>
      <c r="AC751" s="640"/>
      <c r="AD751" s="890" t="str">
        <f t="shared" si="73"/>
        <v/>
      </c>
      <c r="AE751" s="890" t="str">
        <f t="shared" si="74"/>
        <v/>
      </c>
      <c r="AF751" s="890" t="str">
        <f t="shared" si="75"/>
        <v/>
      </c>
      <c r="AG751" s="192">
        <f t="shared" si="71"/>
        <v>0</v>
      </c>
    </row>
    <row r="752" spans="6:33" x14ac:dyDescent="0.25">
      <c r="F752"/>
      <c r="AA752" s="640" t="str">
        <f t="shared" si="70"/>
        <v/>
      </c>
      <c r="AB752" s="640" t="str">
        <f t="shared" si="72"/>
        <v/>
      </c>
      <c r="AC752" s="640"/>
      <c r="AD752" s="890" t="str">
        <f t="shared" si="73"/>
        <v/>
      </c>
      <c r="AE752" s="890" t="str">
        <f t="shared" si="74"/>
        <v/>
      </c>
      <c r="AF752" s="890" t="str">
        <f t="shared" si="75"/>
        <v/>
      </c>
      <c r="AG752" s="192">
        <f t="shared" si="71"/>
        <v>0</v>
      </c>
    </row>
    <row r="753" spans="6:33" x14ac:dyDescent="0.25">
      <c r="F753"/>
      <c r="AA753" s="640" t="str">
        <f t="shared" si="70"/>
        <v/>
      </c>
      <c r="AB753" s="640" t="str">
        <f t="shared" si="72"/>
        <v/>
      </c>
      <c r="AC753" s="640"/>
      <c r="AD753" s="890" t="str">
        <f t="shared" si="73"/>
        <v/>
      </c>
      <c r="AE753" s="890" t="str">
        <f t="shared" si="74"/>
        <v/>
      </c>
      <c r="AF753" s="890" t="str">
        <f t="shared" si="75"/>
        <v/>
      </c>
      <c r="AG753" s="192">
        <f t="shared" si="71"/>
        <v>0</v>
      </c>
    </row>
    <row r="754" spans="6:33" x14ac:dyDescent="0.25">
      <c r="F754"/>
      <c r="AA754" s="640" t="str">
        <f t="shared" si="70"/>
        <v/>
      </c>
      <c r="AB754" s="640" t="str">
        <f t="shared" si="72"/>
        <v/>
      </c>
      <c r="AC754" s="640"/>
      <c r="AD754" s="890" t="str">
        <f t="shared" si="73"/>
        <v/>
      </c>
      <c r="AE754" s="890" t="str">
        <f t="shared" si="74"/>
        <v/>
      </c>
      <c r="AF754" s="890" t="str">
        <f t="shared" si="75"/>
        <v/>
      </c>
      <c r="AG754" s="192">
        <f t="shared" si="71"/>
        <v>0</v>
      </c>
    </row>
    <row r="755" spans="6:33" x14ac:dyDescent="0.25">
      <c r="F755"/>
      <c r="AA755" s="640" t="str">
        <f t="shared" si="70"/>
        <v/>
      </c>
      <c r="AB755" s="640" t="str">
        <f t="shared" si="72"/>
        <v/>
      </c>
      <c r="AC755" s="640"/>
      <c r="AD755" s="890" t="str">
        <f t="shared" si="73"/>
        <v/>
      </c>
      <c r="AE755" s="890" t="str">
        <f t="shared" si="74"/>
        <v/>
      </c>
      <c r="AF755" s="890" t="str">
        <f t="shared" si="75"/>
        <v/>
      </c>
      <c r="AG755" s="192">
        <f t="shared" si="71"/>
        <v>0</v>
      </c>
    </row>
    <row r="756" spans="6:33" x14ac:dyDescent="0.25">
      <c r="F756"/>
      <c r="AA756" s="640" t="str">
        <f t="shared" si="70"/>
        <v/>
      </c>
      <c r="AB756" s="640" t="str">
        <f t="shared" si="72"/>
        <v/>
      </c>
      <c r="AC756" s="640"/>
      <c r="AD756" s="890" t="str">
        <f t="shared" si="73"/>
        <v/>
      </c>
      <c r="AE756" s="890" t="str">
        <f t="shared" si="74"/>
        <v/>
      </c>
      <c r="AF756" s="890" t="str">
        <f t="shared" si="75"/>
        <v/>
      </c>
      <c r="AG756" s="192">
        <f t="shared" si="71"/>
        <v>0</v>
      </c>
    </row>
    <row r="757" spans="6:33" x14ac:dyDescent="0.25">
      <c r="F757"/>
      <c r="AA757" s="640" t="str">
        <f t="shared" si="70"/>
        <v/>
      </c>
      <c r="AB757" s="640" t="str">
        <f t="shared" si="72"/>
        <v/>
      </c>
      <c r="AC757" s="640"/>
      <c r="AD757" s="890" t="str">
        <f t="shared" si="73"/>
        <v/>
      </c>
      <c r="AE757" s="890" t="str">
        <f t="shared" si="74"/>
        <v/>
      </c>
      <c r="AF757" s="890" t="str">
        <f t="shared" si="75"/>
        <v/>
      </c>
      <c r="AG757" s="192">
        <f t="shared" si="71"/>
        <v>0</v>
      </c>
    </row>
    <row r="758" spans="6:33" x14ac:dyDescent="0.25">
      <c r="F758"/>
      <c r="AA758" s="640" t="str">
        <f t="shared" si="70"/>
        <v/>
      </c>
      <c r="AB758" s="640" t="str">
        <f t="shared" si="72"/>
        <v/>
      </c>
      <c r="AC758" s="640"/>
      <c r="AD758" s="890" t="str">
        <f t="shared" si="73"/>
        <v/>
      </c>
      <c r="AE758" s="890" t="str">
        <f t="shared" si="74"/>
        <v/>
      </c>
      <c r="AF758" s="890" t="str">
        <f t="shared" si="75"/>
        <v/>
      </c>
      <c r="AG758" s="192">
        <f t="shared" si="71"/>
        <v>0</v>
      </c>
    </row>
    <row r="759" spans="6:33" x14ac:dyDescent="0.25">
      <c r="F759"/>
      <c r="AA759" s="640" t="str">
        <f t="shared" si="70"/>
        <v/>
      </c>
      <c r="AB759" s="640" t="str">
        <f t="shared" si="72"/>
        <v/>
      </c>
      <c r="AC759" s="640"/>
      <c r="AD759" s="890" t="str">
        <f t="shared" si="73"/>
        <v/>
      </c>
      <c r="AE759" s="890" t="str">
        <f t="shared" si="74"/>
        <v/>
      </c>
      <c r="AF759" s="890" t="str">
        <f t="shared" si="75"/>
        <v/>
      </c>
      <c r="AG759" s="192">
        <f t="shared" si="71"/>
        <v>0</v>
      </c>
    </row>
    <row r="760" spans="6:33" x14ac:dyDescent="0.25">
      <c r="F760"/>
      <c r="AA760" s="640" t="str">
        <f t="shared" si="70"/>
        <v/>
      </c>
      <c r="AB760" s="640" t="str">
        <f t="shared" si="72"/>
        <v/>
      </c>
      <c r="AC760" s="640"/>
      <c r="AD760" s="890" t="str">
        <f t="shared" si="73"/>
        <v/>
      </c>
      <c r="AE760" s="890" t="str">
        <f t="shared" si="74"/>
        <v/>
      </c>
      <c r="AF760" s="890" t="str">
        <f t="shared" si="75"/>
        <v/>
      </c>
      <c r="AG760" s="192">
        <f t="shared" si="71"/>
        <v>0</v>
      </c>
    </row>
    <row r="761" spans="6:33" x14ac:dyDescent="0.25">
      <c r="F761"/>
      <c r="AA761" s="640" t="str">
        <f t="shared" si="70"/>
        <v/>
      </c>
      <c r="AB761" s="640" t="str">
        <f t="shared" si="72"/>
        <v/>
      </c>
      <c r="AC761" s="640"/>
      <c r="AD761" s="890" t="str">
        <f t="shared" si="73"/>
        <v/>
      </c>
      <c r="AE761" s="890" t="str">
        <f t="shared" si="74"/>
        <v/>
      </c>
      <c r="AF761" s="890" t="str">
        <f t="shared" si="75"/>
        <v/>
      </c>
      <c r="AG761" s="192">
        <f t="shared" si="71"/>
        <v>0</v>
      </c>
    </row>
    <row r="762" spans="6:33" x14ac:dyDescent="0.25">
      <c r="F762"/>
      <c r="AA762" s="640" t="str">
        <f t="shared" si="70"/>
        <v/>
      </c>
      <c r="AB762" s="640" t="str">
        <f t="shared" si="72"/>
        <v/>
      </c>
      <c r="AC762" s="640"/>
      <c r="AD762" s="890" t="str">
        <f t="shared" si="73"/>
        <v/>
      </c>
      <c r="AE762" s="890" t="str">
        <f t="shared" si="74"/>
        <v/>
      </c>
      <c r="AF762" s="890" t="str">
        <f t="shared" si="75"/>
        <v/>
      </c>
      <c r="AG762" s="192">
        <f t="shared" si="71"/>
        <v>0</v>
      </c>
    </row>
    <row r="763" spans="6:33" x14ac:dyDescent="0.25">
      <c r="F763"/>
      <c r="AA763" s="640" t="str">
        <f t="shared" si="70"/>
        <v/>
      </c>
      <c r="AB763" s="640" t="str">
        <f t="shared" si="72"/>
        <v/>
      </c>
      <c r="AC763" s="640"/>
      <c r="AD763" s="890" t="str">
        <f t="shared" si="73"/>
        <v/>
      </c>
      <c r="AE763" s="890" t="str">
        <f t="shared" si="74"/>
        <v/>
      </c>
      <c r="AF763" s="890" t="str">
        <f t="shared" si="75"/>
        <v/>
      </c>
      <c r="AG763" s="192">
        <f t="shared" si="71"/>
        <v>0</v>
      </c>
    </row>
    <row r="764" spans="6:33" x14ac:dyDescent="0.25">
      <c r="F764"/>
      <c r="AA764" s="640" t="str">
        <f t="shared" si="70"/>
        <v/>
      </c>
      <c r="AB764" s="640" t="str">
        <f t="shared" si="72"/>
        <v/>
      </c>
      <c r="AC764" s="640"/>
      <c r="AD764" s="890" t="str">
        <f t="shared" si="73"/>
        <v/>
      </c>
      <c r="AE764" s="890" t="str">
        <f t="shared" si="74"/>
        <v/>
      </c>
      <c r="AF764" s="890" t="str">
        <f t="shared" si="75"/>
        <v/>
      </c>
      <c r="AG764" s="192">
        <f t="shared" si="71"/>
        <v>0</v>
      </c>
    </row>
    <row r="765" spans="6:33" x14ac:dyDescent="0.25">
      <c r="F765"/>
      <c r="AA765" s="640" t="str">
        <f t="shared" si="70"/>
        <v/>
      </c>
      <c r="AB765" s="640" t="str">
        <f t="shared" si="72"/>
        <v/>
      </c>
      <c r="AC765" s="640"/>
      <c r="AD765" s="890" t="str">
        <f t="shared" si="73"/>
        <v/>
      </c>
      <c r="AE765" s="890" t="str">
        <f t="shared" si="74"/>
        <v/>
      </c>
      <c r="AF765" s="890" t="str">
        <f t="shared" si="75"/>
        <v/>
      </c>
      <c r="AG765" s="192">
        <f t="shared" si="71"/>
        <v>0</v>
      </c>
    </row>
    <row r="766" spans="6:33" x14ac:dyDescent="0.25">
      <c r="F766"/>
      <c r="AA766" s="640" t="str">
        <f t="shared" si="70"/>
        <v/>
      </c>
      <c r="AB766" s="640" t="str">
        <f t="shared" si="72"/>
        <v/>
      </c>
      <c r="AC766" s="640"/>
      <c r="AD766" s="890" t="str">
        <f t="shared" si="73"/>
        <v/>
      </c>
      <c r="AE766" s="890" t="str">
        <f t="shared" si="74"/>
        <v/>
      </c>
      <c r="AF766" s="890" t="str">
        <f t="shared" si="75"/>
        <v/>
      </c>
      <c r="AG766" s="192">
        <f t="shared" si="71"/>
        <v>0</v>
      </c>
    </row>
    <row r="767" spans="6:33" x14ac:dyDescent="0.25">
      <c r="F767"/>
      <c r="AA767" s="640" t="str">
        <f t="shared" si="70"/>
        <v/>
      </c>
      <c r="AB767" s="640" t="str">
        <f t="shared" si="72"/>
        <v/>
      </c>
      <c r="AC767" s="640"/>
      <c r="AD767" s="890" t="str">
        <f t="shared" si="73"/>
        <v/>
      </c>
      <c r="AE767" s="890" t="str">
        <f t="shared" si="74"/>
        <v/>
      </c>
      <c r="AF767" s="890" t="str">
        <f t="shared" si="75"/>
        <v/>
      </c>
      <c r="AG767" s="192">
        <f t="shared" si="71"/>
        <v>0</v>
      </c>
    </row>
    <row r="768" spans="6:33" x14ac:dyDescent="0.25">
      <c r="F768"/>
      <c r="AA768" s="640" t="str">
        <f t="shared" si="70"/>
        <v/>
      </c>
      <c r="AB768" s="640" t="str">
        <f t="shared" si="72"/>
        <v/>
      </c>
      <c r="AC768" s="640"/>
      <c r="AD768" s="890" t="str">
        <f t="shared" si="73"/>
        <v/>
      </c>
      <c r="AE768" s="890" t="str">
        <f t="shared" si="74"/>
        <v/>
      </c>
      <c r="AF768" s="890" t="str">
        <f t="shared" si="75"/>
        <v/>
      </c>
      <c r="AG768" s="192">
        <f t="shared" si="71"/>
        <v>0</v>
      </c>
    </row>
    <row r="769" spans="6:33" x14ac:dyDescent="0.25">
      <c r="F769"/>
      <c r="AA769" s="640" t="str">
        <f t="shared" si="70"/>
        <v/>
      </c>
      <c r="AB769" s="640" t="str">
        <f t="shared" si="72"/>
        <v/>
      </c>
      <c r="AC769" s="640"/>
      <c r="AD769" s="890" t="str">
        <f t="shared" si="73"/>
        <v/>
      </c>
      <c r="AE769" s="890" t="str">
        <f t="shared" si="74"/>
        <v/>
      </c>
      <c r="AF769" s="890" t="str">
        <f t="shared" si="75"/>
        <v/>
      </c>
      <c r="AG769" s="192">
        <f t="shared" si="71"/>
        <v>0</v>
      </c>
    </row>
    <row r="770" spans="6:33" x14ac:dyDescent="0.25">
      <c r="F770"/>
      <c r="AA770" s="640" t="str">
        <f t="shared" si="70"/>
        <v/>
      </c>
      <c r="AB770" s="640" t="str">
        <f t="shared" si="72"/>
        <v/>
      </c>
      <c r="AC770" s="640"/>
      <c r="AD770" s="890" t="str">
        <f t="shared" si="73"/>
        <v/>
      </c>
      <c r="AE770" s="890" t="str">
        <f t="shared" si="74"/>
        <v/>
      </c>
      <c r="AF770" s="890" t="str">
        <f t="shared" si="75"/>
        <v/>
      </c>
      <c r="AG770" s="192">
        <f t="shared" si="71"/>
        <v>0</v>
      </c>
    </row>
    <row r="771" spans="6:33" x14ac:dyDescent="0.25">
      <c r="F771"/>
      <c r="AA771" s="640" t="str">
        <f t="shared" si="70"/>
        <v/>
      </c>
      <c r="AB771" s="640" t="str">
        <f t="shared" si="72"/>
        <v/>
      </c>
      <c r="AC771" s="640"/>
      <c r="AD771" s="890" t="str">
        <f t="shared" si="73"/>
        <v/>
      </c>
      <c r="AE771" s="890" t="str">
        <f t="shared" si="74"/>
        <v/>
      </c>
      <c r="AF771" s="890" t="str">
        <f t="shared" si="75"/>
        <v/>
      </c>
      <c r="AG771" s="192">
        <f t="shared" si="71"/>
        <v>0</v>
      </c>
    </row>
    <row r="772" spans="6:33" x14ac:dyDescent="0.25">
      <c r="F772"/>
      <c r="AA772" s="640" t="str">
        <f t="shared" si="70"/>
        <v/>
      </c>
      <c r="AB772" s="640" t="str">
        <f t="shared" si="72"/>
        <v/>
      </c>
      <c r="AC772" s="640"/>
      <c r="AD772" s="890" t="str">
        <f t="shared" si="73"/>
        <v/>
      </c>
      <c r="AE772" s="890" t="str">
        <f t="shared" si="74"/>
        <v/>
      </c>
      <c r="AF772" s="890" t="str">
        <f t="shared" si="75"/>
        <v/>
      </c>
      <c r="AG772" s="192">
        <f t="shared" si="71"/>
        <v>0</v>
      </c>
    </row>
    <row r="773" spans="6:33" x14ac:dyDescent="0.25">
      <c r="F773"/>
      <c r="AA773" s="640" t="str">
        <f t="shared" si="70"/>
        <v/>
      </c>
      <c r="AB773" s="640" t="str">
        <f t="shared" si="72"/>
        <v/>
      </c>
      <c r="AC773" s="640"/>
      <c r="AD773" s="890" t="str">
        <f t="shared" si="73"/>
        <v/>
      </c>
      <c r="AE773" s="890" t="str">
        <f t="shared" si="74"/>
        <v/>
      </c>
      <c r="AF773" s="890" t="str">
        <f t="shared" si="75"/>
        <v/>
      </c>
      <c r="AG773" s="192">
        <f t="shared" si="71"/>
        <v>0</v>
      </c>
    </row>
    <row r="774" spans="6:33" x14ac:dyDescent="0.25">
      <c r="F774"/>
      <c r="AA774" s="640" t="str">
        <f t="shared" si="70"/>
        <v/>
      </c>
      <c r="AB774" s="640" t="str">
        <f t="shared" si="72"/>
        <v/>
      </c>
      <c r="AC774" s="640"/>
      <c r="AD774" s="890" t="str">
        <f t="shared" si="73"/>
        <v/>
      </c>
      <c r="AE774" s="890" t="str">
        <f t="shared" si="74"/>
        <v/>
      </c>
      <c r="AF774" s="890" t="str">
        <f t="shared" si="75"/>
        <v/>
      </c>
      <c r="AG774" s="192">
        <f t="shared" si="71"/>
        <v>0</v>
      </c>
    </row>
    <row r="775" spans="6:33" x14ac:dyDescent="0.25">
      <c r="F775"/>
      <c r="AA775" s="640" t="str">
        <f t="shared" ref="AA775:AA838" si="76">IF(G775=0, IF(OR(H775&gt;0,F775&gt;0),C775*F775,""),"")</f>
        <v/>
      </c>
      <c r="AB775" s="640" t="str">
        <f t="shared" si="72"/>
        <v/>
      </c>
      <c r="AC775" s="640"/>
      <c r="AD775" s="890" t="str">
        <f t="shared" si="73"/>
        <v/>
      </c>
      <c r="AE775" s="890" t="str">
        <f t="shared" si="74"/>
        <v/>
      </c>
      <c r="AF775" s="890" t="str">
        <f t="shared" si="75"/>
        <v/>
      </c>
      <c r="AG775" s="192">
        <f t="shared" ref="AG775:AG838" si="77">(C775*G775)+(C775*H775)+(C775*I775)</f>
        <v>0</v>
      </c>
    </row>
    <row r="776" spans="6:33" x14ac:dyDescent="0.25">
      <c r="F776"/>
      <c r="AA776" s="640" t="str">
        <f t="shared" si="76"/>
        <v/>
      </c>
      <c r="AB776" s="640" t="str">
        <f t="shared" ref="AB776:AB839" si="78">IF(G776&gt;=1,IF(F776&gt;1,C776*(F776-2),""),"")</f>
        <v/>
      </c>
      <c r="AC776" s="640"/>
      <c r="AD776" s="890" t="str">
        <f t="shared" ref="AD776:AD839" si="79">IF(E776="YES",IF(G776=1,"",""),IF(G776=1,C776,IF(G776=2,C776,IF(G776=0,"",""))))</f>
        <v/>
      </c>
      <c r="AE776" s="890" t="str">
        <f t="shared" ref="AE776:AE839" si="80">IF(E776="YES",IF(G776=1,"",IF(H776=1,C776,"")),IF(H776=1,C776,IF(H776=2,C776,IF(H776=0,"",""))))</f>
        <v/>
      </c>
      <c r="AF776" s="890" t="str">
        <f t="shared" ref="AF776:AF839" si="81">IF(E776="YES",IF(I776=1,C776,""),IF(I776=1,C776,IF(I776=2,C776,IF(I776=0,"",""))))</f>
        <v/>
      </c>
      <c r="AG776" s="192">
        <f t="shared" si="77"/>
        <v>0</v>
      </c>
    </row>
    <row r="777" spans="6:33" x14ac:dyDescent="0.25">
      <c r="F777"/>
      <c r="AA777" s="640" t="str">
        <f t="shared" si="76"/>
        <v/>
      </c>
      <c r="AB777" s="640" t="str">
        <f t="shared" si="78"/>
        <v/>
      </c>
      <c r="AC777" s="640"/>
      <c r="AD777" s="890" t="str">
        <f t="shared" si="79"/>
        <v/>
      </c>
      <c r="AE777" s="890" t="str">
        <f t="shared" si="80"/>
        <v/>
      </c>
      <c r="AF777" s="890" t="str">
        <f t="shared" si="81"/>
        <v/>
      </c>
      <c r="AG777" s="192">
        <f t="shared" si="77"/>
        <v>0</v>
      </c>
    </row>
    <row r="778" spans="6:33" x14ac:dyDescent="0.25">
      <c r="F778"/>
      <c r="AA778" s="640" t="str">
        <f t="shared" si="76"/>
        <v/>
      </c>
      <c r="AB778" s="640" t="str">
        <f t="shared" si="78"/>
        <v/>
      </c>
      <c r="AC778" s="640"/>
      <c r="AD778" s="890" t="str">
        <f t="shared" si="79"/>
        <v/>
      </c>
      <c r="AE778" s="890" t="str">
        <f t="shared" si="80"/>
        <v/>
      </c>
      <c r="AF778" s="890" t="str">
        <f t="shared" si="81"/>
        <v/>
      </c>
      <c r="AG778" s="192">
        <f t="shared" si="77"/>
        <v>0</v>
      </c>
    </row>
    <row r="779" spans="6:33" x14ac:dyDescent="0.25">
      <c r="F779"/>
      <c r="AA779" s="640" t="str">
        <f t="shared" si="76"/>
        <v/>
      </c>
      <c r="AB779" s="640" t="str">
        <f t="shared" si="78"/>
        <v/>
      </c>
      <c r="AC779" s="640"/>
      <c r="AD779" s="890" t="str">
        <f t="shared" si="79"/>
        <v/>
      </c>
      <c r="AE779" s="890" t="str">
        <f t="shared" si="80"/>
        <v/>
      </c>
      <c r="AF779" s="890" t="str">
        <f t="shared" si="81"/>
        <v/>
      </c>
      <c r="AG779" s="192">
        <f t="shared" si="77"/>
        <v>0</v>
      </c>
    </row>
    <row r="780" spans="6:33" x14ac:dyDescent="0.25">
      <c r="F780"/>
      <c r="AA780" s="640" t="str">
        <f t="shared" si="76"/>
        <v/>
      </c>
      <c r="AB780" s="640" t="str">
        <f t="shared" si="78"/>
        <v/>
      </c>
      <c r="AC780" s="640"/>
      <c r="AD780" s="890" t="str">
        <f t="shared" si="79"/>
        <v/>
      </c>
      <c r="AE780" s="890" t="str">
        <f t="shared" si="80"/>
        <v/>
      </c>
      <c r="AF780" s="890" t="str">
        <f t="shared" si="81"/>
        <v/>
      </c>
      <c r="AG780" s="192">
        <f t="shared" si="77"/>
        <v>0</v>
      </c>
    </row>
    <row r="781" spans="6:33" x14ac:dyDescent="0.25">
      <c r="F781"/>
      <c r="AA781" s="640" t="str">
        <f t="shared" si="76"/>
        <v/>
      </c>
      <c r="AB781" s="640" t="str">
        <f t="shared" si="78"/>
        <v/>
      </c>
      <c r="AC781" s="640"/>
      <c r="AD781" s="890" t="str">
        <f t="shared" si="79"/>
        <v/>
      </c>
      <c r="AE781" s="890" t="str">
        <f t="shared" si="80"/>
        <v/>
      </c>
      <c r="AF781" s="890" t="str">
        <f t="shared" si="81"/>
        <v/>
      </c>
      <c r="AG781" s="192">
        <f t="shared" si="77"/>
        <v>0</v>
      </c>
    </row>
    <row r="782" spans="6:33" x14ac:dyDescent="0.25">
      <c r="F782"/>
      <c r="AA782" s="640" t="str">
        <f t="shared" si="76"/>
        <v/>
      </c>
      <c r="AB782" s="640" t="str">
        <f t="shared" si="78"/>
        <v/>
      </c>
      <c r="AC782" s="640"/>
      <c r="AD782" s="890" t="str">
        <f t="shared" si="79"/>
        <v/>
      </c>
      <c r="AE782" s="890" t="str">
        <f t="shared" si="80"/>
        <v/>
      </c>
      <c r="AF782" s="890" t="str">
        <f t="shared" si="81"/>
        <v/>
      </c>
      <c r="AG782" s="192">
        <f t="shared" si="77"/>
        <v>0</v>
      </c>
    </row>
    <row r="783" spans="6:33" x14ac:dyDescent="0.25">
      <c r="F783"/>
      <c r="AA783" s="640" t="str">
        <f t="shared" si="76"/>
        <v/>
      </c>
      <c r="AB783" s="640" t="str">
        <f t="shared" si="78"/>
        <v/>
      </c>
      <c r="AC783" s="640"/>
      <c r="AD783" s="890" t="str">
        <f t="shared" si="79"/>
        <v/>
      </c>
      <c r="AE783" s="890" t="str">
        <f t="shared" si="80"/>
        <v/>
      </c>
      <c r="AF783" s="890" t="str">
        <f t="shared" si="81"/>
        <v/>
      </c>
      <c r="AG783" s="192">
        <f t="shared" si="77"/>
        <v>0</v>
      </c>
    </row>
    <row r="784" spans="6:33" x14ac:dyDescent="0.25">
      <c r="F784"/>
      <c r="AA784" s="640" t="str">
        <f t="shared" si="76"/>
        <v/>
      </c>
      <c r="AB784" s="640" t="str">
        <f t="shared" si="78"/>
        <v/>
      </c>
      <c r="AC784" s="640"/>
      <c r="AD784" s="890" t="str">
        <f t="shared" si="79"/>
        <v/>
      </c>
      <c r="AE784" s="890" t="str">
        <f t="shared" si="80"/>
        <v/>
      </c>
      <c r="AF784" s="890" t="str">
        <f t="shared" si="81"/>
        <v/>
      </c>
      <c r="AG784" s="192">
        <f t="shared" si="77"/>
        <v>0</v>
      </c>
    </row>
    <row r="785" spans="6:33" x14ac:dyDescent="0.25">
      <c r="F785"/>
      <c r="AA785" s="640" t="str">
        <f t="shared" si="76"/>
        <v/>
      </c>
      <c r="AB785" s="640" t="str">
        <f t="shared" si="78"/>
        <v/>
      </c>
      <c r="AC785" s="640"/>
      <c r="AD785" s="890" t="str">
        <f t="shared" si="79"/>
        <v/>
      </c>
      <c r="AE785" s="890" t="str">
        <f t="shared" si="80"/>
        <v/>
      </c>
      <c r="AF785" s="890" t="str">
        <f t="shared" si="81"/>
        <v/>
      </c>
      <c r="AG785" s="192">
        <f t="shared" si="77"/>
        <v>0</v>
      </c>
    </row>
    <row r="786" spans="6:33" x14ac:dyDescent="0.25">
      <c r="F786"/>
      <c r="AA786" s="640" t="str">
        <f t="shared" si="76"/>
        <v/>
      </c>
      <c r="AB786" s="640" t="str">
        <f t="shared" si="78"/>
        <v/>
      </c>
      <c r="AC786" s="640"/>
      <c r="AD786" s="890" t="str">
        <f t="shared" si="79"/>
        <v/>
      </c>
      <c r="AE786" s="890" t="str">
        <f t="shared" si="80"/>
        <v/>
      </c>
      <c r="AF786" s="890" t="str">
        <f t="shared" si="81"/>
        <v/>
      </c>
      <c r="AG786" s="192">
        <f t="shared" si="77"/>
        <v>0</v>
      </c>
    </row>
    <row r="787" spans="6:33" x14ac:dyDescent="0.25">
      <c r="F787"/>
      <c r="AA787" s="640" t="str">
        <f t="shared" si="76"/>
        <v/>
      </c>
      <c r="AB787" s="640" t="str">
        <f t="shared" si="78"/>
        <v/>
      </c>
      <c r="AC787" s="640"/>
      <c r="AD787" s="890" t="str">
        <f t="shared" si="79"/>
        <v/>
      </c>
      <c r="AE787" s="890" t="str">
        <f t="shared" si="80"/>
        <v/>
      </c>
      <c r="AF787" s="890" t="str">
        <f t="shared" si="81"/>
        <v/>
      </c>
      <c r="AG787" s="192">
        <f t="shared" si="77"/>
        <v>0</v>
      </c>
    </row>
    <row r="788" spans="6:33" x14ac:dyDescent="0.25">
      <c r="F788"/>
      <c r="AA788" s="640" t="str">
        <f t="shared" si="76"/>
        <v/>
      </c>
      <c r="AB788" s="640" t="str">
        <f t="shared" si="78"/>
        <v/>
      </c>
      <c r="AC788" s="640"/>
      <c r="AD788" s="890" t="str">
        <f t="shared" si="79"/>
        <v/>
      </c>
      <c r="AE788" s="890" t="str">
        <f t="shared" si="80"/>
        <v/>
      </c>
      <c r="AF788" s="890" t="str">
        <f t="shared" si="81"/>
        <v/>
      </c>
      <c r="AG788" s="192">
        <f t="shared" si="77"/>
        <v>0</v>
      </c>
    </row>
    <row r="789" spans="6:33" x14ac:dyDescent="0.25">
      <c r="F789"/>
      <c r="AA789" s="640" t="str">
        <f t="shared" si="76"/>
        <v/>
      </c>
      <c r="AB789" s="640" t="str">
        <f t="shared" si="78"/>
        <v/>
      </c>
      <c r="AC789" s="640"/>
      <c r="AD789" s="890" t="str">
        <f t="shared" si="79"/>
        <v/>
      </c>
      <c r="AE789" s="890" t="str">
        <f t="shared" si="80"/>
        <v/>
      </c>
      <c r="AF789" s="890" t="str">
        <f t="shared" si="81"/>
        <v/>
      </c>
      <c r="AG789" s="192">
        <f t="shared" si="77"/>
        <v>0</v>
      </c>
    </row>
    <row r="790" spans="6:33" x14ac:dyDescent="0.25">
      <c r="F790"/>
      <c r="AA790" s="640" t="str">
        <f t="shared" si="76"/>
        <v/>
      </c>
      <c r="AB790" s="640" t="str">
        <f t="shared" si="78"/>
        <v/>
      </c>
      <c r="AC790" s="640"/>
      <c r="AD790" s="890" t="str">
        <f t="shared" si="79"/>
        <v/>
      </c>
      <c r="AE790" s="890" t="str">
        <f t="shared" si="80"/>
        <v/>
      </c>
      <c r="AF790" s="890" t="str">
        <f t="shared" si="81"/>
        <v/>
      </c>
      <c r="AG790" s="192">
        <f t="shared" si="77"/>
        <v>0</v>
      </c>
    </row>
    <row r="791" spans="6:33" x14ac:dyDescent="0.25">
      <c r="F791"/>
      <c r="AA791" s="640" t="str">
        <f t="shared" si="76"/>
        <v/>
      </c>
      <c r="AB791" s="640" t="str">
        <f t="shared" si="78"/>
        <v/>
      </c>
      <c r="AC791" s="640"/>
      <c r="AD791" s="890" t="str">
        <f t="shared" si="79"/>
        <v/>
      </c>
      <c r="AE791" s="890" t="str">
        <f t="shared" si="80"/>
        <v/>
      </c>
      <c r="AF791" s="890" t="str">
        <f t="shared" si="81"/>
        <v/>
      </c>
      <c r="AG791" s="192">
        <f t="shared" si="77"/>
        <v>0</v>
      </c>
    </row>
    <row r="792" spans="6:33" x14ac:dyDescent="0.25">
      <c r="F792"/>
      <c r="AA792" s="640" t="str">
        <f t="shared" si="76"/>
        <v/>
      </c>
      <c r="AB792" s="640" t="str">
        <f t="shared" si="78"/>
        <v/>
      </c>
      <c r="AC792" s="640"/>
      <c r="AD792" s="890" t="str">
        <f t="shared" si="79"/>
        <v/>
      </c>
      <c r="AE792" s="890" t="str">
        <f t="shared" si="80"/>
        <v/>
      </c>
      <c r="AF792" s="890" t="str">
        <f t="shared" si="81"/>
        <v/>
      </c>
      <c r="AG792" s="192">
        <f t="shared" si="77"/>
        <v>0</v>
      </c>
    </row>
    <row r="793" spans="6:33" x14ac:dyDescent="0.25">
      <c r="F793"/>
      <c r="AA793" s="640" t="str">
        <f t="shared" si="76"/>
        <v/>
      </c>
      <c r="AB793" s="640" t="str">
        <f t="shared" si="78"/>
        <v/>
      </c>
      <c r="AC793" s="640"/>
      <c r="AD793" s="890" t="str">
        <f t="shared" si="79"/>
        <v/>
      </c>
      <c r="AE793" s="890" t="str">
        <f t="shared" si="80"/>
        <v/>
      </c>
      <c r="AF793" s="890" t="str">
        <f t="shared" si="81"/>
        <v/>
      </c>
      <c r="AG793" s="192">
        <f t="shared" si="77"/>
        <v>0</v>
      </c>
    </row>
    <row r="794" spans="6:33" x14ac:dyDescent="0.25">
      <c r="F794"/>
      <c r="AA794" s="640" t="str">
        <f t="shared" si="76"/>
        <v/>
      </c>
      <c r="AB794" s="640" t="str">
        <f t="shared" si="78"/>
        <v/>
      </c>
      <c r="AC794" s="640"/>
      <c r="AD794" s="890" t="str">
        <f t="shared" si="79"/>
        <v/>
      </c>
      <c r="AE794" s="890" t="str">
        <f t="shared" si="80"/>
        <v/>
      </c>
      <c r="AF794" s="890" t="str">
        <f t="shared" si="81"/>
        <v/>
      </c>
      <c r="AG794" s="192">
        <f t="shared" si="77"/>
        <v>0</v>
      </c>
    </row>
    <row r="795" spans="6:33" x14ac:dyDescent="0.25">
      <c r="AA795" s="640" t="str">
        <f t="shared" si="76"/>
        <v/>
      </c>
      <c r="AB795" s="640" t="str">
        <f t="shared" si="78"/>
        <v/>
      </c>
      <c r="AD795" s="890" t="str">
        <f t="shared" si="79"/>
        <v/>
      </c>
      <c r="AE795" s="890" t="str">
        <f t="shared" si="80"/>
        <v/>
      </c>
      <c r="AF795" s="890" t="str">
        <f t="shared" si="81"/>
        <v/>
      </c>
      <c r="AG795" s="192">
        <f t="shared" si="77"/>
        <v>0</v>
      </c>
    </row>
    <row r="796" spans="6:33" x14ac:dyDescent="0.25">
      <c r="AA796" s="640" t="str">
        <f t="shared" si="76"/>
        <v/>
      </c>
      <c r="AB796" s="640" t="str">
        <f t="shared" si="78"/>
        <v/>
      </c>
      <c r="AD796" s="890" t="str">
        <f t="shared" si="79"/>
        <v/>
      </c>
      <c r="AE796" s="890" t="str">
        <f t="shared" si="80"/>
        <v/>
      </c>
      <c r="AF796" s="890" t="str">
        <f t="shared" si="81"/>
        <v/>
      </c>
      <c r="AG796" s="192">
        <f t="shared" si="77"/>
        <v>0</v>
      </c>
    </row>
    <row r="797" spans="6:33" x14ac:dyDescent="0.25">
      <c r="AA797" s="640" t="str">
        <f t="shared" si="76"/>
        <v/>
      </c>
      <c r="AB797" s="640" t="str">
        <f t="shared" si="78"/>
        <v/>
      </c>
      <c r="AD797" s="890" t="str">
        <f t="shared" si="79"/>
        <v/>
      </c>
      <c r="AE797" s="890" t="str">
        <f t="shared" si="80"/>
        <v/>
      </c>
      <c r="AF797" s="890" t="str">
        <f t="shared" si="81"/>
        <v/>
      </c>
      <c r="AG797" s="192">
        <f t="shared" si="77"/>
        <v>0</v>
      </c>
    </row>
    <row r="798" spans="6:33" x14ac:dyDescent="0.25">
      <c r="AA798" s="640" t="str">
        <f t="shared" si="76"/>
        <v/>
      </c>
      <c r="AB798" s="640" t="str">
        <f t="shared" si="78"/>
        <v/>
      </c>
      <c r="AD798" s="890" t="str">
        <f t="shared" si="79"/>
        <v/>
      </c>
      <c r="AE798" s="890" t="str">
        <f t="shared" si="80"/>
        <v/>
      </c>
      <c r="AF798" s="890" t="str">
        <f t="shared" si="81"/>
        <v/>
      </c>
      <c r="AG798" s="192">
        <f t="shared" si="77"/>
        <v>0</v>
      </c>
    </row>
    <row r="799" spans="6:33" x14ac:dyDescent="0.25">
      <c r="AA799" s="640" t="str">
        <f t="shared" si="76"/>
        <v/>
      </c>
      <c r="AB799" s="640" t="str">
        <f t="shared" si="78"/>
        <v/>
      </c>
      <c r="AD799" s="890" t="str">
        <f t="shared" si="79"/>
        <v/>
      </c>
      <c r="AE799" s="890" t="str">
        <f t="shared" si="80"/>
        <v/>
      </c>
      <c r="AF799" s="890" t="str">
        <f t="shared" si="81"/>
        <v/>
      </c>
      <c r="AG799" s="192">
        <f t="shared" si="77"/>
        <v>0</v>
      </c>
    </row>
    <row r="800" spans="6:33" x14ac:dyDescent="0.25">
      <c r="AA800" s="640" t="str">
        <f t="shared" si="76"/>
        <v/>
      </c>
      <c r="AB800" s="640" t="str">
        <f t="shared" si="78"/>
        <v/>
      </c>
      <c r="AD800" s="890" t="str">
        <f t="shared" si="79"/>
        <v/>
      </c>
      <c r="AE800" s="890" t="str">
        <f t="shared" si="80"/>
        <v/>
      </c>
      <c r="AF800" s="890" t="str">
        <f t="shared" si="81"/>
        <v/>
      </c>
      <c r="AG800" s="192">
        <f t="shared" si="77"/>
        <v>0</v>
      </c>
    </row>
    <row r="801" spans="27:33" x14ac:dyDescent="0.25">
      <c r="AA801" s="640" t="str">
        <f t="shared" si="76"/>
        <v/>
      </c>
      <c r="AB801" s="640" t="str">
        <f t="shared" si="78"/>
        <v/>
      </c>
      <c r="AD801" s="890" t="str">
        <f t="shared" si="79"/>
        <v/>
      </c>
      <c r="AE801" s="890" t="str">
        <f t="shared" si="80"/>
        <v/>
      </c>
      <c r="AF801" s="890" t="str">
        <f t="shared" si="81"/>
        <v/>
      </c>
      <c r="AG801" s="192">
        <f t="shared" si="77"/>
        <v>0</v>
      </c>
    </row>
    <row r="802" spans="27:33" x14ac:dyDescent="0.25">
      <c r="AA802" s="640" t="str">
        <f t="shared" si="76"/>
        <v/>
      </c>
      <c r="AB802" s="640" t="str">
        <f t="shared" si="78"/>
        <v/>
      </c>
      <c r="AD802" s="890" t="str">
        <f t="shared" si="79"/>
        <v/>
      </c>
      <c r="AE802" s="890" t="str">
        <f t="shared" si="80"/>
        <v/>
      </c>
      <c r="AF802" s="890" t="str">
        <f t="shared" si="81"/>
        <v/>
      </c>
      <c r="AG802" s="192">
        <f t="shared" si="77"/>
        <v>0</v>
      </c>
    </row>
    <row r="803" spans="27:33" x14ac:dyDescent="0.25">
      <c r="AA803" s="640" t="str">
        <f t="shared" si="76"/>
        <v/>
      </c>
      <c r="AB803" s="640" t="str">
        <f t="shared" si="78"/>
        <v/>
      </c>
      <c r="AD803" s="890" t="str">
        <f t="shared" si="79"/>
        <v/>
      </c>
      <c r="AE803" s="890" t="str">
        <f t="shared" si="80"/>
        <v/>
      </c>
      <c r="AF803" s="890" t="str">
        <f t="shared" si="81"/>
        <v/>
      </c>
      <c r="AG803" s="192">
        <f t="shared" si="77"/>
        <v>0</v>
      </c>
    </row>
    <row r="804" spans="27:33" x14ac:dyDescent="0.25">
      <c r="AA804" s="640" t="str">
        <f t="shared" si="76"/>
        <v/>
      </c>
      <c r="AB804" s="640" t="str">
        <f t="shared" si="78"/>
        <v/>
      </c>
      <c r="AD804" s="890" t="str">
        <f t="shared" si="79"/>
        <v/>
      </c>
      <c r="AE804" s="890" t="str">
        <f t="shared" si="80"/>
        <v/>
      </c>
      <c r="AF804" s="890" t="str">
        <f t="shared" si="81"/>
        <v/>
      </c>
      <c r="AG804" s="192">
        <f t="shared" si="77"/>
        <v>0</v>
      </c>
    </row>
    <row r="805" spans="27:33" x14ac:dyDescent="0.25">
      <c r="AA805" s="640" t="str">
        <f t="shared" si="76"/>
        <v/>
      </c>
      <c r="AB805" s="640" t="str">
        <f t="shared" si="78"/>
        <v/>
      </c>
      <c r="AD805" s="890" t="str">
        <f t="shared" si="79"/>
        <v/>
      </c>
      <c r="AE805" s="890" t="str">
        <f t="shared" si="80"/>
        <v/>
      </c>
      <c r="AF805" s="890" t="str">
        <f t="shared" si="81"/>
        <v/>
      </c>
      <c r="AG805" s="192">
        <f t="shared" si="77"/>
        <v>0</v>
      </c>
    </row>
    <row r="806" spans="27:33" x14ac:dyDescent="0.25">
      <c r="AA806" s="640" t="str">
        <f t="shared" si="76"/>
        <v/>
      </c>
      <c r="AB806" s="640" t="str">
        <f t="shared" si="78"/>
        <v/>
      </c>
      <c r="AD806" s="890" t="str">
        <f t="shared" si="79"/>
        <v/>
      </c>
      <c r="AE806" s="890" t="str">
        <f t="shared" si="80"/>
        <v/>
      </c>
      <c r="AF806" s="890" t="str">
        <f t="shared" si="81"/>
        <v/>
      </c>
      <c r="AG806" s="192">
        <f t="shared" si="77"/>
        <v>0</v>
      </c>
    </row>
    <row r="807" spans="27:33" x14ac:dyDescent="0.25">
      <c r="AA807" s="640" t="str">
        <f t="shared" si="76"/>
        <v/>
      </c>
      <c r="AB807" s="640" t="str">
        <f t="shared" si="78"/>
        <v/>
      </c>
      <c r="AD807" s="890" t="str">
        <f t="shared" si="79"/>
        <v/>
      </c>
      <c r="AE807" s="890" t="str">
        <f t="shared" si="80"/>
        <v/>
      </c>
      <c r="AF807" s="890" t="str">
        <f t="shared" si="81"/>
        <v/>
      </c>
      <c r="AG807" s="192">
        <f t="shared" si="77"/>
        <v>0</v>
      </c>
    </row>
    <row r="808" spans="27:33" x14ac:dyDescent="0.25">
      <c r="AA808" s="640" t="str">
        <f t="shared" si="76"/>
        <v/>
      </c>
      <c r="AB808" s="640" t="str">
        <f t="shared" si="78"/>
        <v/>
      </c>
      <c r="AD808" s="890" t="str">
        <f t="shared" si="79"/>
        <v/>
      </c>
      <c r="AE808" s="890" t="str">
        <f t="shared" si="80"/>
        <v/>
      </c>
      <c r="AF808" s="890" t="str">
        <f t="shared" si="81"/>
        <v/>
      </c>
      <c r="AG808" s="192">
        <f t="shared" si="77"/>
        <v>0</v>
      </c>
    </row>
    <row r="809" spans="27:33" x14ac:dyDescent="0.25">
      <c r="AA809" s="640" t="str">
        <f t="shared" si="76"/>
        <v/>
      </c>
      <c r="AB809" s="640" t="str">
        <f t="shared" si="78"/>
        <v/>
      </c>
      <c r="AD809" s="890" t="str">
        <f t="shared" si="79"/>
        <v/>
      </c>
      <c r="AE809" s="890" t="str">
        <f t="shared" si="80"/>
        <v/>
      </c>
      <c r="AF809" s="890" t="str">
        <f t="shared" si="81"/>
        <v/>
      </c>
      <c r="AG809" s="192">
        <f t="shared" si="77"/>
        <v>0</v>
      </c>
    </row>
    <row r="810" spans="27:33" x14ac:dyDescent="0.25">
      <c r="AA810" s="640" t="str">
        <f t="shared" si="76"/>
        <v/>
      </c>
      <c r="AB810" s="640" t="str">
        <f t="shared" si="78"/>
        <v/>
      </c>
      <c r="AD810" s="890" t="str">
        <f t="shared" si="79"/>
        <v/>
      </c>
      <c r="AE810" s="890" t="str">
        <f t="shared" si="80"/>
        <v/>
      </c>
      <c r="AF810" s="890" t="str">
        <f t="shared" si="81"/>
        <v/>
      </c>
      <c r="AG810" s="192">
        <f t="shared" si="77"/>
        <v>0</v>
      </c>
    </row>
    <row r="811" spans="27:33" x14ac:dyDescent="0.25">
      <c r="AA811" s="640" t="str">
        <f t="shared" si="76"/>
        <v/>
      </c>
      <c r="AB811" s="640" t="str">
        <f t="shared" si="78"/>
        <v/>
      </c>
      <c r="AD811" s="890" t="str">
        <f t="shared" si="79"/>
        <v/>
      </c>
      <c r="AE811" s="890" t="str">
        <f t="shared" si="80"/>
        <v/>
      </c>
      <c r="AF811" s="890" t="str">
        <f t="shared" si="81"/>
        <v/>
      </c>
      <c r="AG811" s="192">
        <f t="shared" si="77"/>
        <v>0</v>
      </c>
    </row>
    <row r="812" spans="27:33" x14ac:dyDescent="0.25">
      <c r="AA812" s="640" t="str">
        <f t="shared" si="76"/>
        <v/>
      </c>
      <c r="AB812" s="640" t="str">
        <f t="shared" si="78"/>
        <v/>
      </c>
      <c r="AD812" s="890" t="str">
        <f t="shared" si="79"/>
        <v/>
      </c>
      <c r="AE812" s="890" t="str">
        <f t="shared" si="80"/>
        <v/>
      </c>
      <c r="AF812" s="890" t="str">
        <f t="shared" si="81"/>
        <v/>
      </c>
      <c r="AG812" s="192">
        <f t="shared" si="77"/>
        <v>0</v>
      </c>
    </row>
    <row r="813" spans="27:33" x14ac:dyDescent="0.25">
      <c r="AA813" s="640" t="str">
        <f t="shared" si="76"/>
        <v/>
      </c>
      <c r="AB813" s="640" t="str">
        <f t="shared" si="78"/>
        <v/>
      </c>
      <c r="AD813" s="890" t="str">
        <f t="shared" si="79"/>
        <v/>
      </c>
      <c r="AE813" s="890" t="str">
        <f t="shared" si="80"/>
        <v/>
      </c>
      <c r="AF813" s="890" t="str">
        <f t="shared" si="81"/>
        <v/>
      </c>
      <c r="AG813" s="192">
        <f t="shared" si="77"/>
        <v>0</v>
      </c>
    </row>
    <row r="814" spans="27:33" x14ac:dyDescent="0.25">
      <c r="AA814" s="640" t="str">
        <f t="shared" si="76"/>
        <v/>
      </c>
      <c r="AB814" s="640" t="str">
        <f t="shared" si="78"/>
        <v/>
      </c>
      <c r="AD814" s="890" t="str">
        <f t="shared" si="79"/>
        <v/>
      </c>
      <c r="AE814" s="890" t="str">
        <f t="shared" si="80"/>
        <v/>
      </c>
      <c r="AF814" s="890" t="str">
        <f t="shared" si="81"/>
        <v/>
      </c>
      <c r="AG814" s="192">
        <f t="shared" si="77"/>
        <v>0</v>
      </c>
    </row>
    <row r="815" spans="27:33" x14ac:dyDescent="0.25">
      <c r="AA815" s="640" t="str">
        <f t="shared" si="76"/>
        <v/>
      </c>
      <c r="AB815" s="640" t="str">
        <f t="shared" si="78"/>
        <v/>
      </c>
      <c r="AD815" s="890" t="str">
        <f t="shared" si="79"/>
        <v/>
      </c>
      <c r="AE815" s="890" t="str">
        <f t="shared" si="80"/>
        <v/>
      </c>
      <c r="AF815" s="890" t="str">
        <f t="shared" si="81"/>
        <v/>
      </c>
      <c r="AG815" s="192">
        <f t="shared" si="77"/>
        <v>0</v>
      </c>
    </row>
    <row r="816" spans="27:33" x14ac:dyDescent="0.25">
      <c r="AA816" s="640" t="str">
        <f t="shared" si="76"/>
        <v/>
      </c>
      <c r="AB816" s="640" t="str">
        <f t="shared" si="78"/>
        <v/>
      </c>
      <c r="AD816" s="890" t="str">
        <f t="shared" si="79"/>
        <v/>
      </c>
      <c r="AE816" s="890" t="str">
        <f t="shared" si="80"/>
        <v/>
      </c>
      <c r="AF816" s="890" t="str">
        <f t="shared" si="81"/>
        <v/>
      </c>
      <c r="AG816" s="192">
        <f t="shared" si="77"/>
        <v>0</v>
      </c>
    </row>
    <row r="817" spans="27:33" x14ac:dyDescent="0.25">
      <c r="AA817" s="640" t="str">
        <f t="shared" si="76"/>
        <v/>
      </c>
      <c r="AB817" s="640" t="str">
        <f t="shared" si="78"/>
        <v/>
      </c>
      <c r="AD817" s="890" t="str">
        <f t="shared" si="79"/>
        <v/>
      </c>
      <c r="AE817" s="890" t="str">
        <f t="shared" si="80"/>
        <v/>
      </c>
      <c r="AF817" s="890" t="str">
        <f t="shared" si="81"/>
        <v/>
      </c>
      <c r="AG817" s="192">
        <f t="shared" si="77"/>
        <v>0</v>
      </c>
    </row>
    <row r="818" spans="27:33" x14ac:dyDescent="0.25">
      <c r="AA818" s="640" t="str">
        <f t="shared" si="76"/>
        <v/>
      </c>
      <c r="AB818" s="640" t="str">
        <f t="shared" si="78"/>
        <v/>
      </c>
      <c r="AD818" s="890" t="str">
        <f t="shared" si="79"/>
        <v/>
      </c>
      <c r="AE818" s="890" t="str">
        <f t="shared" si="80"/>
        <v/>
      </c>
      <c r="AF818" s="890" t="str">
        <f t="shared" si="81"/>
        <v/>
      </c>
      <c r="AG818" s="192">
        <f t="shared" si="77"/>
        <v>0</v>
      </c>
    </row>
    <row r="819" spans="27:33" x14ac:dyDescent="0.25">
      <c r="AA819" s="640" t="str">
        <f t="shared" si="76"/>
        <v/>
      </c>
      <c r="AB819" s="640" t="str">
        <f t="shared" si="78"/>
        <v/>
      </c>
      <c r="AD819" s="890" t="str">
        <f t="shared" si="79"/>
        <v/>
      </c>
      <c r="AE819" s="890" t="str">
        <f t="shared" si="80"/>
        <v/>
      </c>
      <c r="AF819" s="890" t="str">
        <f t="shared" si="81"/>
        <v/>
      </c>
      <c r="AG819" s="192">
        <f t="shared" si="77"/>
        <v>0</v>
      </c>
    </row>
    <row r="820" spans="27:33" x14ac:dyDescent="0.25">
      <c r="AA820" s="640" t="str">
        <f t="shared" si="76"/>
        <v/>
      </c>
      <c r="AB820" s="640" t="str">
        <f t="shared" si="78"/>
        <v/>
      </c>
      <c r="AD820" s="890" t="str">
        <f t="shared" si="79"/>
        <v/>
      </c>
      <c r="AE820" s="890" t="str">
        <f t="shared" si="80"/>
        <v/>
      </c>
      <c r="AF820" s="890" t="str">
        <f t="shared" si="81"/>
        <v/>
      </c>
      <c r="AG820" s="192">
        <f t="shared" si="77"/>
        <v>0</v>
      </c>
    </row>
    <row r="821" spans="27:33" x14ac:dyDescent="0.25">
      <c r="AA821" s="640" t="str">
        <f t="shared" si="76"/>
        <v/>
      </c>
      <c r="AB821" s="640" t="str">
        <f t="shared" si="78"/>
        <v/>
      </c>
      <c r="AD821" s="890" t="str">
        <f t="shared" si="79"/>
        <v/>
      </c>
      <c r="AE821" s="890" t="str">
        <f t="shared" si="80"/>
        <v/>
      </c>
      <c r="AF821" s="890" t="str">
        <f t="shared" si="81"/>
        <v/>
      </c>
      <c r="AG821" s="192">
        <f t="shared" si="77"/>
        <v>0</v>
      </c>
    </row>
    <row r="822" spans="27:33" x14ac:dyDescent="0.25">
      <c r="AA822" s="640" t="str">
        <f t="shared" si="76"/>
        <v/>
      </c>
      <c r="AB822" s="640" t="str">
        <f t="shared" si="78"/>
        <v/>
      </c>
      <c r="AD822" s="890" t="str">
        <f t="shared" si="79"/>
        <v/>
      </c>
      <c r="AE822" s="890" t="str">
        <f t="shared" si="80"/>
        <v/>
      </c>
      <c r="AF822" s="890" t="str">
        <f t="shared" si="81"/>
        <v/>
      </c>
      <c r="AG822" s="192">
        <f t="shared" si="77"/>
        <v>0</v>
      </c>
    </row>
    <row r="823" spans="27:33" x14ac:dyDescent="0.25">
      <c r="AA823" s="640" t="str">
        <f t="shared" si="76"/>
        <v/>
      </c>
      <c r="AB823" s="640" t="str">
        <f t="shared" si="78"/>
        <v/>
      </c>
      <c r="AD823" s="890" t="str">
        <f t="shared" si="79"/>
        <v/>
      </c>
      <c r="AE823" s="890" t="str">
        <f t="shared" si="80"/>
        <v/>
      </c>
      <c r="AF823" s="890" t="str">
        <f t="shared" si="81"/>
        <v/>
      </c>
      <c r="AG823" s="192">
        <f t="shared" si="77"/>
        <v>0</v>
      </c>
    </row>
    <row r="824" spans="27:33" x14ac:dyDescent="0.25">
      <c r="AA824" s="640" t="str">
        <f t="shared" si="76"/>
        <v/>
      </c>
      <c r="AB824" s="640" t="str">
        <f t="shared" si="78"/>
        <v/>
      </c>
      <c r="AD824" s="890" t="str">
        <f t="shared" si="79"/>
        <v/>
      </c>
      <c r="AE824" s="890" t="str">
        <f t="shared" si="80"/>
        <v/>
      </c>
      <c r="AF824" s="890" t="str">
        <f t="shared" si="81"/>
        <v/>
      </c>
      <c r="AG824" s="192">
        <f t="shared" si="77"/>
        <v>0</v>
      </c>
    </row>
    <row r="825" spans="27:33" x14ac:dyDescent="0.25">
      <c r="AA825" s="640" t="str">
        <f t="shared" si="76"/>
        <v/>
      </c>
      <c r="AB825" s="640" t="str">
        <f t="shared" si="78"/>
        <v/>
      </c>
      <c r="AD825" s="890" t="str">
        <f t="shared" si="79"/>
        <v/>
      </c>
      <c r="AE825" s="890" t="str">
        <f t="shared" si="80"/>
        <v/>
      </c>
      <c r="AF825" s="890" t="str">
        <f t="shared" si="81"/>
        <v/>
      </c>
      <c r="AG825" s="192">
        <f t="shared" si="77"/>
        <v>0</v>
      </c>
    </row>
    <row r="826" spans="27:33" x14ac:dyDescent="0.25">
      <c r="AA826" s="640" t="str">
        <f t="shared" si="76"/>
        <v/>
      </c>
      <c r="AB826" s="640" t="str">
        <f t="shared" si="78"/>
        <v/>
      </c>
      <c r="AD826" s="890" t="str">
        <f t="shared" si="79"/>
        <v/>
      </c>
      <c r="AE826" s="890" t="str">
        <f t="shared" si="80"/>
        <v/>
      </c>
      <c r="AF826" s="890" t="str">
        <f t="shared" si="81"/>
        <v/>
      </c>
      <c r="AG826" s="192">
        <f t="shared" si="77"/>
        <v>0</v>
      </c>
    </row>
    <row r="827" spans="27:33" x14ac:dyDescent="0.25">
      <c r="AA827" s="640" t="str">
        <f t="shared" si="76"/>
        <v/>
      </c>
      <c r="AB827" s="640" t="str">
        <f t="shared" si="78"/>
        <v/>
      </c>
      <c r="AD827" s="890" t="str">
        <f t="shared" si="79"/>
        <v/>
      </c>
      <c r="AE827" s="890" t="str">
        <f t="shared" si="80"/>
        <v/>
      </c>
      <c r="AF827" s="890" t="str">
        <f t="shared" si="81"/>
        <v/>
      </c>
      <c r="AG827" s="192">
        <f t="shared" si="77"/>
        <v>0</v>
      </c>
    </row>
    <row r="828" spans="27:33" x14ac:dyDescent="0.25">
      <c r="AA828" s="640" t="str">
        <f t="shared" si="76"/>
        <v/>
      </c>
      <c r="AB828" s="640" t="str">
        <f t="shared" si="78"/>
        <v/>
      </c>
      <c r="AD828" s="890" t="str">
        <f t="shared" si="79"/>
        <v/>
      </c>
      <c r="AE828" s="890" t="str">
        <f t="shared" si="80"/>
        <v/>
      </c>
      <c r="AF828" s="890" t="str">
        <f t="shared" si="81"/>
        <v/>
      </c>
      <c r="AG828" s="192">
        <f t="shared" si="77"/>
        <v>0</v>
      </c>
    </row>
    <row r="829" spans="27:33" x14ac:dyDescent="0.25">
      <c r="AA829" s="640" t="str">
        <f t="shared" si="76"/>
        <v/>
      </c>
      <c r="AB829" s="640" t="str">
        <f t="shared" si="78"/>
        <v/>
      </c>
      <c r="AD829" s="890" t="str">
        <f t="shared" si="79"/>
        <v/>
      </c>
      <c r="AE829" s="890" t="str">
        <f t="shared" si="80"/>
        <v/>
      </c>
      <c r="AF829" s="890" t="str">
        <f t="shared" si="81"/>
        <v/>
      </c>
      <c r="AG829" s="192">
        <f t="shared" si="77"/>
        <v>0</v>
      </c>
    </row>
    <row r="830" spans="27:33" x14ac:dyDescent="0.25">
      <c r="AA830" s="640" t="str">
        <f t="shared" si="76"/>
        <v/>
      </c>
      <c r="AB830" s="640" t="str">
        <f t="shared" si="78"/>
        <v/>
      </c>
      <c r="AD830" s="890" t="str">
        <f t="shared" si="79"/>
        <v/>
      </c>
      <c r="AE830" s="890" t="str">
        <f t="shared" si="80"/>
        <v/>
      </c>
      <c r="AF830" s="890" t="str">
        <f t="shared" si="81"/>
        <v/>
      </c>
      <c r="AG830" s="192">
        <f t="shared" si="77"/>
        <v>0</v>
      </c>
    </row>
    <row r="831" spans="27:33" x14ac:dyDescent="0.25">
      <c r="AA831" s="640" t="str">
        <f t="shared" si="76"/>
        <v/>
      </c>
      <c r="AB831" s="640" t="str">
        <f t="shared" si="78"/>
        <v/>
      </c>
      <c r="AD831" s="890" t="str">
        <f t="shared" si="79"/>
        <v/>
      </c>
      <c r="AE831" s="890" t="str">
        <f t="shared" si="80"/>
        <v/>
      </c>
      <c r="AF831" s="890" t="str">
        <f t="shared" si="81"/>
        <v/>
      </c>
      <c r="AG831" s="192">
        <f t="shared" si="77"/>
        <v>0</v>
      </c>
    </row>
    <row r="832" spans="27:33" x14ac:dyDescent="0.25">
      <c r="AA832" s="640" t="str">
        <f t="shared" si="76"/>
        <v/>
      </c>
      <c r="AB832" s="640" t="str">
        <f t="shared" si="78"/>
        <v/>
      </c>
      <c r="AD832" s="890" t="str">
        <f t="shared" si="79"/>
        <v/>
      </c>
      <c r="AE832" s="890" t="str">
        <f t="shared" si="80"/>
        <v/>
      </c>
      <c r="AF832" s="890" t="str">
        <f t="shared" si="81"/>
        <v/>
      </c>
      <c r="AG832" s="192">
        <f t="shared" si="77"/>
        <v>0</v>
      </c>
    </row>
    <row r="833" spans="27:33" x14ac:dyDescent="0.25">
      <c r="AA833" s="640" t="str">
        <f t="shared" si="76"/>
        <v/>
      </c>
      <c r="AB833" s="640" t="str">
        <f t="shared" si="78"/>
        <v/>
      </c>
      <c r="AD833" s="890" t="str">
        <f t="shared" si="79"/>
        <v/>
      </c>
      <c r="AE833" s="890" t="str">
        <f t="shared" si="80"/>
        <v/>
      </c>
      <c r="AF833" s="890" t="str">
        <f t="shared" si="81"/>
        <v/>
      </c>
      <c r="AG833" s="192">
        <f t="shared" si="77"/>
        <v>0</v>
      </c>
    </row>
    <row r="834" spans="27:33" x14ac:dyDescent="0.25">
      <c r="AA834" s="640" t="str">
        <f t="shared" si="76"/>
        <v/>
      </c>
      <c r="AB834" s="640" t="str">
        <f t="shared" si="78"/>
        <v/>
      </c>
      <c r="AD834" s="890" t="str">
        <f t="shared" si="79"/>
        <v/>
      </c>
      <c r="AE834" s="890" t="str">
        <f t="shared" si="80"/>
        <v/>
      </c>
      <c r="AF834" s="890" t="str">
        <f t="shared" si="81"/>
        <v/>
      </c>
      <c r="AG834" s="192">
        <f t="shared" si="77"/>
        <v>0</v>
      </c>
    </row>
    <row r="835" spans="27:33" x14ac:dyDescent="0.25">
      <c r="AA835" s="640" t="str">
        <f t="shared" si="76"/>
        <v/>
      </c>
      <c r="AB835" s="640" t="str">
        <f t="shared" si="78"/>
        <v/>
      </c>
      <c r="AD835" s="890" t="str">
        <f t="shared" si="79"/>
        <v/>
      </c>
      <c r="AE835" s="890" t="str">
        <f t="shared" si="80"/>
        <v/>
      </c>
      <c r="AF835" s="890" t="str">
        <f t="shared" si="81"/>
        <v/>
      </c>
      <c r="AG835" s="192">
        <f t="shared" si="77"/>
        <v>0</v>
      </c>
    </row>
    <row r="836" spans="27:33" x14ac:dyDescent="0.25">
      <c r="AA836" s="640" t="str">
        <f t="shared" si="76"/>
        <v/>
      </c>
      <c r="AB836" s="640" t="str">
        <f t="shared" si="78"/>
        <v/>
      </c>
      <c r="AD836" s="890" t="str">
        <f t="shared" si="79"/>
        <v/>
      </c>
      <c r="AE836" s="890" t="str">
        <f t="shared" si="80"/>
        <v/>
      </c>
      <c r="AF836" s="890" t="str">
        <f t="shared" si="81"/>
        <v/>
      </c>
      <c r="AG836" s="192">
        <f t="shared" si="77"/>
        <v>0</v>
      </c>
    </row>
    <row r="837" spans="27:33" x14ac:dyDescent="0.25">
      <c r="AA837" s="640" t="str">
        <f t="shared" si="76"/>
        <v/>
      </c>
      <c r="AB837" s="640" t="str">
        <f t="shared" si="78"/>
        <v/>
      </c>
      <c r="AD837" s="890" t="str">
        <f t="shared" si="79"/>
        <v/>
      </c>
      <c r="AE837" s="890" t="str">
        <f t="shared" si="80"/>
        <v/>
      </c>
      <c r="AF837" s="890" t="str">
        <f t="shared" si="81"/>
        <v/>
      </c>
      <c r="AG837" s="192">
        <f t="shared" si="77"/>
        <v>0</v>
      </c>
    </row>
    <row r="838" spans="27:33" x14ac:dyDescent="0.25">
      <c r="AA838" s="640" t="str">
        <f t="shared" si="76"/>
        <v/>
      </c>
      <c r="AB838" s="640" t="str">
        <f t="shared" si="78"/>
        <v/>
      </c>
      <c r="AD838" s="890" t="str">
        <f t="shared" si="79"/>
        <v/>
      </c>
      <c r="AE838" s="890" t="str">
        <f t="shared" si="80"/>
        <v/>
      </c>
      <c r="AF838" s="890" t="str">
        <f t="shared" si="81"/>
        <v/>
      </c>
      <c r="AG838" s="192">
        <f t="shared" si="77"/>
        <v>0</v>
      </c>
    </row>
    <row r="839" spans="27:33" x14ac:dyDescent="0.25">
      <c r="AA839" s="640" t="str">
        <f t="shared" ref="AA839:AA902" si="82">IF(G839=0, IF(OR(H839&gt;0,F839&gt;0),C839*F839,""),"")</f>
        <v/>
      </c>
      <c r="AB839" s="640" t="str">
        <f t="shared" si="78"/>
        <v/>
      </c>
      <c r="AD839" s="890" t="str">
        <f t="shared" si="79"/>
        <v/>
      </c>
      <c r="AE839" s="890" t="str">
        <f t="shared" si="80"/>
        <v/>
      </c>
      <c r="AF839" s="890" t="str">
        <f t="shared" si="81"/>
        <v/>
      </c>
      <c r="AG839" s="192">
        <f t="shared" ref="AG839:AG902" si="83">(C839*G839)+(C839*H839)+(C839*I839)</f>
        <v>0</v>
      </c>
    </row>
    <row r="840" spans="27:33" x14ac:dyDescent="0.25">
      <c r="AA840" s="640" t="str">
        <f t="shared" si="82"/>
        <v/>
      </c>
      <c r="AB840" s="640" t="str">
        <f t="shared" ref="AB840:AB903" si="84">IF(G840&gt;=1,IF(F840&gt;1,C840*(F840-2),""),"")</f>
        <v/>
      </c>
      <c r="AD840" s="890" t="str">
        <f t="shared" ref="AD840:AD903" si="85">IF(E840="YES",IF(G840=1,"",""),IF(G840=1,C840,IF(G840=2,C840,IF(G840=0,"",""))))</f>
        <v/>
      </c>
      <c r="AE840" s="890" t="str">
        <f t="shared" ref="AE840:AE903" si="86">IF(E840="YES",IF(G840=1,"",IF(H840=1,C840,"")),IF(H840=1,C840,IF(H840=2,C840,IF(H840=0,"",""))))</f>
        <v/>
      </c>
      <c r="AF840" s="890" t="str">
        <f t="shared" ref="AF840:AF903" si="87">IF(E840="YES",IF(I840=1,C840,""),IF(I840=1,C840,IF(I840=2,C840,IF(I840=0,"",""))))</f>
        <v/>
      </c>
      <c r="AG840" s="192">
        <f t="shared" si="83"/>
        <v>0</v>
      </c>
    </row>
    <row r="841" spans="27:33" x14ac:dyDescent="0.25">
      <c r="AA841" s="640" t="str">
        <f t="shared" si="82"/>
        <v/>
      </c>
      <c r="AB841" s="640" t="str">
        <f t="shared" si="84"/>
        <v/>
      </c>
      <c r="AD841" s="890" t="str">
        <f t="shared" si="85"/>
        <v/>
      </c>
      <c r="AE841" s="890" t="str">
        <f t="shared" si="86"/>
        <v/>
      </c>
      <c r="AF841" s="890" t="str">
        <f t="shared" si="87"/>
        <v/>
      </c>
      <c r="AG841" s="192">
        <f t="shared" si="83"/>
        <v>0</v>
      </c>
    </row>
    <row r="842" spans="27:33" x14ac:dyDescent="0.25">
      <c r="AA842" s="640" t="str">
        <f t="shared" si="82"/>
        <v/>
      </c>
      <c r="AB842" s="640" t="str">
        <f t="shared" si="84"/>
        <v/>
      </c>
      <c r="AD842" s="890" t="str">
        <f t="shared" si="85"/>
        <v/>
      </c>
      <c r="AE842" s="890" t="str">
        <f t="shared" si="86"/>
        <v/>
      </c>
      <c r="AF842" s="890" t="str">
        <f t="shared" si="87"/>
        <v/>
      </c>
      <c r="AG842" s="192">
        <f t="shared" si="83"/>
        <v>0</v>
      </c>
    </row>
    <row r="843" spans="27:33" x14ac:dyDescent="0.25">
      <c r="AA843" s="640" t="str">
        <f t="shared" si="82"/>
        <v/>
      </c>
      <c r="AB843" s="640" t="str">
        <f t="shared" si="84"/>
        <v/>
      </c>
      <c r="AD843" s="890" t="str">
        <f t="shared" si="85"/>
        <v/>
      </c>
      <c r="AE843" s="890" t="str">
        <f t="shared" si="86"/>
        <v/>
      </c>
      <c r="AF843" s="890" t="str">
        <f t="shared" si="87"/>
        <v/>
      </c>
      <c r="AG843" s="192">
        <f t="shared" si="83"/>
        <v>0</v>
      </c>
    </row>
    <row r="844" spans="27:33" x14ac:dyDescent="0.25">
      <c r="AA844" s="640" t="str">
        <f t="shared" si="82"/>
        <v/>
      </c>
      <c r="AB844" s="640" t="str">
        <f t="shared" si="84"/>
        <v/>
      </c>
      <c r="AD844" s="890" t="str">
        <f t="shared" si="85"/>
        <v/>
      </c>
      <c r="AE844" s="890" t="str">
        <f t="shared" si="86"/>
        <v/>
      </c>
      <c r="AF844" s="890" t="str">
        <f t="shared" si="87"/>
        <v/>
      </c>
      <c r="AG844" s="192">
        <f t="shared" si="83"/>
        <v>0</v>
      </c>
    </row>
    <row r="845" spans="27:33" x14ac:dyDescent="0.25">
      <c r="AA845" s="640" t="str">
        <f t="shared" si="82"/>
        <v/>
      </c>
      <c r="AB845" s="640" t="str">
        <f t="shared" si="84"/>
        <v/>
      </c>
      <c r="AD845" s="890" t="str">
        <f t="shared" si="85"/>
        <v/>
      </c>
      <c r="AE845" s="890" t="str">
        <f t="shared" si="86"/>
        <v/>
      </c>
      <c r="AF845" s="890" t="str">
        <f t="shared" si="87"/>
        <v/>
      </c>
      <c r="AG845" s="192">
        <f t="shared" si="83"/>
        <v>0</v>
      </c>
    </row>
    <row r="846" spans="27:33" x14ac:dyDescent="0.25">
      <c r="AA846" s="640" t="str">
        <f t="shared" si="82"/>
        <v/>
      </c>
      <c r="AB846" s="640" t="str">
        <f t="shared" si="84"/>
        <v/>
      </c>
      <c r="AD846" s="890" t="str">
        <f t="shared" si="85"/>
        <v/>
      </c>
      <c r="AE846" s="890" t="str">
        <f t="shared" si="86"/>
        <v/>
      </c>
      <c r="AF846" s="890" t="str">
        <f t="shared" si="87"/>
        <v/>
      </c>
      <c r="AG846" s="192">
        <f t="shared" si="83"/>
        <v>0</v>
      </c>
    </row>
    <row r="847" spans="27:33" x14ac:dyDescent="0.25">
      <c r="AA847" s="640" t="str">
        <f t="shared" si="82"/>
        <v/>
      </c>
      <c r="AB847" s="640" t="str">
        <f t="shared" si="84"/>
        <v/>
      </c>
      <c r="AD847" s="890" t="str">
        <f t="shared" si="85"/>
        <v/>
      </c>
      <c r="AE847" s="890" t="str">
        <f t="shared" si="86"/>
        <v/>
      </c>
      <c r="AF847" s="890" t="str">
        <f t="shared" si="87"/>
        <v/>
      </c>
      <c r="AG847" s="192">
        <f t="shared" si="83"/>
        <v>0</v>
      </c>
    </row>
    <row r="848" spans="27:33" x14ac:dyDescent="0.25">
      <c r="AA848" s="640" t="str">
        <f t="shared" si="82"/>
        <v/>
      </c>
      <c r="AB848" s="640" t="str">
        <f t="shared" si="84"/>
        <v/>
      </c>
      <c r="AD848" s="890" t="str">
        <f t="shared" si="85"/>
        <v/>
      </c>
      <c r="AE848" s="890" t="str">
        <f t="shared" si="86"/>
        <v/>
      </c>
      <c r="AF848" s="890" t="str">
        <f t="shared" si="87"/>
        <v/>
      </c>
      <c r="AG848" s="192">
        <f t="shared" si="83"/>
        <v>0</v>
      </c>
    </row>
    <row r="849" spans="27:33" x14ac:dyDescent="0.25">
      <c r="AA849" s="640" t="str">
        <f t="shared" si="82"/>
        <v/>
      </c>
      <c r="AB849" s="640" t="str">
        <f t="shared" si="84"/>
        <v/>
      </c>
      <c r="AD849" s="890" t="str">
        <f t="shared" si="85"/>
        <v/>
      </c>
      <c r="AE849" s="890" t="str">
        <f t="shared" si="86"/>
        <v/>
      </c>
      <c r="AF849" s="890" t="str">
        <f t="shared" si="87"/>
        <v/>
      </c>
      <c r="AG849" s="192">
        <f t="shared" si="83"/>
        <v>0</v>
      </c>
    </row>
    <row r="850" spans="27:33" x14ac:dyDescent="0.25">
      <c r="AA850" s="640" t="str">
        <f t="shared" si="82"/>
        <v/>
      </c>
      <c r="AB850" s="640" t="str">
        <f t="shared" si="84"/>
        <v/>
      </c>
      <c r="AD850" s="890" t="str">
        <f t="shared" si="85"/>
        <v/>
      </c>
      <c r="AE850" s="890" t="str">
        <f t="shared" si="86"/>
        <v/>
      </c>
      <c r="AF850" s="890" t="str">
        <f t="shared" si="87"/>
        <v/>
      </c>
      <c r="AG850" s="192">
        <f t="shared" si="83"/>
        <v>0</v>
      </c>
    </row>
    <row r="851" spans="27:33" x14ac:dyDescent="0.25">
      <c r="AA851" s="640" t="str">
        <f t="shared" si="82"/>
        <v/>
      </c>
      <c r="AB851" s="640" t="str">
        <f t="shared" si="84"/>
        <v/>
      </c>
      <c r="AD851" s="890" t="str">
        <f t="shared" si="85"/>
        <v/>
      </c>
      <c r="AE851" s="890" t="str">
        <f t="shared" si="86"/>
        <v/>
      </c>
      <c r="AF851" s="890" t="str">
        <f t="shared" si="87"/>
        <v/>
      </c>
      <c r="AG851" s="192">
        <f t="shared" si="83"/>
        <v>0</v>
      </c>
    </row>
    <row r="852" spans="27:33" x14ac:dyDescent="0.25">
      <c r="AA852" s="640" t="str">
        <f t="shared" si="82"/>
        <v/>
      </c>
      <c r="AB852" s="640" t="str">
        <f t="shared" si="84"/>
        <v/>
      </c>
      <c r="AD852" s="890" t="str">
        <f t="shared" si="85"/>
        <v/>
      </c>
      <c r="AE852" s="890" t="str">
        <f t="shared" si="86"/>
        <v/>
      </c>
      <c r="AF852" s="890" t="str">
        <f t="shared" si="87"/>
        <v/>
      </c>
      <c r="AG852" s="192">
        <f t="shared" si="83"/>
        <v>0</v>
      </c>
    </row>
    <row r="853" spans="27:33" x14ac:dyDescent="0.25">
      <c r="AA853" s="640" t="str">
        <f t="shared" si="82"/>
        <v/>
      </c>
      <c r="AB853" s="640" t="str">
        <f t="shared" si="84"/>
        <v/>
      </c>
      <c r="AD853" s="890" t="str">
        <f t="shared" si="85"/>
        <v/>
      </c>
      <c r="AE853" s="890" t="str">
        <f t="shared" si="86"/>
        <v/>
      </c>
      <c r="AF853" s="890" t="str">
        <f t="shared" si="87"/>
        <v/>
      </c>
      <c r="AG853" s="192">
        <f t="shared" si="83"/>
        <v>0</v>
      </c>
    </row>
    <row r="854" spans="27:33" x14ac:dyDescent="0.25">
      <c r="AA854" s="640" t="str">
        <f t="shared" si="82"/>
        <v/>
      </c>
      <c r="AB854" s="640" t="str">
        <f t="shared" si="84"/>
        <v/>
      </c>
      <c r="AD854" s="890" t="str">
        <f t="shared" si="85"/>
        <v/>
      </c>
      <c r="AE854" s="890" t="str">
        <f t="shared" si="86"/>
        <v/>
      </c>
      <c r="AF854" s="890" t="str">
        <f t="shared" si="87"/>
        <v/>
      </c>
      <c r="AG854" s="192">
        <f t="shared" si="83"/>
        <v>0</v>
      </c>
    </row>
    <row r="855" spans="27:33" x14ac:dyDescent="0.25">
      <c r="AA855" s="640" t="str">
        <f t="shared" si="82"/>
        <v/>
      </c>
      <c r="AB855" s="640" t="str">
        <f t="shared" si="84"/>
        <v/>
      </c>
      <c r="AD855" s="890" t="str">
        <f t="shared" si="85"/>
        <v/>
      </c>
      <c r="AE855" s="890" t="str">
        <f t="shared" si="86"/>
        <v/>
      </c>
      <c r="AF855" s="890" t="str">
        <f t="shared" si="87"/>
        <v/>
      </c>
      <c r="AG855" s="192">
        <f t="shared" si="83"/>
        <v>0</v>
      </c>
    </row>
    <row r="856" spans="27:33" x14ac:dyDescent="0.25">
      <c r="AA856" s="640" t="str">
        <f t="shared" si="82"/>
        <v/>
      </c>
      <c r="AB856" s="640" t="str">
        <f t="shared" si="84"/>
        <v/>
      </c>
      <c r="AD856" s="890" t="str">
        <f t="shared" si="85"/>
        <v/>
      </c>
      <c r="AE856" s="890" t="str">
        <f t="shared" si="86"/>
        <v/>
      </c>
      <c r="AF856" s="890" t="str">
        <f t="shared" si="87"/>
        <v/>
      </c>
      <c r="AG856" s="192">
        <f t="shared" si="83"/>
        <v>0</v>
      </c>
    </row>
    <row r="857" spans="27:33" x14ac:dyDescent="0.25">
      <c r="AA857" s="640" t="str">
        <f t="shared" si="82"/>
        <v/>
      </c>
      <c r="AB857" s="640" t="str">
        <f t="shared" si="84"/>
        <v/>
      </c>
      <c r="AD857" s="890" t="str">
        <f t="shared" si="85"/>
        <v/>
      </c>
      <c r="AE857" s="890" t="str">
        <f t="shared" si="86"/>
        <v/>
      </c>
      <c r="AF857" s="890" t="str">
        <f t="shared" si="87"/>
        <v/>
      </c>
      <c r="AG857" s="192">
        <f t="shared" si="83"/>
        <v>0</v>
      </c>
    </row>
    <row r="858" spans="27:33" x14ac:dyDescent="0.25">
      <c r="AA858" s="640" t="str">
        <f t="shared" si="82"/>
        <v/>
      </c>
      <c r="AB858" s="640" t="str">
        <f t="shared" si="84"/>
        <v/>
      </c>
      <c r="AD858" s="890" t="str">
        <f t="shared" si="85"/>
        <v/>
      </c>
      <c r="AE858" s="890" t="str">
        <f t="shared" si="86"/>
        <v/>
      </c>
      <c r="AF858" s="890" t="str">
        <f t="shared" si="87"/>
        <v/>
      </c>
      <c r="AG858" s="192">
        <f t="shared" si="83"/>
        <v>0</v>
      </c>
    </row>
    <row r="859" spans="27:33" x14ac:dyDescent="0.25">
      <c r="AA859" s="640" t="str">
        <f t="shared" si="82"/>
        <v/>
      </c>
      <c r="AB859" s="640" t="str">
        <f t="shared" si="84"/>
        <v/>
      </c>
      <c r="AD859" s="890" t="str">
        <f t="shared" si="85"/>
        <v/>
      </c>
      <c r="AE859" s="890" t="str">
        <f t="shared" si="86"/>
        <v/>
      </c>
      <c r="AF859" s="890" t="str">
        <f t="shared" si="87"/>
        <v/>
      </c>
      <c r="AG859" s="192">
        <f t="shared" si="83"/>
        <v>0</v>
      </c>
    </row>
    <row r="860" spans="27:33" x14ac:dyDescent="0.25">
      <c r="AA860" s="640" t="str">
        <f t="shared" si="82"/>
        <v/>
      </c>
      <c r="AB860" s="640" t="str">
        <f t="shared" si="84"/>
        <v/>
      </c>
      <c r="AD860" s="890" t="str">
        <f t="shared" si="85"/>
        <v/>
      </c>
      <c r="AE860" s="890" t="str">
        <f t="shared" si="86"/>
        <v/>
      </c>
      <c r="AF860" s="890" t="str">
        <f t="shared" si="87"/>
        <v/>
      </c>
      <c r="AG860" s="192">
        <f t="shared" si="83"/>
        <v>0</v>
      </c>
    </row>
    <row r="861" spans="27:33" x14ac:dyDescent="0.25">
      <c r="AA861" s="640" t="str">
        <f t="shared" si="82"/>
        <v/>
      </c>
      <c r="AB861" s="640" t="str">
        <f t="shared" si="84"/>
        <v/>
      </c>
      <c r="AD861" s="890" t="str">
        <f t="shared" si="85"/>
        <v/>
      </c>
      <c r="AE861" s="890" t="str">
        <f t="shared" si="86"/>
        <v/>
      </c>
      <c r="AF861" s="890" t="str">
        <f t="shared" si="87"/>
        <v/>
      </c>
      <c r="AG861" s="192">
        <f t="shared" si="83"/>
        <v>0</v>
      </c>
    </row>
    <row r="862" spans="27:33" x14ac:dyDescent="0.25">
      <c r="AA862" s="640" t="str">
        <f t="shared" si="82"/>
        <v/>
      </c>
      <c r="AB862" s="640" t="str">
        <f t="shared" si="84"/>
        <v/>
      </c>
      <c r="AD862" s="890" t="str">
        <f t="shared" si="85"/>
        <v/>
      </c>
      <c r="AE862" s="890" t="str">
        <f t="shared" si="86"/>
        <v/>
      </c>
      <c r="AF862" s="890" t="str">
        <f t="shared" si="87"/>
        <v/>
      </c>
      <c r="AG862" s="192">
        <f t="shared" si="83"/>
        <v>0</v>
      </c>
    </row>
    <row r="863" spans="27:33" x14ac:dyDescent="0.25">
      <c r="AA863" s="640" t="str">
        <f t="shared" si="82"/>
        <v/>
      </c>
      <c r="AB863" s="640" t="str">
        <f t="shared" si="84"/>
        <v/>
      </c>
      <c r="AD863" s="890" t="str">
        <f t="shared" si="85"/>
        <v/>
      </c>
      <c r="AE863" s="890" t="str">
        <f t="shared" si="86"/>
        <v/>
      </c>
      <c r="AF863" s="890" t="str">
        <f t="shared" si="87"/>
        <v/>
      </c>
      <c r="AG863" s="192">
        <f t="shared" si="83"/>
        <v>0</v>
      </c>
    </row>
    <row r="864" spans="27:33" x14ac:dyDescent="0.25">
      <c r="AA864" s="640" t="str">
        <f t="shared" si="82"/>
        <v/>
      </c>
      <c r="AB864" s="640" t="str">
        <f t="shared" si="84"/>
        <v/>
      </c>
      <c r="AD864" s="890" t="str">
        <f t="shared" si="85"/>
        <v/>
      </c>
      <c r="AE864" s="890" t="str">
        <f t="shared" si="86"/>
        <v/>
      </c>
      <c r="AF864" s="890" t="str">
        <f t="shared" si="87"/>
        <v/>
      </c>
      <c r="AG864" s="192">
        <f t="shared" si="83"/>
        <v>0</v>
      </c>
    </row>
    <row r="865" spans="27:33" x14ac:dyDescent="0.25">
      <c r="AA865" s="640" t="str">
        <f t="shared" si="82"/>
        <v/>
      </c>
      <c r="AB865" s="640" t="str">
        <f t="shared" si="84"/>
        <v/>
      </c>
      <c r="AD865" s="890" t="str">
        <f t="shared" si="85"/>
        <v/>
      </c>
      <c r="AE865" s="890" t="str">
        <f t="shared" si="86"/>
        <v/>
      </c>
      <c r="AF865" s="890" t="str">
        <f t="shared" si="87"/>
        <v/>
      </c>
      <c r="AG865" s="192">
        <f t="shared" si="83"/>
        <v>0</v>
      </c>
    </row>
    <row r="866" spans="27:33" x14ac:dyDescent="0.25">
      <c r="AA866" s="640" t="str">
        <f t="shared" si="82"/>
        <v/>
      </c>
      <c r="AB866" s="640" t="str">
        <f t="shared" si="84"/>
        <v/>
      </c>
      <c r="AD866" s="890" t="str">
        <f t="shared" si="85"/>
        <v/>
      </c>
      <c r="AE866" s="890" t="str">
        <f t="shared" si="86"/>
        <v/>
      </c>
      <c r="AF866" s="890" t="str">
        <f t="shared" si="87"/>
        <v/>
      </c>
      <c r="AG866" s="192">
        <f t="shared" si="83"/>
        <v>0</v>
      </c>
    </row>
    <row r="867" spans="27:33" x14ac:dyDescent="0.25">
      <c r="AA867" s="640" t="str">
        <f t="shared" si="82"/>
        <v/>
      </c>
      <c r="AB867" s="640" t="str">
        <f t="shared" si="84"/>
        <v/>
      </c>
      <c r="AD867" s="890" t="str">
        <f t="shared" si="85"/>
        <v/>
      </c>
      <c r="AE867" s="890" t="str">
        <f t="shared" si="86"/>
        <v/>
      </c>
      <c r="AF867" s="890" t="str">
        <f t="shared" si="87"/>
        <v/>
      </c>
      <c r="AG867" s="192">
        <f t="shared" si="83"/>
        <v>0</v>
      </c>
    </row>
    <row r="868" spans="27:33" x14ac:dyDescent="0.25">
      <c r="AA868" s="640" t="str">
        <f t="shared" si="82"/>
        <v/>
      </c>
      <c r="AB868" s="640" t="str">
        <f t="shared" si="84"/>
        <v/>
      </c>
      <c r="AD868" s="890" t="str">
        <f t="shared" si="85"/>
        <v/>
      </c>
      <c r="AE868" s="890" t="str">
        <f t="shared" si="86"/>
        <v/>
      </c>
      <c r="AF868" s="890" t="str">
        <f t="shared" si="87"/>
        <v/>
      </c>
      <c r="AG868" s="192">
        <f t="shared" si="83"/>
        <v>0</v>
      </c>
    </row>
    <row r="869" spans="27:33" x14ac:dyDescent="0.25">
      <c r="AA869" s="640" t="str">
        <f t="shared" si="82"/>
        <v/>
      </c>
      <c r="AB869" s="640" t="str">
        <f t="shared" si="84"/>
        <v/>
      </c>
      <c r="AD869" s="890" t="str">
        <f t="shared" si="85"/>
        <v/>
      </c>
      <c r="AE869" s="890" t="str">
        <f t="shared" si="86"/>
        <v/>
      </c>
      <c r="AF869" s="890" t="str">
        <f t="shared" si="87"/>
        <v/>
      </c>
      <c r="AG869" s="192">
        <f t="shared" si="83"/>
        <v>0</v>
      </c>
    </row>
    <row r="870" spans="27:33" x14ac:dyDescent="0.25">
      <c r="AA870" s="640" t="str">
        <f t="shared" si="82"/>
        <v/>
      </c>
      <c r="AB870" s="640" t="str">
        <f t="shared" si="84"/>
        <v/>
      </c>
      <c r="AD870" s="890" t="str">
        <f t="shared" si="85"/>
        <v/>
      </c>
      <c r="AE870" s="890" t="str">
        <f t="shared" si="86"/>
        <v/>
      </c>
      <c r="AF870" s="890" t="str">
        <f t="shared" si="87"/>
        <v/>
      </c>
      <c r="AG870" s="192">
        <f t="shared" si="83"/>
        <v>0</v>
      </c>
    </row>
    <row r="871" spans="27:33" x14ac:dyDescent="0.25">
      <c r="AA871" s="640" t="str">
        <f t="shared" si="82"/>
        <v/>
      </c>
      <c r="AB871" s="640" t="str">
        <f t="shared" si="84"/>
        <v/>
      </c>
      <c r="AD871" s="890" t="str">
        <f t="shared" si="85"/>
        <v/>
      </c>
      <c r="AE871" s="890" t="str">
        <f t="shared" si="86"/>
        <v/>
      </c>
      <c r="AF871" s="890" t="str">
        <f t="shared" si="87"/>
        <v/>
      </c>
      <c r="AG871" s="192">
        <f t="shared" si="83"/>
        <v>0</v>
      </c>
    </row>
    <row r="872" spans="27:33" x14ac:dyDescent="0.25">
      <c r="AA872" s="640" t="str">
        <f t="shared" si="82"/>
        <v/>
      </c>
      <c r="AB872" s="640" t="str">
        <f t="shared" si="84"/>
        <v/>
      </c>
      <c r="AD872" s="890" t="str">
        <f t="shared" si="85"/>
        <v/>
      </c>
      <c r="AE872" s="890" t="str">
        <f t="shared" si="86"/>
        <v/>
      </c>
      <c r="AF872" s="890" t="str">
        <f t="shared" si="87"/>
        <v/>
      </c>
      <c r="AG872" s="192">
        <f t="shared" si="83"/>
        <v>0</v>
      </c>
    </row>
    <row r="873" spans="27:33" x14ac:dyDescent="0.25">
      <c r="AA873" s="640" t="str">
        <f t="shared" si="82"/>
        <v/>
      </c>
      <c r="AB873" s="640" t="str">
        <f t="shared" si="84"/>
        <v/>
      </c>
      <c r="AD873" s="890" t="str">
        <f t="shared" si="85"/>
        <v/>
      </c>
      <c r="AE873" s="890" t="str">
        <f t="shared" si="86"/>
        <v/>
      </c>
      <c r="AF873" s="890" t="str">
        <f t="shared" si="87"/>
        <v/>
      </c>
      <c r="AG873" s="192">
        <f t="shared" si="83"/>
        <v>0</v>
      </c>
    </row>
    <row r="874" spans="27:33" x14ac:dyDescent="0.25">
      <c r="AA874" s="640" t="str">
        <f t="shared" si="82"/>
        <v/>
      </c>
      <c r="AB874" s="640" t="str">
        <f t="shared" si="84"/>
        <v/>
      </c>
      <c r="AD874" s="890" t="str">
        <f t="shared" si="85"/>
        <v/>
      </c>
      <c r="AE874" s="890" t="str">
        <f t="shared" si="86"/>
        <v/>
      </c>
      <c r="AF874" s="890" t="str">
        <f t="shared" si="87"/>
        <v/>
      </c>
      <c r="AG874" s="192">
        <f t="shared" si="83"/>
        <v>0</v>
      </c>
    </row>
    <row r="875" spans="27:33" x14ac:dyDescent="0.25">
      <c r="AA875" s="640" t="str">
        <f t="shared" si="82"/>
        <v/>
      </c>
      <c r="AB875" s="640" t="str">
        <f t="shared" si="84"/>
        <v/>
      </c>
      <c r="AD875" s="890" t="str">
        <f t="shared" si="85"/>
        <v/>
      </c>
      <c r="AE875" s="890" t="str">
        <f t="shared" si="86"/>
        <v/>
      </c>
      <c r="AF875" s="890" t="str">
        <f t="shared" si="87"/>
        <v/>
      </c>
      <c r="AG875" s="192">
        <f t="shared" si="83"/>
        <v>0</v>
      </c>
    </row>
    <row r="876" spans="27:33" x14ac:dyDescent="0.25">
      <c r="AA876" s="640" t="str">
        <f t="shared" si="82"/>
        <v/>
      </c>
      <c r="AB876" s="640" t="str">
        <f t="shared" si="84"/>
        <v/>
      </c>
      <c r="AD876" s="890" t="str">
        <f t="shared" si="85"/>
        <v/>
      </c>
      <c r="AE876" s="890" t="str">
        <f t="shared" si="86"/>
        <v/>
      </c>
      <c r="AF876" s="890" t="str">
        <f t="shared" si="87"/>
        <v/>
      </c>
      <c r="AG876" s="192">
        <f t="shared" si="83"/>
        <v>0</v>
      </c>
    </row>
    <row r="877" spans="27:33" x14ac:dyDescent="0.25">
      <c r="AA877" s="640" t="str">
        <f t="shared" si="82"/>
        <v/>
      </c>
      <c r="AB877" s="640" t="str">
        <f t="shared" si="84"/>
        <v/>
      </c>
      <c r="AD877" s="890" t="str">
        <f t="shared" si="85"/>
        <v/>
      </c>
      <c r="AE877" s="890" t="str">
        <f t="shared" si="86"/>
        <v/>
      </c>
      <c r="AF877" s="890" t="str">
        <f t="shared" si="87"/>
        <v/>
      </c>
      <c r="AG877" s="192">
        <f t="shared" si="83"/>
        <v>0</v>
      </c>
    </row>
    <row r="878" spans="27:33" x14ac:dyDescent="0.25">
      <c r="AA878" s="640" t="str">
        <f t="shared" si="82"/>
        <v/>
      </c>
      <c r="AB878" s="640" t="str">
        <f t="shared" si="84"/>
        <v/>
      </c>
      <c r="AD878" s="890" t="str">
        <f t="shared" si="85"/>
        <v/>
      </c>
      <c r="AE878" s="890" t="str">
        <f t="shared" si="86"/>
        <v/>
      </c>
      <c r="AF878" s="890" t="str">
        <f t="shared" si="87"/>
        <v/>
      </c>
      <c r="AG878" s="192">
        <f t="shared" si="83"/>
        <v>0</v>
      </c>
    </row>
    <row r="879" spans="27:33" x14ac:dyDescent="0.25">
      <c r="AA879" s="640" t="str">
        <f t="shared" si="82"/>
        <v/>
      </c>
      <c r="AB879" s="640" t="str">
        <f t="shared" si="84"/>
        <v/>
      </c>
      <c r="AD879" s="890" t="str">
        <f t="shared" si="85"/>
        <v/>
      </c>
      <c r="AE879" s="890" t="str">
        <f t="shared" si="86"/>
        <v/>
      </c>
      <c r="AF879" s="890" t="str">
        <f t="shared" si="87"/>
        <v/>
      </c>
      <c r="AG879" s="192">
        <f t="shared" si="83"/>
        <v>0</v>
      </c>
    </row>
    <row r="880" spans="27:33" x14ac:dyDescent="0.25">
      <c r="AA880" s="640" t="str">
        <f t="shared" si="82"/>
        <v/>
      </c>
      <c r="AB880" s="640" t="str">
        <f t="shared" si="84"/>
        <v/>
      </c>
      <c r="AD880" s="890" t="str">
        <f t="shared" si="85"/>
        <v/>
      </c>
      <c r="AE880" s="890" t="str">
        <f t="shared" si="86"/>
        <v/>
      </c>
      <c r="AF880" s="890" t="str">
        <f t="shared" si="87"/>
        <v/>
      </c>
      <c r="AG880" s="192">
        <f t="shared" si="83"/>
        <v>0</v>
      </c>
    </row>
    <row r="881" spans="27:33" x14ac:dyDescent="0.25">
      <c r="AA881" s="640" t="str">
        <f t="shared" si="82"/>
        <v/>
      </c>
      <c r="AB881" s="640" t="str">
        <f t="shared" si="84"/>
        <v/>
      </c>
      <c r="AD881" s="890" t="str">
        <f t="shared" si="85"/>
        <v/>
      </c>
      <c r="AE881" s="890" t="str">
        <f t="shared" si="86"/>
        <v/>
      </c>
      <c r="AF881" s="890" t="str">
        <f t="shared" si="87"/>
        <v/>
      </c>
      <c r="AG881" s="192">
        <f t="shared" si="83"/>
        <v>0</v>
      </c>
    </row>
    <row r="882" spans="27:33" x14ac:dyDescent="0.25">
      <c r="AA882" s="640" t="str">
        <f t="shared" si="82"/>
        <v/>
      </c>
      <c r="AB882" s="640" t="str">
        <f t="shared" si="84"/>
        <v/>
      </c>
      <c r="AD882" s="890" t="str">
        <f t="shared" si="85"/>
        <v/>
      </c>
      <c r="AE882" s="890" t="str">
        <f t="shared" si="86"/>
        <v/>
      </c>
      <c r="AF882" s="890" t="str">
        <f t="shared" si="87"/>
        <v/>
      </c>
      <c r="AG882" s="192">
        <f t="shared" si="83"/>
        <v>0</v>
      </c>
    </row>
    <row r="883" spans="27:33" x14ac:dyDescent="0.25">
      <c r="AA883" s="640" t="str">
        <f t="shared" si="82"/>
        <v/>
      </c>
      <c r="AB883" s="640" t="str">
        <f t="shared" si="84"/>
        <v/>
      </c>
      <c r="AD883" s="890" t="str">
        <f t="shared" si="85"/>
        <v/>
      </c>
      <c r="AE883" s="890" t="str">
        <f t="shared" si="86"/>
        <v/>
      </c>
      <c r="AF883" s="890" t="str">
        <f t="shared" si="87"/>
        <v/>
      </c>
      <c r="AG883" s="192">
        <f t="shared" si="83"/>
        <v>0</v>
      </c>
    </row>
    <row r="884" spans="27:33" x14ac:dyDescent="0.25">
      <c r="AA884" s="640" t="str">
        <f t="shared" si="82"/>
        <v/>
      </c>
      <c r="AB884" s="640" t="str">
        <f t="shared" si="84"/>
        <v/>
      </c>
      <c r="AD884" s="890" t="str">
        <f t="shared" si="85"/>
        <v/>
      </c>
      <c r="AE884" s="890" t="str">
        <f t="shared" si="86"/>
        <v/>
      </c>
      <c r="AF884" s="890" t="str">
        <f t="shared" si="87"/>
        <v/>
      </c>
      <c r="AG884" s="192">
        <f t="shared" si="83"/>
        <v>0</v>
      </c>
    </row>
    <row r="885" spans="27:33" x14ac:dyDescent="0.25">
      <c r="AA885" s="640" t="str">
        <f t="shared" si="82"/>
        <v/>
      </c>
      <c r="AB885" s="640" t="str">
        <f t="shared" si="84"/>
        <v/>
      </c>
      <c r="AD885" s="890" t="str">
        <f t="shared" si="85"/>
        <v/>
      </c>
      <c r="AE885" s="890" t="str">
        <f t="shared" si="86"/>
        <v/>
      </c>
      <c r="AF885" s="890" t="str">
        <f t="shared" si="87"/>
        <v/>
      </c>
      <c r="AG885" s="192">
        <f t="shared" si="83"/>
        <v>0</v>
      </c>
    </row>
    <row r="886" spans="27:33" x14ac:dyDescent="0.25">
      <c r="AA886" s="640" t="str">
        <f t="shared" si="82"/>
        <v/>
      </c>
      <c r="AB886" s="640" t="str">
        <f t="shared" si="84"/>
        <v/>
      </c>
      <c r="AD886" s="890" t="str">
        <f t="shared" si="85"/>
        <v/>
      </c>
      <c r="AE886" s="890" t="str">
        <f t="shared" si="86"/>
        <v/>
      </c>
      <c r="AF886" s="890" t="str">
        <f t="shared" si="87"/>
        <v/>
      </c>
      <c r="AG886" s="192">
        <f t="shared" si="83"/>
        <v>0</v>
      </c>
    </row>
    <row r="887" spans="27:33" x14ac:dyDescent="0.25">
      <c r="AA887" s="640" t="str">
        <f t="shared" si="82"/>
        <v/>
      </c>
      <c r="AB887" s="640" t="str">
        <f t="shared" si="84"/>
        <v/>
      </c>
      <c r="AD887" s="890" t="str">
        <f t="shared" si="85"/>
        <v/>
      </c>
      <c r="AE887" s="890" t="str">
        <f t="shared" si="86"/>
        <v/>
      </c>
      <c r="AF887" s="890" t="str">
        <f t="shared" si="87"/>
        <v/>
      </c>
      <c r="AG887" s="192">
        <f t="shared" si="83"/>
        <v>0</v>
      </c>
    </row>
    <row r="888" spans="27:33" x14ac:dyDescent="0.25">
      <c r="AA888" s="640" t="str">
        <f t="shared" si="82"/>
        <v/>
      </c>
      <c r="AB888" s="640" t="str">
        <f t="shared" si="84"/>
        <v/>
      </c>
      <c r="AD888" s="890" t="str">
        <f t="shared" si="85"/>
        <v/>
      </c>
      <c r="AE888" s="890" t="str">
        <f t="shared" si="86"/>
        <v/>
      </c>
      <c r="AF888" s="890" t="str">
        <f t="shared" si="87"/>
        <v/>
      </c>
      <c r="AG888" s="192">
        <f t="shared" si="83"/>
        <v>0</v>
      </c>
    </row>
    <row r="889" spans="27:33" x14ac:dyDescent="0.25">
      <c r="AA889" s="640" t="str">
        <f t="shared" si="82"/>
        <v/>
      </c>
      <c r="AB889" s="640" t="str">
        <f t="shared" si="84"/>
        <v/>
      </c>
      <c r="AD889" s="890" t="str">
        <f t="shared" si="85"/>
        <v/>
      </c>
      <c r="AE889" s="890" t="str">
        <f t="shared" si="86"/>
        <v/>
      </c>
      <c r="AF889" s="890" t="str">
        <f t="shared" si="87"/>
        <v/>
      </c>
      <c r="AG889" s="192">
        <f t="shared" si="83"/>
        <v>0</v>
      </c>
    </row>
    <row r="890" spans="27:33" x14ac:dyDescent="0.25">
      <c r="AA890" s="640" t="str">
        <f t="shared" si="82"/>
        <v/>
      </c>
      <c r="AB890" s="640" t="str">
        <f t="shared" si="84"/>
        <v/>
      </c>
      <c r="AD890" s="890" t="str">
        <f t="shared" si="85"/>
        <v/>
      </c>
      <c r="AE890" s="890" t="str">
        <f t="shared" si="86"/>
        <v/>
      </c>
      <c r="AF890" s="890" t="str">
        <f t="shared" si="87"/>
        <v/>
      </c>
      <c r="AG890" s="192">
        <f t="shared" si="83"/>
        <v>0</v>
      </c>
    </row>
    <row r="891" spans="27:33" x14ac:dyDescent="0.25">
      <c r="AA891" s="640" t="str">
        <f t="shared" si="82"/>
        <v/>
      </c>
      <c r="AB891" s="640" t="str">
        <f t="shared" si="84"/>
        <v/>
      </c>
      <c r="AD891" s="890" t="str">
        <f t="shared" si="85"/>
        <v/>
      </c>
      <c r="AE891" s="890" t="str">
        <f t="shared" si="86"/>
        <v/>
      </c>
      <c r="AF891" s="890" t="str">
        <f t="shared" si="87"/>
        <v/>
      </c>
      <c r="AG891" s="192">
        <f t="shared" si="83"/>
        <v>0</v>
      </c>
    </row>
    <row r="892" spans="27:33" x14ac:dyDescent="0.25">
      <c r="AA892" s="640" t="str">
        <f t="shared" si="82"/>
        <v/>
      </c>
      <c r="AB892" s="640" t="str">
        <f t="shared" si="84"/>
        <v/>
      </c>
      <c r="AD892" s="890" t="str">
        <f t="shared" si="85"/>
        <v/>
      </c>
      <c r="AE892" s="890" t="str">
        <f t="shared" si="86"/>
        <v/>
      </c>
      <c r="AF892" s="890" t="str">
        <f t="shared" si="87"/>
        <v/>
      </c>
      <c r="AG892" s="192">
        <f t="shared" si="83"/>
        <v>0</v>
      </c>
    </row>
    <row r="893" spans="27:33" x14ac:dyDescent="0.25">
      <c r="AA893" s="640" t="str">
        <f t="shared" si="82"/>
        <v/>
      </c>
      <c r="AB893" s="640" t="str">
        <f t="shared" si="84"/>
        <v/>
      </c>
      <c r="AD893" s="890" t="str">
        <f t="shared" si="85"/>
        <v/>
      </c>
      <c r="AE893" s="890" t="str">
        <f t="shared" si="86"/>
        <v/>
      </c>
      <c r="AF893" s="890" t="str">
        <f t="shared" si="87"/>
        <v/>
      </c>
      <c r="AG893" s="192">
        <f t="shared" si="83"/>
        <v>0</v>
      </c>
    </row>
    <row r="894" spans="27:33" x14ac:dyDescent="0.25">
      <c r="AA894" s="640" t="str">
        <f t="shared" si="82"/>
        <v/>
      </c>
      <c r="AB894" s="640" t="str">
        <f t="shared" si="84"/>
        <v/>
      </c>
      <c r="AD894" s="890" t="str">
        <f t="shared" si="85"/>
        <v/>
      </c>
      <c r="AE894" s="890" t="str">
        <f t="shared" si="86"/>
        <v/>
      </c>
      <c r="AF894" s="890" t="str">
        <f t="shared" si="87"/>
        <v/>
      </c>
      <c r="AG894" s="192">
        <f t="shared" si="83"/>
        <v>0</v>
      </c>
    </row>
    <row r="895" spans="27:33" x14ac:dyDescent="0.25">
      <c r="AA895" s="640" t="str">
        <f t="shared" si="82"/>
        <v/>
      </c>
      <c r="AB895" s="640" t="str">
        <f t="shared" si="84"/>
        <v/>
      </c>
      <c r="AD895" s="890" t="str">
        <f t="shared" si="85"/>
        <v/>
      </c>
      <c r="AE895" s="890" t="str">
        <f t="shared" si="86"/>
        <v/>
      </c>
      <c r="AF895" s="890" t="str">
        <f t="shared" si="87"/>
        <v/>
      </c>
      <c r="AG895" s="192">
        <f t="shared" si="83"/>
        <v>0</v>
      </c>
    </row>
    <row r="896" spans="27:33" x14ac:dyDescent="0.25">
      <c r="AA896" s="640" t="str">
        <f t="shared" si="82"/>
        <v/>
      </c>
      <c r="AB896" s="640" t="str">
        <f t="shared" si="84"/>
        <v/>
      </c>
      <c r="AD896" s="890" t="str">
        <f t="shared" si="85"/>
        <v/>
      </c>
      <c r="AE896" s="890" t="str">
        <f t="shared" si="86"/>
        <v/>
      </c>
      <c r="AF896" s="890" t="str">
        <f t="shared" si="87"/>
        <v/>
      </c>
      <c r="AG896" s="192">
        <f t="shared" si="83"/>
        <v>0</v>
      </c>
    </row>
    <row r="897" spans="27:33" x14ac:dyDescent="0.25">
      <c r="AA897" s="640" t="str">
        <f t="shared" si="82"/>
        <v/>
      </c>
      <c r="AB897" s="640" t="str">
        <f t="shared" si="84"/>
        <v/>
      </c>
      <c r="AD897" s="890" t="str">
        <f t="shared" si="85"/>
        <v/>
      </c>
      <c r="AE897" s="890" t="str">
        <f t="shared" si="86"/>
        <v/>
      </c>
      <c r="AF897" s="890" t="str">
        <f t="shared" si="87"/>
        <v/>
      </c>
      <c r="AG897" s="192">
        <f t="shared" si="83"/>
        <v>0</v>
      </c>
    </row>
    <row r="898" spans="27:33" x14ac:dyDescent="0.25">
      <c r="AA898" s="640" t="str">
        <f t="shared" si="82"/>
        <v/>
      </c>
      <c r="AB898" s="640" t="str">
        <f t="shared" si="84"/>
        <v/>
      </c>
      <c r="AD898" s="890" t="str">
        <f t="shared" si="85"/>
        <v/>
      </c>
      <c r="AE898" s="890" t="str">
        <f t="shared" si="86"/>
        <v/>
      </c>
      <c r="AF898" s="890" t="str">
        <f t="shared" si="87"/>
        <v/>
      </c>
      <c r="AG898" s="192">
        <f t="shared" si="83"/>
        <v>0</v>
      </c>
    </row>
    <row r="899" spans="27:33" x14ac:dyDescent="0.25">
      <c r="AA899" s="640" t="str">
        <f t="shared" si="82"/>
        <v/>
      </c>
      <c r="AB899" s="640" t="str">
        <f t="shared" si="84"/>
        <v/>
      </c>
      <c r="AD899" s="890" t="str">
        <f t="shared" si="85"/>
        <v/>
      </c>
      <c r="AE899" s="890" t="str">
        <f t="shared" si="86"/>
        <v/>
      </c>
      <c r="AF899" s="890" t="str">
        <f t="shared" si="87"/>
        <v/>
      </c>
      <c r="AG899" s="192">
        <f t="shared" si="83"/>
        <v>0</v>
      </c>
    </row>
    <row r="900" spans="27:33" x14ac:dyDescent="0.25">
      <c r="AA900" s="640" t="str">
        <f t="shared" si="82"/>
        <v/>
      </c>
      <c r="AB900" s="640" t="str">
        <f t="shared" si="84"/>
        <v/>
      </c>
      <c r="AD900" s="890" t="str">
        <f t="shared" si="85"/>
        <v/>
      </c>
      <c r="AE900" s="890" t="str">
        <f t="shared" si="86"/>
        <v/>
      </c>
      <c r="AF900" s="890" t="str">
        <f t="shared" si="87"/>
        <v/>
      </c>
      <c r="AG900" s="192">
        <f t="shared" si="83"/>
        <v>0</v>
      </c>
    </row>
    <row r="901" spans="27:33" x14ac:dyDescent="0.25">
      <c r="AA901" s="640" t="str">
        <f t="shared" si="82"/>
        <v/>
      </c>
      <c r="AB901" s="640" t="str">
        <f t="shared" si="84"/>
        <v/>
      </c>
      <c r="AD901" s="890" t="str">
        <f t="shared" si="85"/>
        <v/>
      </c>
      <c r="AE901" s="890" t="str">
        <f t="shared" si="86"/>
        <v/>
      </c>
      <c r="AF901" s="890" t="str">
        <f t="shared" si="87"/>
        <v/>
      </c>
      <c r="AG901" s="192">
        <f t="shared" si="83"/>
        <v>0</v>
      </c>
    </row>
    <row r="902" spans="27:33" x14ac:dyDescent="0.25">
      <c r="AA902" s="640" t="str">
        <f t="shared" si="82"/>
        <v/>
      </c>
      <c r="AB902" s="640" t="str">
        <f t="shared" si="84"/>
        <v/>
      </c>
      <c r="AD902" s="890" t="str">
        <f t="shared" si="85"/>
        <v/>
      </c>
      <c r="AE902" s="890" t="str">
        <f t="shared" si="86"/>
        <v/>
      </c>
      <c r="AF902" s="890" t="str">
        <f t="shared" si="87"/>
        <v/>
      </c>
      <c r="AG902" s="192">
        <f t="shared" si="83"/>
        <v>0</v>
      </c>
    </row>
    <row r="903" spans="27:33" x14ac:dyDescent="0.25">
      <c r="AA903" s="640" t="str">
        <f t="shared" ref="AA903:AA966" si="88">IF(G903=0, IF(OR(H903&gt;0,F903&gt;0),C903*F903,""),"")</f>
        <v/>
      </c>
      <c r="AB903" s="640" t="str">
        <f t="shared" si="84"/>
        <v/>
      </c>
      <c r="AD903" s="890" t="str">
        <f t="shared" si="85"/>
        <v/>
      </c>
      <c r="AE903" s="890" t="str">
        <f t="shared" si="86"/>
        <v/>
      </c>
      <c r="AF903" s="890" t="str">
        <f t="shared" si="87"/>
        <v/>
      </c>
      <c r="AG903" s="192">
        <f t="shared" ref="AG903:AG966" si="89">(C903*G903)+(C903*H903)+(C903*I903)</f>
        <v>0</v>
      </c>
    </row>
    <row r="904" spans="27:33" x14ac:dyDescent="0.25">
      <c r="AA904" s="640" t="str">
        <f t="shared" si="88"/>
        <v/>
      </c>
      <c r="AB904" s="640" t="str">
        <f t="shared" ref="AB904:AB967" si="90">IF(G904&gt;=1,IF(F904&gt;1,C904*(F904-2),""),"")</f>
        <v/>
      </c>
      <c r="AD904" s="890" t="str">
        <f t="shared" ref="AD904:AD967" si="91">IF(E904="YES",IF(G904=1,"",""),IF(G904=1,C904,IF(G904=2,C904,IF(G904=0,"",""))))</f>
        <v/>
      </c>
      <c r="AE904" s="890" t="str">
        <f t="shared" ref="AE904:AE967" si="92">IF(E904="YES",IF(G904=1,"",IF(H904=1,C904,"")),IF(H904=1,C904,IF(H904=2,C904,IF(H904=0,"",""))))</f>
        <v/>
      </c>
      <c r="AF904" s="890" t="str">
        <f t="shared" ref="AF904:AF967" si="93">IF(E904="YES",IF(I904=1,C904,""),IF(I904=1,C904,IF(I904=2,C904,IF(I904=0,"",""))))</f>
        <v/>
      </c>
      <c r="AG904" s="192">
        <f t="shared" si="89"/>
        <v>0</v>
      </c>
    </row>
    <row r="905" spans="27:33" x14ac:dyDescent="0.25">
      <c r="AA905" s="640" t="str">
        <f t="shared" si="88"/>
        <v/>
      </c>
      <c r="AB905" s="640" t="str">
        <f t="shared" si="90"/>
        <v/>
      </c>
      <c r="AD905" s="890" t="str">
        <f t="shared" si="91"/>
        <v/>
      </c>
      <c r="AE905" s="890" t="str">
        <f t="shared" si="92"/>
        <v/>
      </c>
      <c r="AF905" s="890" t="str">
        <f t="shared" si="93"/>
        <v/>
      </c>
      <c r="AG905" s="192">
        <f t="shared" si="89"/>
        <v>0</v>
      </c>
    </row>
    <row r="906" spans="27:33" x14ac:dyDescent="0.25">
      <c r="AA906" s="640" t="str">
        <f t="shared" si="88"/>
        <v/>
      </c>
      <c r="AB906" s="640" t="str">
        <f t="shared" si="90"/>
        <v/>
      </c>
      <c r="AD906" s="890" t="str">
        <f t="shared" si="91"/>
        <v/>
      </c>
      <c r="AE906" s="890" t="str">
        <f t="shared" si="92"/>
        <v/>
      </c>
      <c r="AF906" s="890" t="str">
        <f t="shared" si="93"/>
        <v/>
      </c>
      <c r="AG906" s="192">
        <f t="shared" si="89"/>
        <v>0</v>
      </c>
    </row>
    <row r="907" spans="27:33" x14ac:dyDescent="0.25">
      <c r="AA907" s="640" t="str">
        <f t="shared" si="88"/>
        <v/>
      </c>
      <c r="AB907" s="640" t="str">
        <f t="shared" si="90"/>
        <v/>
      </c>
      <c r="AD907" s="890" t="str">
        <f t="shared" si="91"/>
        <v/>
      </c>
      <c r="AE907" s="890" t="str">
        <f t="shared" si="92"/>
        <v/>
      </c>
      <c r="AF907" s="890" t="str">
        <f t="shared" si="93"/>
        <v/>
      </c>
      <c r="AG907" s="192">
        <f t="shared" si="89"/>
        <v>0</v>
      </c>
    </row>
    <row r="908" spans="27:33" x14ac:dyDescent="0.25">
      <c r="AA908" s="640" t="str">
        <f t="shared" si="88"/>
        <v/>
      </c>
      <c r="AB908" s="640" t="str">
        <f t="shared" si="90"/>
        <v/>
      </c>
      <c r="AD908" s="890" t="str">
        <f t="shared" si="91"/>
        <v/>
      </c>
      <c r="AE908" s="890" t="str">
        <f t="shared" si="92"/>
        <v/>
      </c>
      <c r="AF908" s="890" t="str">
        <f t="shared" si="93"/>
        <v/>
      </c>
      <c r="AG908" s="192">
        <f t="shared" si="89"/>
        <v>0</v>
      </c>
    </row>
    <row r="909" spans="27:33" x14ac:dyDescent="0.25">
      <c r="AA909" s="640" t="str">
        <f t="shared" si="88"/>
        <v/>
      </c>
      <c r="AB909" s="640" t="str">
        <f t="shared" si="90"/>
        <v/>
      </c>
      <c r="AD909" s="890" t="str">
        <f t="shared" si="91"/>
        <v/>
      </c>
      <c r="AE909" s="890" t="str">
        <f t="shared" si="92"/>
        <v/>
      </c>
      <c r="AF909" s="890" t="str">
        <f t="shared" si="93"/>
        <v/>
      </c>
      <c r="AG909" s="192">
        <f t="shared" si="89"/>
        <v>0</v>
      </c>
    </row>
    <row r="910" spans="27:33" x14ac:dyDescent="0.25">
      <c r="AA910" s="640" t="str">
        <f t="shared" si="88"/>
        <v/>
      </c>
      <c r="AB910" s="640" t="str">
        <f t="shared" si="90"/>
        <v/>
      </c>
      <c r="AD910" s="890" t="str">
        <f t="shared" si="91"/>
        <v/>
      </c>
      <c r="AE910" s="890" t="str">
        <f t="shared" si="92"/>
        <v/>
      </c>
      <c r="AF910" s="890" t="str">
        <f t="shared" si="93"/>
        <v/>
      </c>
      <c r="AG910" s="192">
        <f t="shared" si="89"/>
        <v>0</v>
      </c>
    </row>
    <row r="911" spans="27:33" x14ac:dyDescent="0.25">
      <c r="AA911" s="640" t="str">
        <f t="shared" si="88"/>
        <v/>
      </c>
      <c r="AB911" s="640" t="str">
        <f t="shared" si="90"/>
        <v/>
      </c>
      <c r="AD911" s="890" t="str">
        <f t="shared" si="91"/>
        <v/>
      </c>
      <c r="AE911" s="890" t="str">
        <f t="shared" si="92"/>
        <v/>
      </c>
      <c r="AF911" s="890" t="str">
        <f t="shared" si="93"/>
        <v/>
      </c>
      <c r="AG911" s="192">
        <f t="shared" si="89"/>
        <v>0</v>
      </c>
    </row>
    <row r="912" spans="27:33" x14ac:dyDescent="0.25">
      <c r="AA912" s="640" t="str">
        <f t="shared" si="88"/>
        <v/>
      </c>
      <c r="AB912" s="640" t="str">
        <f t="shared" si="90"/>
        <v/>
      </c>
      <c r="AD912" s="890" t="str">
        <f t="shared" si="91"/>
        <v/>
      </c>
      <c r="AE912" s="890" t="str">
        <f t="shared" si="92"/>
        <v/>
      </c>
      <c r="AF912" s="890" t="str">
        <f t="shared" si="93"/>
        <v/>
      </c>
      <c r="AG912" s="192">
        <f t="shared" si="89"/>
        <v>0</v>
      </c>
    </row>
    <row r="913" spans="27:33" x14ac:dyDescent="0.25">
      <c r="AA913" s="640" t="str">
        <f t="shared" si="88"/>
        <v/>
      </c>
      <c r="AB913" s="640" t="str">
        <f t="shared" si="90"/>
        <v/>
      </c>
      <c r="AD913" s="890" t="str">
        <f t="shared" si="91"/>
        <v/>
      </c>
      <c r="AE913" s="890" t="str">
        <f t="shared" si="92"/>
        <v/>
      </c>
      <c r="AF913" s="890" t="str">
        <f t="shared" si="93"/>
        <v/>
      </c>
      <c r="AG913" s="192">
        <f t="shared" si="89"/>
        <v>0</v>
      </c>
    </row>
    <row r="914" spans="27:33" x14ac:dyDescent="0.25">
      <c r="AA914" s="640" t="str">
        <f t="shared" si="88"/>
        <v/>
      </c>
      <c r="AB914" s="640" t="str">
        <f t="shared" si="90"/>
        <v/>
      </c>
      <c r="AD914" s="890" t="str">
        <f t="shared" si="91"/>
        <v/>
      </c>
      <c r="AE914" s="890" t="str">
        <f t="shared" si="92"/>
        <v/>
      </c>
      <c r="AF914" s="890" t="str">
        <f t="shared" si="93"/>
        <v/>
      </c>
      <c r="AG914" s="192">
        <f t="shared" si="89"/>
        <v>0</v>
      </c>
    </row>
    <row r="915" spans="27:33" x14ac:dyDescent="0.25">
      <c r="AA915" s="640" t="str">
        <f t="shared" si="88"/>
        <v/>
      </c>
      <c r="AB915" s="640" t="str">
        <f t="shared" si="90"/>
        <v/>
      </c>
      <c r="AD915" s="890" t="str">
        <f t="shared" si="91"/>
        <v/>
      </c>
      <c r="AE915" s="890" t="str">
        <f t="shared" si="92"/>
        <v/>
      </c>
      <c r="AF915" s="890" t="str">
        <f t="shared" si="93"/>
        <v/>
      </c>
      <c r="AG915" s="192">
        <f t="shared" si="89"/>
        <v>0</v>
      </c>
    </row>
    <row r="916" spans="27:33" x14ac:dyDescent="0.25">
      <c r="AA916" s="640" t="str">
        <f t="shared" si="88"/>
        <v/>
      </c>
      <c r="AB916" s="640" t="str">
        <f t="shared" si="90"/>
        <v/>
      </c>
      <c r="AD916" s="890" t="str">
        <f t="shared" si="91"/>
        <v/>
      </c>
      <c r="AE916" s="890" t="str">
        <f t="shared" si="92"/>
        <v/>
      </c>
      <c r="AF916" s="890" t="str">
        <f t="shared" si="93"/>
        <v/>
      </c>
      <c r="AG916" s="192">
        <f t="shared" si="89"/>
        <v>0</v>
      </c>
    </row>
    <row r="917" spans="27:33" x14ac:dyDescent="0.25">
      <c r="AA917" s="640" t="str">
        <f t="shared" si="88"/>
        <v/>
      </c>
      <c r="AB917" s="640" t="str">
        <f t="shared" si="90"/>
        <v/>
      </c>
      <c r="AD917" s="890" t="str">
        <f t="shared" si="91"/>
        <v/>
      </c>
      <c r="AE917" s="890" t="str">
        <f t="shared" si="92"/>
        <v/>
      </c>
      <c r="AF917" s="890" t="str">
        <f t="shared" si="93"/>
        <v/>
      </c>
      <c r="AG917" s="192">
        <f t="shared" si="89"/>
        <v>0</v>
      </c>
    </row>
    <row r="918" spans="27:33" x14ac:dyDescent="0.25">
      <c r="AA918" s="640" t="str">
        <f t="shared" si="88"/>
        <v/>
      </c>
      <c r="AB918" s="640" t="str">
        <f t="shared" si="90"/>
        <v/>
      </c>
      <c r="AD918" s="890" t="str">
        <f t="shared" si="91"/>
        <v/>
      </c>
      <c r="AE918" s="890" t="str">
        <f t="shared" si="92"/>
        <v/>
      </c>
      <c r="AF918" s="890" t="str">
        <f t="shared" si="93"/>
        <v/>
      </c>
      <c r="AG918" s="192">
        <f t="shared" si="89"/>
        <v>0</v>
      </c>
    </row>
    <row r="919" spans="27:33" x14ac:dyDescent="0.25">
      <c r="AA919" s="640" t="str">
        <f t="shared" si="88"/>
        <v/>
      </c>
      <c r="AB919" s="640" t="str">
        <f t="shared" si="90"/>
        <v/>
      </c>
      <c r="AD919" s="890" t="str">
        <f t="shared" si="91"/>
        <v/>
      </c>
      <c r="AE919" s="890" t="str">
        <f t="shared" si="92"/>
        <v/>
      </c>
      <c r="AF919" s="890" t="str">
        <f t="shared" si="93"/>
        <v/>
      </c>
      <c r="AG919" s="192">
        <f t="shared" si="89"/>
        <v>0</v>
      </c>
    </row>
    <row r="920" spans="27:33" x14ac:dyDescent="0.25">
      <c r="AA920" s="640" t="str">
        <f t="shared" si="88"/>
        <v/>
      </c>
      <c r="AB920" s="640" t="str">
        <f t="shared" si="90"/>
        <v/>
      </c>
      <c r="AD920" s="890" t="str">
        <f t="shared" si="91"/>
        <v/>
      </c>
      <c r="AE920" s="890" t="str">
        <f t="shared" si="92"/>
        <v/>
      </c>
      <c r="AF920" s="890" t="str">
        <f t="shared" si="93"/>
        <v/>
      </c>
      <c r="AG920" s="192">
        <f t="shared" si="89"/>
        <v>0</v>
      </c>
    </row>
    <row r="921" spans="27:33" x14ac:dyDescent="0.25">
      <c r="AA921" s="640" t="str">
        <f t="shared" si="88"/>
        <v/>
      </c>
      <c r="AB921" s="640" t="str">
        <f t="shared" si="90"/>
        <v/>
      </c>
      <c r="AD921" s="890" t="str">
        <f t="shared" si="91"/>
        <v/>
      </c>
      <c r="AE921" s="890" t="str">
        <f t="shared" si="92"/>
        <v/>
      </c>
      <c r="AF921" s="890" t="str">
        <f t="shared" si="93"/>
        <v/>
      </c>
      <c r="AG921" s="192">
        <f t="shared" si="89"/>
        <v>0</v>
      </c>
    </row>
    <row r="922" spans="27:33" x14ac:dyDescent="0.25">
      <c r="AA922" s="640" t="str">
        <f t="shared" si="88"/>
        <v/>
      </c>
      <c r="AB922" s="640" t="str">
        <f t="shared" si="90"/>
        <v/>
      </c>
      <c r="AD922" s="890" t="str">
        <f t="shared" si="91"/>
        <v/>
      </c>
      <c r="AE922" s="890" t="str">
        <f t="shared" si="92"/>
        <v/>
      </c>
      <c r="AF922" s="890" t="str">
        <f t="shared" si="93"/>
        <v/>
      </c>
      <c r="AG922" s="192">
        <f t="shared" si="89"/>
        <v>0</v>
      </c>
    </row>
    <row r="923" spans="27:33" x14ac:dyDescent="0.25">
      <c r="AA923" s="640" t="str">
        <f t="shared" si="88"/>
        <v/>
      </c>
      <c r="AB923" s="640" t="str">
        <f t="shared" si="90"/>
        <v/>
      </c>
      <c r="AD923" s="890" t="str">
        <f t="shared" si="91"/>
        <v/>
      </c>
      <c r="AE923" s="890" t="str">
        <f t="shared" si="92"/>
        <v/>
      </c>
      <c r="AF923" s="890" t="str">
        <f t="shared" si="93"/>
        <v/>
      </c>
      <c r="AG923" s="192">
        <f t="shared" si="89"/>
        <v>0</v>
      </c>
    </row>
    <row r="924" spans="27:33" x14ac:dyDescent="0.25">
      <c r="AA924" s="640" t="str">
        <f t="shared" si="88"/>
        <v/>
      </c>
      <c r="AB924" s="640" t="str">
        <f t="shared" si="90"/>
        <v/>
      </c>
      <c r="AD924" s="890" t="str">
        <f t="shared" si="91"/>
        <v/>
      </c>
      <c r="AE924" s="890" t="str">
        <f t="shared" si="92"/>
        <v/>
      </c>
      <c r="AF924" s="890" t="str">
        <f t="shared" si="93"/>
        <v/>
      </c>
      <c r="AG924" s="192">
        <f t="shared" si="89"/>
        <v>0</v>
      </c>
    </row>
    <row r="925" spans="27:33" x14ac:dyDescent="0.25">
      <c r="AA925" s="640" t="str">
        <f t="shared" si="88"/>
        <v/>
      </c>
      <c r="AB925" s="640" t="str">
        <f t="shared" si="90"/>
        <v/>
      </c>
      <c r="AD925" s="890" t="str">
        <f t="shared" si="91"/>
        <v/>
      </c>
      <c r="AE925" s="890" t="str">
        <f t="shared" si="92"/>
        <v/>
      </c>
      <c r="AF925" s="890" t="str">
        <f t="shared" si="93"/>
        <v/>
      </c>
      <c r="AG925" s="192">
        <f t="shared" si="89"/>
        <v>0</v>
      </c>
    </row>
    <row r="926" spans="27:33" x14ac:dyDescent="0.25">
      <c r="AA926" s="640" t="str">
        <f t="shared" si="88"/>
        <v/>
      </c>
      <c r="AB926" s="640" t="str">
        <f t="shared" si="90"/>
        <v/>
      </c>
      <c r="AD926" s="890" t="str">
        <f t="shared" si="91"/>
        <v/>
      </c>
      <c r="AE926" s="890" t="str">
        <f t="shared" si="92"/>
        <v/>
      </c>
      <c r="AF926" s="890" t="str">
        <f t="shared" si="93"/>
        <v/>
      </c>
      <c r="AG926" s="192">
        <f t="shared" si="89"/>
        <v>0</v>
      </c>
    </row>
    <row r="927" spans="27:33" x14ac:dyDescent="0.25">
      <c r="AA927" s="640" t="str">
        <f t="shared" si="88"/>
        <v/>
      </c>
      <c r="AB927" s="640" t="str">
        <f t="shared" si="90"/>
        <v/>
      </c>
      <c r="AD927" s="890" t="str">
        <f t="shared" si="91"/>
        <v/>
      </c>
      <c r="AE927" s="890" t="str">
        <f t="shared" si="92"/>
        <v/>
      </c>
      <c r="AF927" s="890" t="str">
        <f t="shared" si="93"/>
        <v/>
      </c>
      <c r="AG927" s="192">
        <f t="shared" si="89"/>
        <v>0</v>
      </c>
    </row>
    <row r="928" spans="27:33" x14ac:dyDescent="0.25">
      <c r="AA928" s="640" t="str">
        <f t="shared" si="88"/>
        <v/>
      </c>
      <c r="AB928" s="640" t="str">
        <f t="shared" si="90"/>
        <v/>
      </c>
      <c r="AD928" s="890" t="str">
        <f t="shared" si="91"/>
        <v/>
      </c>
      <c r="AE928" s="890" t="str">
        <f t="shared" si="92"/>
        <v/>
      </c>
      <c r="AF928" s="890" t="str">
        <f t="shared" si="93"/>
        <v/>
      </c>
      <c r="AG928" s="192">
        <f t="shared" si="89"/>
        <v>0</v>
      </c>
    </row>
    <row r="929" spans="27:33" x14ac:dyDescent="0.25">
      <c r="AA929" s="640" t="str">
        <f t="shared" si="88"/>
        <v/>
      </c>
      <c r="AB929" s="640" t="str">
        <f t="shared" si="90"/>
        <v/>
      </c>
      <c r="AD929" s="890" t="str">
        <f t="shared" si="91"/>
        <v/>
      </c>
      <c r="AE929" s="890" t="str">
        <f t="shared" si="92"/>
        <v/>
      </c>
      <c r="AF929" s="890" t="str">
        <f t="shared" si="93"/>
        <v/>
      </c>
      <c r="AG929" s="192">
        <f t="shared" si="89"/>
        <v>0</v>
      </c>
    </row>
    <row r="930" spans="27:33" x14ac:dyDescent="0.25">
      <c r="AA930" s="640" t="str">
        <f t="shared" si="88"/>
        <v/>
      </c>
      <c r="AB930" s="640" t="str">
        <f t="shared" si="90"/>
        <v/>
      </c>
      <c r="AD930" s="890" t="str">
        <f t="shared" si="91"/>
        <v/>
      </c>
      <c r="AE930" s="890" t="str">
        <f t="shared" si="92"/>
        <v/>
      </c>
      <c r="AF930" s="890" t="str">
        <f t="shared" si="93"/>
        <v/>
      </c>
      <c r="AG930" s="192">
        <f t="shared" si="89"/>
        <v>0</v>
      </c>
    </row>
    <row r="931" spans="27:33" x14ac:dyDescent="0.25">
      <c r="AA931" s="640" t="str">
        <f t="shared" si="88"/>
        <v/>
      </c>
      <c r="AB931" s="640" t="str">
        <f t="shared" si="90"/>
        <v/>
      </c>
      <c r="AD931" s="890" t="str">
        <f t="shared" si="91"/>
        <v/>
      </c>
      <c r="AE931" s="890" t="str">
        <f t="shared" si="92"/>
        <v/>
      </c>
      <c r="AF931" s="890" t="str">
        <f t="shared" si="93"/>
        <v/>
      </c>
      <c r="AG931" s="192">
        <f t="shared" si="89"/>
        <v>0</v>
      </c>
    </row>
    <row r="932" spans="27:33" x14ac:dyDescent="0.25">
      <c r="AA932" s="640" t="str">
        <f t="shared" si="88"/>
        <v/>
      </c>
      <c r="AB932" s="640" t="str">
        <f t="shared" si="90"/>
        <v/>
      </c>
      <c r="AD932" s="890" t="str">
        <f t="shared" si="91"/>
        <v/>
      </c>
      <c r="AE932" s="890" t="str">
        <f t="shared" si="92"/>
        <v/>
      </c>
      <c r="AF932" s="890" t="str">
        <f t="shared" si="93"/>
        <v/>
      </c>
      <c r="AG932" s="192">
        <f t="shared" si="89"/>
        <v>0</v>
      </c>
    </row>
    <row r="933" spans="27:33" x14ac:dyDescent="0.25">
      <c r="AA933" s="640" t="str">
        <f t="shared" si="88"/>
        <v/>
      </c>
      <c r="AB933" s="640" t="str">
        <f t="shared" si="90"/>
        <v/>
      </c>
      <c r="AD933" s="890" t="str">
        <f t="shared" si="91"/>
        <v/>
      </c>
      <c r="AE933" s="890" t="str">
        <f t="shared" si="92"/>
        <v/>
      </c>
      <c r="AF933" s="890" t="str">
        <f t="shared" si="93"/>
        <v/>
      </c>
      <c r="AG933" s="192">
        <f t="shared" si="89"/>
        <v>0</v>
      </c>
    </row>
    <row r="934" spans="27:33" x14ac:dyDescent="0.25">
      <c r="AA934" s="640" t="str">
        <f t="shared" si="88"/>
        <v/>
      </c>
      <c r="AB934" s="640" t="str">
        <f t="shared" si="90"/>
        <v/>
      </c>
      <c r="AD934" s="890" t="str">
        <f t="shared" si="91"/>
        <v/>
      </c>
      <c r="AE934" s="890" t="str">
        <f t="shared" si="92"/>
        <v/>
      </c>
      <c r="AF934" s="890" t="str">
        <f t="shared" si="93"/>
        <v/>
      </c>
      <c r="AG934" s="192">
        <f t="shared" si="89"/>
        <v>0</v>
      </c>
    </row>
    <row r="935" spans="27:33" x14ac:dyDescent="0.25">
      <c r="AA935" s="640" t="str">
        <f t="shared" si="88"/>
        <v/>
      </c>
      <c r="AB935" s="640" t="str">
        <f t="shared" si="90"/>
        <v/>
      </c>
      <c r="AD935" s="890" t="str">
        <f t="shared" si="91"/>
        <v/>
      </c>
      <c r="AE935" s="890" t="str">
        <f t="shared" si="92"/>
        <v/>
      </c>
      <c r="AF935" s="890" t="str">
        <f t="shared" si="93"/>
        <v/>
      </c>
      <c r="AG935" s="192">
        <f t="shared" si="89"/>
        <v>0</v>
      </c>
    </row>
    <row r="936" spans="27:33" x14ac:dyDescent="0.25">
      <c r="AA936" s="640" t="str">
        <f t="shared" si="88"/>
        <v/>
      </c>
      <c r="AB936" s="640" t="str">
        <f t="shared" si="90"/>
        <v/>
      </c>
      <c r="AD936" s="890" t="str">
        <f t="shared" si="91"/>
        <v/>
      </c>
      <c r="AE936" s="890" t="str">
        <f t="shared" si="92"/>
        <v/>
      </c>
      <c r="AF936" s="890" t="str">
        <f t="shared" si="93"/>
        <v/>
      </c>
      <c r="AG936" s="192">
        <f t="shared" si="89"/>
        <v>0</v>
      </c>
    </row>
    <row r="937" spans="27:33" x14ac:dyDescent="0.25">
      <c r="AA937" s="640" t="str">
        <f t="shared" si="88"/>
        <v/>
      </c>
      <c r="AB937" s="640" t="str">
        <f t="shared" si="90"/>
        <v/>
      </c>
      <c r="AD937" s="890" t="str">
        <f t="shared" si="91"/>
        <v/>
      </c>
      <c r="AE937" s="890" t="str">
        <f t="shared" si="92"/>
        <v/>
      </c>
      <c r="AF937" s="890" t="str">
        <f t="shared" si="93"/>
        <v/>
      </c>
      <c r="AG937" s="192">
        <f t="shared" si="89"/>
        <v>0</v>
      </c>
    </row>
    <row r="938" spans="27:33" x14ac:dyDescent="0.25">
      <c r="AA938" s="640" t="str">
        <f t="shared" si="88"/>
        <v/>
      </c>
      <c r="AB938" s="640" t="str">
        <f t="shared" si="90"/>
        <v/>
      </c>
      <c r="AD938" s="890" t="str">
        <f t="shared" si="91"/>
        <v/>
      </c>
      <c r="AE938" s="890" t="str">
        <f t="shared" si="92"/>
        <v/>
      </c>
      <c r="AF938" s="890" t="str">
        <f t="shared" si="93"/>
        <v/>
      </c>
      <c r="AG938" s="192">
        <f t="shared" si="89"/>
        <v>0</v>
      </c>
    </row>
    <row r="939" spans="27:33" x14ac:dyDescent="0.25">
      <c r="AA939" s="640" t="str">
        <f t="shared" si="88"/>
        <v/>
      </c>
      <c r="AB939" s="640" t="str">
        <f t="shared" si="90"/>
        <v/>
      </c>
      <c r="AD939" s="890" t="str">
        <f t="shared" si="91"/>
        <v/>
      </c>
      <c r="AE939" s="890" t="str">
        <f t="shared" si="92"/>
        <v/>
      </c>
      <c r="AF939" s="890" t="str">
        <f t="shared" si="93"/>
        <v/>
      </c>
      <c r="AG939" s="192">
        <f t="shared" si="89"/>
        <v>0</v>
      </c>
    </row>
    <row r="940" spans="27:33" x14ac:dyDescent="0.25">
      <c r="AA940" s="640" t="str">
        <f t="shared" si="88"/>
        <v/>
      </c>
      <c r="AB940" s="640" t="str">
        <f t="shared" si="90"/>
        <v/>
      </c>
      <c r="AD940" s="890" t="str">
        <f t="shared" si="91"/>
        <v/>
      </c>
      <c r="AE940" s="890" t="str">
        <f t="shared" si="92"/>
        <v/>
      </c>
      <c r="AF940" s="890" t="str">
        <f t="shared" si="93"/>
        <v/>
      </c>
      <c r="AG940" s="192">
        <f t="shared" si="89"/>
        <v>0</v>
      </c>
    </row>
    <row r="941" spans="27:33" x14ac:dyDescent="0.25">
      <c r="AA941" s="640" t="str">
        <f t="shared" si="88"/>
        <v/>
      </c>
      <c r="AB941" s="640" t="str">
        <f t="shared" si="90"/>
        <v/>
      </c>
      <c r="AD941" s="890" t="str">
        <f t="shared" si="91"/>
        <v/>
      </c>
      <c r="AE941" s="890" t="str">
        <f t="shared" si="92"/>
        <v/>
      </c>
      <c r="AF941" s="890" t="str">
        <f t="shared" si="93"/>
        <v/>
      </c>
      <c r="AG941" s="192">
        <f t="shared" si="89"/>
        <v>0</v>
      </c>
    </row>
    <row r="942" spans="27:33" x14ac:dyDescent="0.25">
      <c r="AA942" s="640" t="str">
        <f t="shared" si="88"/>
        <v/>
      </c>
      <c r="AB942" s="640" t="str">
        <f t="shared" si="90"/>
        <v/>
      </c>
      <c r="AD942" s="890" t="str">
        <f t="shared" si="91"/>
        <v/>
      </c>
      <c r="AE942" s="890" t="str">
        <f t="shared" si="92"/>
        <v/>
      </c>
      <c r="AF942" s="890" t="str">
        <f t="shared" si="93"/>
        <v/>
      </c>
      <c r="AG942" s="192">
        <f t="shared" si="89"/>
        <v>0</v>
      </c>
    </row>
    <row r="943" spans="27:33" x14ac:dyDescent="0.25">
      <c r="AA943" s="640" t="str">
        <f t="shared" si="88"/>
        <v/>
      </c>
      <c r="AB943" s="640" t="str">
        <f t="shared" si="90"/>
        <v/>
      </c>
      <c r="AD943" s="890" t="str">
        <f t="shared" si="91"/>
        <v/>
      </c>
      <c r="AE943" s="890" t="str">
        <f t="shared" si="92"/>
        <v/>
      </c>
      <c r="AF943" s="890" t="str">
        <f t="shared" si="93"/>
        <v/>
      </c>
      <c r="AG943" s="192">
        <f t="shared" si="89"/>
        <v>0</v>
      </c>
    </row>
    <row r="944" spans="27:33" x14ac:dyDescent="0.25">
      <c r="AA944" s="640" t="str">
        <f t="shared" si="88"/>
        <v/>
      </c>
      <c r="AB944" s="640" t="str">
        <f t="shared" si="90"/>
        <v/>
      </c>
      <c r="AD944" s="890" t="str">
        <f t="shared" si="91"/>
        <v/>
      </c>
      <c r="AE944" s="890" t="str">
        <f t="shared" si="92"/>
        <v/>
      </c>
      <c r="AF944" s="890" t="str">
        <f t="shared" si="93"/>
        <v/>
      </c>
      <c r="AG944" s="192">
        <f t="shared" si="89"/>
        <v>0</v>
      </c>
    </row>
    <row r="945" spans="27:33" x14ac:dyDescent="0.25">
      <c r="AA945" s="640" t="str">
        <f t="shared" si="88"/>
        <v/>
      </c>
      <c r="AB945" s="640" t="str">
        <f t="shared" si="90"/>
        <v/>
      </c>
      <c r="AD945" s="890" t="str">
        <f t="shared" si="91"/>
        <v/>
      </c>
      <c r="AE945" s="890" t="str">
        <f t="shared" si="92"/>
        <v/>
      </c>
      <c r="AF945" s="890" t="str">
        <f t="shared" si="93"/>
        <v/>
      </c>
      <c r="AG945" s="192">
        <f t="shared" si="89"/>
        <v>0</v>
      </c>
    </row>
    <row r="946" spans="27:33" x14ac:dyDescent="0.25">
      <c r="AA946" s="640" t="str">
        <f t="shared" si="88"/>
        <v/>
      </c>
      <c r="AB946" s="640" t="str">
        <f t="shared" si="90"/>
        <v/>
      </c>
      <c r="AD946" s="890" t="str">
        <f t="shared" si="91"/>
        <v/>
      </c>
      <c r="AE946" s="890" t="str">
        <f t="shared" si="92"/>
        <v/>
      </c>
      <c r="AF946" s="890" t="str">
        <f t="shared" si="93"/>
        <v/>
      </c>
      <c r="AG946" s="192">
        <f t="shared" si="89"/>
        <v>0</v>
      </c>
    </row>
    <row r="947" spans="27:33" x14ac:dyDescent="0.25">
      <c r="AA947" s="640" t="str">
        <f t="shared" si="88"/>
        <v/>
      </c>
      <c r="AB947" s="640" t="str">
        <f t="shared" si="90"/>
        <v/>
      </c>
      <c r="AD947" s="890" t="str">
        <f t="shared" si="91"/>
        <v/>
      </c>
      <c r="AE947" s="890" t="str">
        <f t="shared" si="92"/>
        <v/>
      </c>
      <c r="AF947" s="890" t="str">
        <f t="shared" si="93"/>
        <v/>
      </c>
      <c r="AG947" s="192">
        <f t="shared" si="89"/>
        <v>0</v>
      </c>
    </row>
    <row r="948" spans="27:33" x14ac:dyDescent="0.25">
      <c r="AA948" s="640" t="str">
        <f t="shared" si="88"/>
        <v/>
      </c>
      <c r="AB948" s="640" t="str">
        <f t="shared" si="90"/>
        <v/>
      </c>
      <c r="AD948" s="890" t="str">
        <f t="shared" si="91"/>
        <v/>
      </c>
      <c r="AE948" s="890" t="str">
        <f t="shared" si="92"/>
        <v/>
      </c>
      <c r="AF948" s="890" t="str">
        <f t="shared" si="93"/>
        <v/>
      </c>
      <c r="AG948" s="192">
        <f t="shared" si="89"/>
        <v>0</v>
      </c>
    </row>
    <row r="949" spans="27:33" x14ac:dyDescent="0.25">
      <c r="AA949" s="640" t="str">
        <f t="shared" si="88"/>
        <v/>
      </c>
      <c r="AB949" s="640" t="str">
        <f t="shared" si="90"/>
        <v/>
      </c>
      <c r="AD949" s="890" t="str">
        <f t="shared" si="91"/>
        <v/>
      </c>
      <c r="AE949" s="890" t="str">
        <f t="shared" si="92"/>
        <v/>
      </c>
      <c r="AF949" s="890" t="str">
        <f t="shared" si="93"/>
        <v/>
      </c>
      <c r="AG949" s="192">
        <f t="shared" si="89"/>
        <v>0</v>
      </c>
    </row>
    <row r="950" spans="27:33" x14ac:dyDescent="0.25">
      <c r="AA950" s="640" t="str">
        <f t="shared" si="88"/>
        <v/>
      </c>
      <c r="AB950" s="640" t="str">
        <f t="shared" si="90"/>
        <v/>
      </c>
      <c r="AD950" s="890" t="str">
        <f t="shared" si="91"/>
        <v/>
      </c>
      <c r="AE950" s="890" t="str">
        <f t="shared" si="92"/>
        <v/>
      </c>
      <c r="AF950" s="890" t="str">
        <f t="shared" si="93"/>
        <v/>
      </c>
      <c r="AG950" s="192">
        <f t="shared" si="89"/>
        <v>0</v>
      </c>
    </row>
    <row r="951" spans="27:33" x14ac:dyDescent="0.25">
      <c r="AA951" s="640" t="str">
        <f t="shared" si="88"/>
        <v/>
      </c>
      <c r="AB951" s="640" t="str">
        <f t="shared" si="90"/>
        <v/>
      </c>
      <c r="AD951" s="890" t="str">
        <f t="shared" si="91"/>
        <v/>
      </c>
      <c r="AE951" s="890" t="str">
        <f t="shared" si="92"/>
        <v/>
      </c>
      <c r="AF951" s="890" t="str">
        <f t="shared" si="93"/>
        <v/>
      </c>
      <c r="AG951" s="192">
        <f t="shared" si="89"/>
        <v>0</v>
      </c>
    </row>
    <row r="952" spans="27:33" x14ac:dyDescent="0.25">
      <c r="AA952" s="640" t="str">
        <f t="shared" si="88"/>
        <v/>
      </c>
      <c r="AB952" s="640" t="str">
        <f t="shared" si="90"/>
        <v/>
      </c>
      <c r="AD952" s="890" t="str">
        <f t="shared" si="91"/>
        <v/>
      </c>
      <c r="AE952" s="890" t="str">
        <f t="shared" si="92"/>
        <v/>
      </c>
      <c r="AF952" s="890" t="str">
        <f t="shared" si="93"/>
        <v/>
      </c>
      <c r="AG952" s="192">
        <f t="shared" si="89"/>
        <v>0</v>
      </c>
    </row>
    <row r="953" spans="27:33" x14ac:dyDescent="0.25">
      <c r="AA953" s="640" t="str">
        <f t="shared" si="88"/>
        <v/>
      </c>
      <c r="AB953" s="640" t="str">
        <f t="shared" si="90"/>
        <v/>
      </c>
      <c r="AD953" s="890" t="str">
        <f t="shared" si="91"/>
        <v/>
      </c>
      <c r="AE953" s="890" t="str">
        <f t="shared" si="92"/>
        <v/>
      </c>
      <c r="AF953" s="890" t="str">
        <f t="shared" si="93"/>
        <v/>
      </c>
      <c r="AG953" s="192">
        <f t="shared" si="89"/>
        <v>0</v>
      </c>
    </row>
    <row r="954" spans="27:33" x14ac:dyDescent="0.25">
      <c r="AA954" s="640" t="str">
        <f t="shared" si="88"/>
        <v/>
      </c>
      <c r="AB954" s="640" t="str">
        <f t="shared" si="90"/>
        <v/>
      </c>
      <c r="AD954" s="890" t="str">
        <f t="shared" si="91"/>
        <v/>
      </c>
      <c r="AE954" s="890" t="str">
        <f t="shared" si="92"/>
        <v/>
      </c>
      <c r="AF954" s="890" t="str">
        <f t="shared" si="93"/>
        <v/>
      </c>
      <c r="AG954" s="192">
        <f t="shared" si="89"/>
        <v>0</v>
      </c>
    </row>
    <row r="955" spans="27:33" x14ac:dyDescent="0.25">
      <c r="AA955" s="640" t="str">
        <f t="shared" si="88"/>
        <v/>
      </c>
      <c r="AB955" s="640" t="str">
        <f t="shared" si="90"/>
        <v/>
      </c>
      <c r="AD955" s="890" t="str">
        <f t="shared" si="91"/>
        <v/>
      </c>
      <c r="AE955" s="890" t="str">
        <f t="shared" si="92"/>
        <v/>
      </c>
      <c r="AF955" s="890" t="str">
        <f t="shared" si="93"/>
        <v/>
      </c>
      <c r="AG955" s="192">
        <f t="shared" si="89"/>
        <v>0</v>
      </c>
    </row>
    <row r="956" spans="27:33" x14ac:dyDescent="0.25">
      <c r="AA956" s="640" t="str">
        <f t="shared" si="88"/>
        <v/>
      </c>
      <c r="AB956" s="640" t="str">
        <f t="shared" si="90"/>
        <v/>
      </c>
      <c r="AD956" s="890" t="str">
        <f t="shared" si="91"/>
        <v/>
      </c>
      <c r="AE956" s="890" t="str">
        <f t="shared" si="92"/>
        <v/>
      </c>
      <c r="AF956" s="890" t="str">
        <f t="shared" si="93"/>
        <v/>
      </c>
      <c r="AG956" s="192">
        <f t="shared" si="89"/>
        <v>0</v>
      </c>
    </row>
    <row r="957" spans="27:33" x14ac:dyDescent="0.25">
      <c r="AA957" s="640" t="str">
        <f t="shared" si="88"/>
        <v/>
      </c>
      <c r="AB957" s="640" t="str">
        <f t="shared" si="90"/>
        <v/>
      </c>
      <c r="AD957" s="890" t="str">
        <f t="shared" si="91"/>
        <v/>
      </c>
      <c r="AE957" s="890" t="str">
        <f t="shared" si="92"/>
        <v/>
      </c>
      <c r="AF957" s="890" t="str">
        <f t="shared" si="93"/>
        <v/>
      </c>
      <c r="AG957" s="192">
        <f t="shared" si="89"/>
        <v>0</v>
      </c>
    </row>
    <row r="958" spans="27:33" x14ac:dyDescent="0.25">
      <c r="AA958" s="640" t="str">
        <f t="shared" si="88"/>
        <v/>
      </c>
      <c r="AB958" s="640" t="str">
        <f t="shared" si="90"/>
        <v/>
      </c>
      <c r="AD958" s="890" t="str">
        <f t="shared" si="91"/>
        <v/>
      </c>
      <c r="AE958" s="890" t="str">
        <f t="shared" si="92"/>
        <v/>
      </c>
      <c r="AF958" s="890" t="str">
        <f t="shared" si="93"/>
        <v/>
      </c>
      <c r="AG958" s="192">
        <f t="shared" si="89"/>
        <v>0</v>
      </c>
    </row>
    <row r="959" spans="27:33" x14ac:dyDescent="0.25">
      <c r="AA959" s="640" t="str">
        <f t="shared" si="88"/>
        <v/>
      </c>
      <c r="AB959" s="640" t="str">
        <f t="shared" si="90"/>
        <v/>
      </c>
      <c r="AD959" s="890" t="str">
        <f t="shared" si="91"/>
        <v/>
      </c>
      <c r="AE959" s="890" t="str">
        <f t="shared" si="92"/>
        <v/>
      </c>
      <c r="AF959" s="890" t="str">
        <f t="shared" si="93"/>
        <v/>
      </c>
      <c r="AG959" s="192">
        <f t="shared" si="89"/>
        <v>0</v>
      </c>
    </row>
    <row r="960" spans="27:33" x14ac:dyDescent="0.25">
      <c r="AA960" s="640" t="str">
        <f t="shared" si="88"/>
        <v/>
      </c>
      <c r="AB960" s="640" t="str">
        <f t="shared" si="90"/>
        <v/>
      </c>
      <c r="AD960" s="890" t="str">
        <f t="shared" si="91"/>
        <v/>
      </c>
      <c r="AE960" s="890" t="str">
        <f t="shared" si="92"/>
        <v/>
      </c>
      <c r="AF960" s="890" t="str">
        <f t="shared" si="93"/>
        <v/>
      </c>
      <c r="AG960" s="192">
        <f t="shared" si="89"/>
        <v>0</v>
      </c>
    </row>
    <row r="961" spans="27:33" x14ac:dyDescent="0.25">
      <c r="AA961" s="640" t="str">
        <f t="shared" si="88"/>
        <v/>
      </c>
      <c r="AB961" s="640" t="str">
        <f t="shared" si="90"/>
        <v/>
      </c>
      <c r="AD961" s="890" t="str">
        <f t="shared" si="91"/>
        <v/>
      </c>
      <c r="AE961" s="890" t="str">
        <f t="shared" si="92"/>
        <v/>
      </c>
      <c r="AF961" s="890" t="str">
        <f t="shared" si="93"/>
        <v/>
      </c>
      <c r="AG961" s="192">
        <f t="shared" si="89"/>
        <v>0</v>
      </c>
    </row>
    <row r="962" spans="27:33" x14ac:dyDescent="0.25">
      <c r="AA962" s="640" t="str">
        <f t="shared" si="88"/>
        <v/>
      </c>
      <c r="AB962" s="640" t="str">
        <f t="shared" si="90"/>
        <v/>
      </c>
      <c r="AD962" s="890" t="str">
        <f t="shared" si="91"/>
        <v/>
      </c>
      <c r="AE962" s="890" t="str">
        <f t="shared" si="92"/>
        <v/>
      </c>
      <c r="AF962" s="890" t="str">
        <f t="shared" si="93"/>
        <v/>
      </c>
      <c r="AG962" s="192">
        <f t="shared" si="89"/>
        <v>0</v>
      </c>
    </row>
    <row r="963" spans="27:33" x14ac:dyDescent="0.25">
      <c r="AA963" s="640" t="str">
        <f t="shared" si="88"/>
        <v/>
      </c>
      <c r="AB963" s="640" t="str">
        <f t="shared" si="90"/>
        <v/>
      </c>
      <c r="AD963" s="890" t="str">
        <f t="shared" si="91"/>
        <v/>
      </c>
      <c r="AE963" s="890" t="str">
        <f t="shared" si="92"/>
        <v/>
      </c>
      <c r="AF963" s="890" t="str">
        <f t="shared" si="93"/>
        <v/>
      </c>
      <c r="AG963" s="192">
        <f t="shared" si="89"/>
        <v>0</v>
      </c>
    </row>
    <row r="964" spans="27:33" x14ac:dyDescent="0.25">
      <c r="AA964" s="640" t="str">
        <f t="shared" si="88"/>
        <v/>
      </c>
      <c r="AB964" s="640" t="str">
        <f t="shared" si="90"/>
        <v/>
      </c>
      <c r="AD964" s="890" t="str">
        <f t="shared" si="91"/>
        <v/>
      </c>
      <c r="AE964" s="890" t="str">
        <f t="shared" si="92"/>
        <v/>
      </c>
      <c r="AF964" s="890" t="str">
        <f t="shared" si="93"/>
        <v/>
      </c>
      <c r="AG964" s="192">
        <f t="shared" si="89"/>
        <v>0</v>
      </c>
    </row>
    <row r="965" spans="27:33" x14ac:dyDescent="0.25">
      <c r="AA965" s="640" t="str">
        <f t="shared" si="88"/>
        <v/>
      </c>
      <c r="AB965" s="640" t="str">
        <f t="shared" si="90"/>
        <v/>
      </c>
      <c r="AD965" s="890" t="str">
        <f t="shared" si="91"/>
        <v/>
      </c>
      <c r="AE965" s="890" t="str">
        <f t="shared" si="92"/>
        <v/>
      </c>
      <c r="AF965" s="890" t="str">
        <f t="shared" si="93"/>
        <v/>
      </c>
      <c r="AG965" s="192">
        <f t="shared" si="89"/>
        <v>0</v>
      </c>
    </row>
    <row r="966" spans="27:33" x14ac:dyDescent="0.25">
      <c r="AA966" s="640" t="str">
        <f t="shared" si="88"/>
        <v/>
      </c>
      <c r="AB966" s="640" t="str">
        <f t="shared" si="90"/>
        <v/>
      </c>
      <c r="AD966" s="890" t="str">
        <f t="shared" si="91"/>
        <v/>
      </c>
      <c r="AE966" s="890" t="str">
        <f t="shared" si="92"/>
        <v/>
      </c>
      <c r="AF966" s="890" t="str">
        <f t="shared" si="93"/>
        <v/>
      </c>
      <c r="AG966" s="192">
        <f t="shared" si="89"/>
        <v>0</v>
      </c>
    </row>
    <row r="967" spans="27:33" x14ac:dyDescent="0.25">
      <c r="AA967" s="640" t="str">
        <f t="shared" ref="AA967:AA1030" si="94">IF(G967=0, IF(OR(H967&gt;0,F967&gt;0),C967*F967,""),"")</f>
        <v/>
      </c>
      <c r="AB967" s="640" t="str">
        <f t="shared" si="90"/>
        <v/>
      </c>
      <c r="AD967" s="890" t="str">
        <f t="shared" si="91"/>
        <v/>
      </c>
      <c r="AE967" s="890" t="str">
        <f t="shared" si="92"/>
        <v/>
      </c>
      <c r="AF967" s="890" t="str">
        <f t="shared" si="93"/>
        <v/>
      </c>
      <c r="AG967" s="192">
        <f t="shared" ref="AG967:AG1030" si="95">(C967*G967)+(C967*H967)+(C967*I967)</f>
        <v>0</v>
      </c>
    </row>
    <row r="968" spans="27:33" x14ac:dyDescent="0.25">
      <c r="AA968" s="640" t="str">
        <f t="shared" si="94"/>
        <v/>
      </c>
      <c r="AB968" s="640" t="str">
        <f t="shared" ref="AB968:AB1031" si="96">IF(G968&gt;=1,IF(F968&gt;1,C968*(F968-2),""),"")</f>
        <v/>
      </c>
      <c r="AD968" s="890" t="str">
        <f t="shared" ref="AD968:AD1031" si="97">IF(E968="YES",IF(G968=1,"",""),IF(G968=1,C968,IF(G968=2,C968,IF(G968=0,"",""))))</f>
        <v/>
      </c>
      <c r="AE968" s="890" t="str">
        <f t="shared" ref="AE968:AE1031" si="98">IF(E968="YES",IF(G968=1,"",IF(H968=1,C968,"")),IF(H968=1,C968,IF(H968=2,C968,IF(H968=0,"",""))))</f>
        <v/>
      </c>
      <c r="AF968" s="890" t="str">
        <f t="shared" ref="AF968:AF1031" si="99">IF(E968="YES",IF(I968=1,C968,""),IF(I968=1,C968,IF(I968=2,C968,IF(I968=0,"",""))))</f>
        <v/>
      </c>
      <c r="AG968" s="192">
        <f t="shared" si="95"/>
        <v>0</v>
      </c>
    </row>
    <row r="969" spans="27:33" x14ac:dyDescent="0.25">
      <c r="AA969" s="640" t="str">
        <f t="shared" si="94"/>
        <v/>
      </c>
      <c r="AB969" s="640" t="str">
        <f t="shared" si="96"/>
        <v/>
      </c>
      <c r="AD969" s="890" t="str">
        <f t="shared" si="97"/>
        <v/>
      </c>
      <c r="AE969" s="890" t="str">
        <f t="shared" si="98"/>
        <v/>
      </c>
      <c r="AF969" s="890" t="str">
        <f t="shared" si="99"/>
        <v/>
      </c>
      <c r="AG969" s="192">
        <f t="shared" si="95"/>
        <v>0</v>
      </c>
    </row>
    <row r="970" spans="27:33" x14ac:dyDescent="0.25">
      <c r="AA970" s="640" t="str">
        <f t="shared" si="94"/>
        <v/>
      </c>
      <c r="AB970" s="640" t="str">
        <f t="shared" si="96"/>
        <v/>
      </c>
      <c r="AD970" s="890" t="str">
        <f t="shared" si="97"/>
        <v/>
      </c>
      <c r="AE970" s="890" t="str">
        <f t="shared" si="98"/>
        <v/>
      </c>
      <c r="AF970" s="890" t="str">
        <f t="shared" si="99"/>
        <v/>
      </c>
      <c r="AG970" s="192">
        <f t="shared" si="95"/>
        <v>0</v>
      </c>
    </row>
    <row r="971" spans="27:33" x14ac:dyDescent="0.25">
      <c r="AA971" s="640" t="str">
        <f t="shared" si="94"/>
        <v/>
      </c>
      <c r="AB971" s="640" t="str">
        <f t="shared" si="96"/>
        <v/>
      </c>
      <c r="AD971" s="890" t="str">
        <f t="shared" si="97"/>
        <v/>
      </c>
      <c r="AE971" s="890" t="str">
        <f t="shared" si="98"/>
        <v/>
      </c>
      <c r="AF971" s="890" t="str">
        <f t="shared" si="99"/>
        <v/>
      </c>
      <c r="AG971" s="192">
        <f t="shared" si="95"/>
        <v>0</v>
      </c>
    </row>
    <row r="972" spans="27:33" x14ac:dyDescent="0.25">
      <c r="AA972" s="640" t="str">
        <f t="shared" si="94"/>
        <v/>
      </c>
      <c r="AB972" s="640" t="str">
        <f t="shared" si="96"/>
        <v/>
      </c>
      <c r="AD972" s="890" t="str">
        <f t="shared" si="97"/>
        <v/>
      </c>
      <c r="AE972" s="890" t="str">
        <f t="shared" si="98"/>
        <v/>
      </c>
      <c r="AF972" s="890" t="str">
        <f t="shared" si="99"/>
        <v/>
      </c>
      <c r="AG972" s="192">
        <f t="shared" si="95"/>
        <v>0</v>
      </c>
    </row>
    <row r="973" spans="27:33" x14ac:dyDescent="0.25">
      <c r="AA973" s="640" t="str">
        <f t="shared" si="94"/>
        <v/>
      </c>
      <c r="AB973" s="640" t="str">
        <f t="shared" si="96"/>
        <v/>
      </c>
      <c r="AD973" s="890" t="str">
        <f t="shared" si="97"/>
        <v/>
      </c>
      <c r="AE973" s="890" t="str">
        <f t="shared" si="98"/>
        <v/>
      </c>
      <c r="AF973" s="890" t="str">
        <f t="shared" si="99"/>
        <v/>
      </c>
      <c r="AG973" s="192">
        <f t="shared" si="95"/>
        <v>0</v>
      </c>
    </row>
    <row r="974" spans="27:33" x14ac:dyDescent="0.25">
      <c r="AA974" s="640" t="str">
        <f t="shared" si="94"/>
        <v/>
      </c>
      <c r="AB974" s="640" t="str">
        <f t="shared" si="96"/>
        <v/>
      </c>
      <c r="AD974" s="890" t="str">
        <f t="shared" si="97"/>
        <v/>
      </c>
      <c r="AE974" s="890" t="str">
        <f t="shared" si="98"/>
        <v/>
      </c>
      <c r="AF974" s="890" t="str">
        <f t="shared" si="99"/>
        <v/>
      </c>
      <c r="AG974" s="192">
        <f t="shared" si="95"/>
        <v>0</v>
      </c>
    </row>
    <row r="975" spans="27:33" x14ac:dyDescent="0.25">
      <c r="AA975" s="640" t="str">
        <f t="shared" si="94"/>
        <v/>
      </c>
      <c r="AB975" s="640" t="str">
        <f t="shared" si="96"/>
        <v/>
      </c>
      <c r="AD975" s="890" t="str">
        <f t="shared" si="97"/>
        <v/>
      </c>
      <c r="AE975" s="890" t="str">
        <f t="shared" si="98"/>
        <v/>
      </c>
      <c r="AF975" s="890" t="str">
        <f t="shared" si="99"/>
        <v/>
      </c>
      <c r="AG975" s="192">
        <f t="shared" si="95"/>
        <v>0</v>
      </c>
    </row>
    <row r="976" spans="27:33" x14ac:dyDescent="0.25">
      <c r="AA976" s="640" t="str">
        <f t="shared" si="94"/>
        <v/>
      </c>
      <c r="AB976" s="640" t="str">
        <f t="shared" si="96"/>
        <v/>
      </c>
      <c r="AD976" s="890" t="str">
        <f t="shared" si="97"/>
        <v/>
      </c>
      <c r="AE976" s="890" t="str">
        <f t="shared" si="98"/>
        <v/>
      </c>
      <c r="AF976" s="890" t="str">
        <f t="shared" si="99"/>
        <v/>
      </c>
      <c r="AG976" s="192">
        <f t="shared" si="95"/>
        <v>0</v>
      </c>
    </row>
    <row r="977" spans="27:33" x14ac:dyDescent="0.25">
      <c r="AA977" s="640" t="str">
        <f t="shared" si="94"/>
        <v/>
      </c>
      <c r="AB977" s="640" t="str">
        <f t="shared" si="96"/>
        <v/>
      </c>
      <c r="AD977" s="890" t="str">
        <f t="shared" si="97"/>
        <v/>
      </c>
      <c r="AE977" s="890" t="str">
        <f t="shared" si="98"/>
        <v/>
      </c>
      <c r="AF977" s="890" t="str">
        <f t="shared" si="99"/>
        <v/>
      </c>
      <c r="AG977" s="192">
        <f t="shared" si="95"/>
        <v>0</v>
      </c>
    </row>
    <row r="978" spans="27:33" x14ac:dyDescent="0.25">
      <c r="AA978" s="640" t="str">
        <f t="shared" si="94"/>
        <v/>
      </c>
      <c r="AB978" s="640" t="str">
        <f t="shared" si="96"/>
        <v/>
      </c>
      <c r="AD978" s="890" t="str">
        <f t="shared" si="97"/>
        <v/>
      </c>
      <c r="AE978" s="890" t="str">
        <f t="shared" si="98"/>
        <v/>
      </c>
      <c r="AF978" s="890" t="str">
        <f t="shared" si="99"/>
        <v/>
      </c>
      <c r="AG978" s="192">
        <f t="shared" si="95"/>
        <v>0</v>
      </c>
    </row>
    <row r="979" spans="27:33" x14ac:dyDescent="0.25">
      <c r="AA979" s="640" t="str">
        <f t="shared" si="94"/>
        <v/>
      </c>
      <c r="AB979" s="640" t="str">
        <f t="shared" si="96"/>
        <v/>
      </c>
      <c r="AD979" s="890" t="str">
        <f t="shared" si="97"/>
        <v/>
      </c>
      <c r="AE979" s="890" t="str">
        <f t="shared" si="98"/>
        <v/>
      </c>
      <c r="AF979" s="890" t="str">
        <f t="shared" si="99"/>
        <v/>
      </c>
      <c r="AG979" s="192">
        <f t="shared" si="95"/>
        <v>0</v>
      </c>
    </row>
    <row r="980" spans="27:33" x14ac:dyDescent="0.25">
      <c r="AA980" s="640" t="str">
        <f t="shared" si="94"/>
        <v/>
      </c>
      <c r="AB980" s="640" t="str">
        <f t="shared" si="96"/>
        <v/>
      </c>
      <c r="AD980" s="890" t="str">
        <f t="shared" si="97"/>
        <v/>
      </c>
      <c r="AE980" s="890" t="str">
        <f t="shared" si="98"/>
        <v/>
      </c>
      <c r="AF980" s="890" t="str">
        <f t="shared" si="99"/>
        <v/>
      </c>
      <c r="AG980" s="192">
        <f t="shared" si="95"/>
        <v>0</v>
      </c>
    </row>
    <row r="981" spans="27:33" x14ac:dyDescent="0.25">
      <c r="AA981" s="640" t="str">
        <f t="shared" si="94"/>
        <v/>
      </c>
      <c r="AB981" s="640" t="str">
        <f t="shared" si="96"/>
        <v/>
      </c>
      <c r="AD981" s="890" t="str">
        <f t="shared" si="97"/>
        <v/>
      </c>
      <c r="AE981" s="890" t="str">
        <f t="shared" si="98"/>
        <v/>
      </c>
      <c r="AF981" s="890" t="str">
        <f t="shared" si="99"/>
        <v/>
      </c>
      <c r="AG981" s="192">
        <f t="shared" si="95"/>
        <v>0</v>
      </c>
    </row>
    <row r="982" spans="27:33" x14ac:dyDescent="0.25">
      <c r="AA982" s="640" t="str">
        <f t="shared" si="94"/>
        <v/>
      </c>
      <c r="AB982" s="640" t="str">
        <f t="shared" si="96"/>
        <v/>
      </c>
      <c r="AD982" s="890" t="str">
        <f t="shared" si="97"/>
        <v/>
      </c>
      <c r="AE982" s="890" t="str">
        <f t="shared" si="98"/>
        <v/>
      </c>
      <c r="AF982" s="890" t="str">
        <f t="shared" si="99"/>
        <v/>
      </c>
      <c r="AG982" s="192">
        <f t="shared" si="95"/>
        <v>0</v>
      </c>
    </row>
    <row r="983" spans="27:33" x14ac:dyDescent="0.25">
      <c r="AA983" s="640" t="str">
        <f t="shared" si="94"/>
        <v/>
      </c>
      <c r="AB983" s="640" t="str">
        <f t="shared" si="96"/>
        <v/>
      </c>
      <c r="AD983" s="890" t="str">
        <f t="shared" si="97"/>
        <v/>
      </c>
      <c r="AE983" s="890" t="str">
        <f t="shared" si="98"/>
        <v/>
      </c>
      <c r="AF983" s="890" t="str">
        <f t="shared" si="99"/>
        <v/>
      </c>
      <c r="AG983" s="192">
        <f t="shared" si="95"/>
        <v>0</v>
      </c>
    </row>
    <row r="984" spans="27:33" x14ac:dyDescent="0.25">
      <c r="AA984" s="640" t="str">
        <f t="shared" si="94"/>
        <v/>
      </c>
      <c r="AB984" s="640" t="str">
        <f t="shared" si="96"/>
        <v/>
      </c>
      <c r="AD984" s="890" t="str">
        <f t="shared" si="97"/>
        <v/>
      </c>
      <c r="AE984" s="890" t="str">
        <f t="shared" si="98"/>
        <v/>
      </c>
      <c r="AF984" s="890" t="str">
        <f t="shared" si="99"/>
        <v/>
      </c>
      <c r="AG984" s="192">
        <f t="shared" si="95"/>
        <v>0</v>
      </c>
    </row>
    <row r="985" spans="27:33" x14ac:dyDescent="0.25">
      <c r="AA985" s="640" t="str">
        <f t="shared" si="94"/>
        <v/>
      </c>
      <c r="AB985" s="640" t="str">
        <f t="shared" si="96"/>
        <v/>
      </c>
      <c r="AD985" s="890" t="str">
        <f t="shared" si="97"/>
        <v/>
      </c>
      <c r="AE985" s="890" t="str">
        <f t="shared" si="98"/>
        <v/>
      </c>
      <c r="AF985" s="890" t="str">
        <f t="shared" si="99"/>
        <v/>
      </c>
      <c r="AG985" s="192">
        <f t="shared" si="95"/>
        <v>0</v>
      </c>
    </row>
    <row r="986" spans="27:33" x14ac:dyDescent="0.25">
      <c r="AA986" s="640" t="str">
        <f t="shared" si="94"/>
        <v/>
      </c>
      <c r="AB986" s="640" t="str">
        <f t="shared" si="96"/>
        <v/>
      </c>
      <c r="AD986" s="890" t="str">
        <f t="shared" si="97"/>
        <v/>
      </c>
      <c r="AE986" s="890" t="str">
        <f t="shared" si="98"/>
        <v/>
      </c>
      <c r="AF986" s="890" t="str">
        <f t="shared" si="99"/>
        <v/>
      </c>
      <c r="AG986" s="192">
        <f t="shared" si="95"/>
        <v>0</v>
      </c>
    </row>
    <row r="987" spans="27:33" x14ac:dyDescent="0.25">
      <c r="AA987" s="640" t="str">
        <f t="shared" si="94"/>
        <v/>
      </c>
      <c r="AB987" s="640" t="str">
        <f t="shared" si="96"/>
        <v/>
      </c>
      <c r="AD987" s="890" t="str">
        <f t="shared" si="97"/>
        <v/>
      </c>
      <c r="AE987" s="890" t="str">
        <f t="shared" si="98"/>
        <v/>
      </c>
      <c r="AF987" s="890" t="str">
        <f t="shared" si="99"/>
        <v/>
      </c>
      <c r="AG987" s="192">
        <f t="shared" si="95"/>
        <v>0</v>
      </c>
    </row>
    <row r="988" spans="27:33" x14ac:dyDescent="0.25">
      <c r="AA988" s="640" t="str">
        <f t="shared" si="94"/>
        <v/>
      </c>
      <c r="AB988" s="640" t="str">
        <f t="shared" si="96"/>
        <v/>
      </c>
      <c r="AD988" s="890" t="str">
        <f t="shared" si="97"/>
        <v/>
      </c>
      <c r="AE988" s="890" t="str">
        <f t="shared" si="98"/>
        <v/>
      </c>
      <c r="AF988" s="890" t="str">
        <f t="shared" si="99"/>
        <v/>
      </c>
      <c r="AG988" s="192">
        <f t="shared" si="95"/>
        <v>0</v>
      </c>
    </row>
    <row r="989" spans="27:33" x14ac:dyDescent="0.25">
      <c r="AA989" s="640" t="str">
        <f t="shared" si="94"/>
        <v/>
      </c>
      <c r="AB989" s="640" t="str">
        <f t="shared" si="96"/>
        <v/>
      </c>
      <c r="AD989" s="890" t="str">
        <f t="shared" si="97"/>
        <v/>
      </c>
      <c r="AE989" s="890" t="str">
        <f t="shared" si="98"/>
        <v/>
      </c>
      <c r="AF989" s="890" t="str">
        <f t="shared" si="99"/>
        <v/>
      </c>
      <c r="AG989" s="192">
        <f t="shared" si="95"/>
        <v>0</v>
      </c>
    </row>
    <row r="990" spans="27:33" x14ac:dyDescent="0.25">
      <c r="AA990" s="640" t="str">
        <f t="shared" si="94"/>
        <v/>
      </c>
      <c r="AB990" s="640" t="str">
        <f t="shared" si="96"/>
        <v/>
      </c>
      <c r="AD990" s="890" t="str">
        <f t="shared" si="97"/>
        <v/>
      </c>
      <c r="AE990" s="890" t="str">
        <f t="shared" si="98"/>
        <v/>
      </c>
      <c r="AF990" s="890" t="str">
        <f t="shared" si="99"/>
        <v/>
      </c>
      <c r="AG990" s="192">
        <f t="shared" si="95"/>
        <v>0</v>
      </c>
    </row>
    <row r="991" spans="27:33" x14ac:dyDescent="0.25">
      <c r="AA991" s="640" t="str">
        <f t="shared" si="94"/>
        <v/>
      </c>
      <c r="AB991" s="640" t="str">
        <f t="shared" si="96"/>
        <v/>
      </c>
      <c r="AD991" s="890" t="str">
        <f t="shared" si="97"/>
        <v/>
      </c>
      <c r="AE991" s="890" t="str">
        <f t="shared" si="98"/>
        <v/>
      </c>
      <c r="AF991" s="890" t="str">
        <f t="shared" si="99"/>
        <v/>
      </c>
      <c r="AG991" s="192">
        <f t="shared" si="95"/>
        <v>0</v>
      </c>
    </row>
    <row r="992" spans="27:33" x14ac:dyDescent="0.25">
      <c r="AA992" s="640" t="str">
        <f t="shared" si="94"/>
        <v/>
      </c>
      <c r="AB992" s="640" t="str">
        <f t="shared" si="96"/>
        <v/>
      </c>
      <c r="AD992" s="890" t="str">
        <f t="shared" si="97"/>
        <v/>
      </c>
      <c r="AE992" s="890" t="str">
        <f t="shared" si="98"/>
        <v/>
      </c>
      <c r="AF992" s="890" t="str">
        <f t="shared" si="99"/>
        <v/>
      </c>
      <c r="AG992" s="192">
        <f t="shared" si="95"/>
        <v>0</v>
      </c>
    </row>
    <row r="993" spans="27:33" x14ac:dyDescent="0.25">
      <c r="AA993" s="640" t="str">
        <f t="shared" si="94"/>
        <v/>
      </c>
      <c r="AB993" s="640" t="str">
        <f t="shared" si="96"/>
        <v/>
      </c>
      <c r="AD993" s="890" t="str">
        <f t="shared" si="97"/>
        <v/>
      </c>
      <c r="AE993" s="890" t="str">
        <f t="shared" si="98"/>
        <v/>
      </c>
      <c r="AF993" s="890" t="str">
        <f t="shared" si="99"/>
        <v/>
      </c>
      <c r="AG993" s="192">
        <f t="shared" si="95"/>
        <v>0</v>
      </c>
    </row>
    <row r="994" spans="27:33" x14ac:dyDescent="0.25">
      <c r="AA994" s="640" t="str">
        <f t="shared" si="94"/>
        <v/>
      </c>
      <c r="AB994" s="640" t="str">
        <f t="shared" si="96"/>
        <v/>
      </c>
      <c r="AD994" s="890" t="str">
        <f t="shared" si="97"/>
        <v/>
      </c>
      <c r="AE994" s="890" t="str">
        <f t="shared" si="98"/>
        <v/>
      </c>
      <c r="AF994" s="890" t="str">
        <f t="shared" si="99"/>
        <v/>
      </c>
      <c r="AG994" s="192">
        <f t="shared" si="95"/>
        <v>0</v>
      </c>
    </row>
    <row r="995" spans="27:33" x14ac:dyDescent="0.25">
      <c r="AA995" s="640" t="str">
        <f t="shared" si="94"/>
        <v/>
      </c>
      <c r="AB995" s="640" t="str">
        <f t="shared" si="96"/>
        <v/>
      </c>
      <c r="AD995" s="890" t="str">
        <f t="shared" si="97"/>
        <v/>
      </c>
      <c r="AE995" s="890" t="str">
        <f t="shared" si="98"/>
        <v/>
      </c>
      <c r="AF995" s="890" t="str">
        <f t="shared" si="99"/>
        <v/>
      </c>
      <c r="AG995" s="192">
        <f t="shared" si="95"/>
        <v>0</v>
      </c>
    </row>
    <row r="996" spans="27:33" x14ac:dyDescent="0.25">
      <c r="AA996" s="640" t="str">
        <f t="shared" si="94"/>
        <v/>
      </c>
      <c r="AB996" s="640" t="str">
        <f t="shared" si="96"/>
        <v/>
      </c>
      <c r="AD996" s="890" t="str">
        <f t="shared" si="97"/>
        <v/>
      </c>
      <c r="AE996" s="890" t="str">
        <f t="shared" si="98"/>
        <v/>
      </c>
      <c r="AF996" s="890" t="str">
        <f t="shared" si="99"/>
        <v/>
      </c>
      <c r="AG996" s="192">
        <f t="shared" si="95"/>
        <v>0</v>
      </c>
    </row>
    <row r="997" spans="27:33" x14ac:dyDescent="0.25">
      <c r="AA997" s="640" t="str">
        <f t="shared" si="94"/>
        <v/>
      </c>
      <c r="AB997" s="640" t="str">
        <f t="shared" si="96"/>
        <v/>
      </c>
      <c r="AD997" s="890" t="str">
        <f t="shared" si="97"/>
        <v/>
      </c>
      <c r="AE997" s="890" t="str">
        <f t="shared" si="98"/>
        <v/>
      </c>
      <c r="AF997" s="890" t="str">
        <f t="shared" si="99"/>
        <v/>
      </c>
      <c r="AG997" s="192">
        <f t="shared" si="95"/>
        <v>0</v>
      </c>
    </row>
    <row r="998" spans="27:33" x14ac:dyDescent="0.25">
      <c r="AA998" s="640" t="str">
        <f t="shared" si="94"/>
        <v/>
      </c>
      <c r="AB998" s="640" t="str">
        <f t="shared" si="96"/>
        <v/>
      </c>
      <c r="AD998" s="890" t="str">
        <f t="shared" si="97"/>
        <v/>
      </c>
      <c r="AE998" s="890" t="str">
        <f t="shared" si="98"/>
        <v/>
      </c>
      <c r="AF998" s="890" t="str">
        <f t="shared" si="99"/>
        <v/>
      </c>
      <c r="AG998" s="192">
        <f t="shared" si="95"/>
        <v>0</v>
      </c>
    </row>
    <row r="999" spans="27:33" x14ac:dyDescent="0.25">
      <c r="AA999" s="640" t="str">
        <f t="shared" si="94"/>
        <v/>
      </c>
      <c r="AB999" s="640" t="str">
        <f t="shared" si="96"/>
        <v/>
      </c>
      <c r="AD999" s="890" t="str">
        <f t="shared" si="97"/>
        <v/>
      </c>
      <c r="AE999" s="890" t="str">
        <f t="shared" si="98"/>
        <v/>
      </c>
      <c r="AF999" s="890" t="str">
        <f t="shared" si="99"/>
        <v/>
      </c>
      <c r="AG999" s="192">
        <f t="shared" si="95"/>
        <v>0</v>
      </c>
    </row>
    <row r="1000" spans="27:33" x14ac:dyDescent="0.25">
      <c r="AA1000" s="640" t="str">
        <f t="shared" si="94"/>
        <v/>
      </c>
      <c r="AB1000" s="640" t="str">
        <f t="shared" si="96"/>
        <v/>
      </c>
      <c r="AD1000" s="890" t="str">
        <f t="shared" si="97"/>
        <v/>
      </c>
      <c r="AE1000" s="890" t="str">
        <f t="shared" si="98"/>
        <v/>
      </c>
      <c r="AF1000" s="890" t="str">
        <f t="shared" si="99"/>
        <v/>
      </c>
      <c r="AG1000" s="192">
        <f t="shared" si="95"/>
        <v>0</v>
      </c>
    </row>
    <row r="1001" spans="27:33" x14ac:dyDescent="0.25">
      <c r="AA1001" s="640" t="str">
        <f t="shared" si="94"/>
        <v/>
      </c>
      <c r="AB1001" s="640" t="str">
        <f t="shared" si="96"/>
        <v/>
      </c>
      <c r="AD1001" s="890" t="str">
        <f t="shared" si="97"/>
        <v/>
      </c>
      <c r="AE1001" s="890" t="str">
        <f t="shared" si="98"/>
        <v/>
      </c>
      <c r="AF1001" s="890" t="str">
        <f t="shared" si="99"/>
        <v/>
      </c>
      <c r="AG1001" s="192">
        <f t="shared" si="95"/>
        <v>0</v>
      </c>
    </row>
    <row r="1002" spans="27:33" x14ac:dyDescent="0.25">
      <c r="AA1002" s="640" t="str">
        <f t="shared" si="94"/>
        <v/>
      </c>
      <c r="AB1002" s="640" t="str">
        <f t="shared" si="96"/>
        <v/>
      </c>
      <c r="AD1002" s="890" t="str">
        <f t="shared" si="97"/>
        <v/>
      </c>
      <c r="AE1002" s="890" t="str">
        <f t="shared" si="98"/>
        <v/>
      </c>
      <c r="AF1002" s="890" t="str">
        <f t="shared" si="99"/>
        <v/>
      </c>
      <c r="AG1002" s="192">
        <f t="shared" si="95"/>
        <v>0</v>
      </c>
    </row>
    <row r="1003" spans="27:33" x14ac:dyDescent="0.25">
      <c r="AA1003" s="640" t="str">
        <f t="shared" si="94"/>
        <v/>
      </c>
      <c r="AB1003" s="640" t="str">
        <f t="shared" si="96"/>
        <v/>
      </c>
      <c r="AD1003" s="890" t="str">
        <f t="shared" si="97"/>
        <v/>
      </c>
      <c r="AE1003" s="890" t="str">
        <f t="shared" si="98"/>
        <v/>
      </c>
      <c r="AF1003" s="890" t="str">
        <f t="shared" si="99"/>
        <v/>
      </c>
      <c r="AG1003" s="192">
        <f t="shared" si="95"/>
        <v>0</v>
      </c>
    </row>
    <row r="1004" spans="27:33" x14ac:dyDescent="0.25">
      <c r="AA1004" s="640" t="str">
        <f t="shared" si="94"/>
        <v/>
      </c>
      <c r="AB1004" s="640" t="str">
        <f t="shared" si="96"/>
        <v/>
      </c>
      <c r="AD1004" s="890" t="str">
        <f t="shared" si="97"/>
        <v/>
      </c>
      <c r="AE1004" s="890" t="str">
        <f t="shared" si="98"/>
        <v/>
      </c>
      <c r="AF1004" s="890" t="str">
        <f t="shared" si="99"/>
        <v/>
      </c>
      <c r="AG1004" s="192">
        <f t="shared" si="95"/>
        <v>0</v>
      </c>
    </row>
    <row r="1005" spans="27:33" x14ac:dyDescent="0.25">
      <c r="AA1005" s="640" t="str">
        <f t="shared" si="94"/>
        <v/>
      </c>
      <c r="AB1005" s="640" t="str">
        <f t="shared" si="96"/>
        <v/>
      </c>
      <c r="AD1005" s="890" t="str">
        <f t="shared" si="97"/>
        <v/>
      </c>
      <c r="AE1005" s="890" t="str">
        <f t="shared" si="98"/>
        <v/>
      </c>
      <c r="AF1005" s="890" t="str">
        <f t="shared" si="99"/>
        <v/>
      </c>
      <c r="AG1005" s="192">
        <f t="shared" si="95"/>
        <v>0</v>
      </c>
    </row>
    <row r="1006" spans="27:33" x14ac:dyDescent="0.25">
      <c r="AA1006" s="640" t="str">
        <f t="shared" si="94"/>
        <v/>
      </c>
      <c r="AB1006" s="640" t="str">
        <f t="shared" si="96"/>
        <v/>
      </c>
      <c r="AD1006" s="890" t="str">
        <f t="shared" si="97"/>
        <v/>
      </c>
      <c r="AE1006" s="890" t="str">
        <f t="shared" si="98"/>
        <v/>
      </c>
      <c r="AF1006" s="890" t="str">
        <f t="shared" si="99"/>
        <v/>
      </c>
      <c r="AG1006" s="192">
        <f t="shared" si="95"/>
        <v>0</v>
      </c>
    </row>
    <row r="1007" spans="27:33" x14ac:dyDescent="0.25">
      <c r="AA1007" s="640" t="str">
        <f t="shared" si="94"/>
        <v/>
      </c>
      <c r="AB1007" s="640" t="str">
        <f t="shared" si="96"/>
        <v/>
      </c>
      <c r="AD1007" s="890" t="str">
        <f t="shared" si="97"/>
        <v/>
      </c>
      <c r="AE1007" s="890" t="str">
        <f t="shared" si="98"/>
        <v/>
      </c>
      <c r="AF1007" s="890" t="str">
        <f t="shared" si="99"/>
        <v/>
      </c>
      <c r="AG1007" s="192">
        <f t="shared" si="95"/>
        <v>0</v>
      </c>
    </row>
    <row r="1008" spans="27:33" x14ac:dyDescent="0.25">
      <c r="AA1008" s="640" t="str">
        <f t="shared" si="94"/>
        <v/>
      </c>
      <c r="AB1008" s="640" t="str">
        <f t="shared" si="96"/>
        <v/>
      </c>
      <c r="AD1008" s="890" t="str">
        <f t="shared" si="97"/>
        <v/>
      </c>
      <c r="AE1008" s="890" t="str">
        <f t="shared" si="98"/>
        <v/>
      </c>
      <c r="AF1008" s="890" t="str">
        <f t="shared" si="99"/>
        <v/>
      </c>
      <c r="AG1008" s="192">
        <f t="shared" si="95"/>
        <v>0</v>
      </c>
    </row>
    <row r="1009" spans="27:33" x14ac:dyDescent="0.25">
      <c r="AA1009" s="640" t="str">
        <f t="shared" si="94"/>
        <v/>
      </c>
      <c r="AB1009" s="640" t="str">
        <f t="shared" si="96"/>
        <v/>
      </c>
      <c r="AD1009" s="890" t="str">
        <f t="shared" si="97"/>
        <v/>
      </c>
      <c r="AE1009" s="890" t="str">
        <f t="shared" si="98"/>
        <v/>
      </c>
      <c r="AF1009" s="890" t="str">
        <f t="shared" si="99"/>
        <v/>
      </c>
      <c r="AG1009" s="192">
        <f t="shared" si="95"/>
        <v>0</v>
      </c>
    </row>
    <row r="1010" spans="27:33" x14ac:dyDescent="0.25">
      <c r="AA1010" s="640" t="str">
        <f t="shared" si="94"/>
        <v/>
      </c>
      <c r="AB1010" s="640" t="str">
        <f t="shared" si="96"/>
        <v/>
      </c>
      <c r="AD1010" s="890" t="str">
        <f t="shared" si="97"/>
        <v/>
      </c>
      <c r="AE1010" s="890" t="str">
        <f t="shared" si="98"/>
        <v/>
      </c>
      <c r="AF1010" s="890" t="str">
        <f t="shared" si="99"/>
        <v/>
      </c>
      <c r="AG1010" s="192">
        <f t="shared" si="95"/>
        <v>0</v>
      </c>
    </row>
    <row r="1011" spans="27:33" x14ac:dyDescent="0.25">
      <c r="AA1011" s="640" t="str">
        <f t="shared" si="94"/>
        <v/>
      </c>
      <c r="AB1011" s="640" t="str">
        <f t="shared" si="96"/>
        <v/>
      </c>
      <c r="AD1011" s="890" t="str">
        <f t="shared" si="97"/>
        <v/>
      </c>
      <c r="AE1011" s="890" t="str">
        <f t="shared" si="98"/>
        <v/>
      </c>
      <c r="AF1011" s="890" t="str">
        <f t="shared" si="99"/>
        <v/>
      </c>
      <c r="AG1011" s="192">
        <f t="shared" si="95"/>
        <v>0</v>
      </c>
    </row>
    <row r="1012" spans="27:33" x14ac:dyDescent="0.25">
      <c r="AA1012" s="640" t="str">
        <f t="shared" si="94"/>
        <v/>
      </c>
      <c r="AB1012" s="640" t="str">
        <f t="shared" si="96"/>
        <v/>
      </c>
      <c r="AD1012" s="890" t="str">
        <f t="shared" si="97"/>
        <v/>
      </c>
      <c r="AE1012" s="890" t="str">
        <f t="shared" si="98"/>
        <v/>
      </c>
      <c r="AF1012" s="890" t="str">
        <f t="shared" si="99"/>
        <v/>
      </c>
      <c r="AG1012" s="192">
        <f t="shared" si="95"/>
        <v>0</v>
      </c>
    </row>
    <row r="1013" spans="27:33" x14ac:dyDescent="0.25">
      <c r="AA1013" s="640" t="str">
        <f t="shared" si="94"/>
        <v/>
      </c>
      <c r="AB1013" s="640" t="str">
        <f t="shared" si="96"/>
        <v/>
      </c>
      <c r="AD1013" s="890" t="str">
        <f t="shared" si="97"/>
        <v/>
      </c>
      <c r="AE1013" s="890" t="str">
        <f t="shared" si="98"/>
        <v/>
      </c>
      <c r="AF1013" s="890" t="str">
        <f t="shared" si="99"/>
        <v/>
      </c>
      <c r="AG1013" s="192">
        <f t="shared" si="95"/>
        <v>0</v>
      </c>
    </row>
    <row r="1014" spans="27:33" x14ac:dyDescent="0.25">
      <c r="AA1014" s="640" t="str">
        <f t="shared" si="94"/>
        <v/>
      </c>
      <c r="AB1014" s="640" t="str">
        <f t="shared" si="96"/>
        <v/>
      </c>
      <c r="AD1014" s="890" t="str">
        <f t="shared" si="97"/>
        <v/>
      </c>
      <c r="AE1014" s="890" t="str">
        <f t="shared" si="98"/>
        <v/>
      </c>
      <c r="AF1014" s="890" t="str">
        <f t="shared" si="99"/>
        <v/>
      </c>
      <c r="AG1014" s="192">
        <f t="shared" si="95"/>
        <v>0</v>
      </c>
    </row>
    <row r="1015" spans="27:33" x14ac:dyDescent="0.25">
      <c r="AA1015" s="640" t="str">
        <f t="shared" si="94"/>
        <v/>
      </c>
      <c r="AB1015" s="640" t="str">
        <f t="shared" si="96"/>
        <v/>
      </c>
      <c r="AD1015" s="890" t="str">
        <f t="shared" si="97"/>
        <v/>
      </c>
      <c r="AE1015" s="890" t="str">
        <f t="shared" si="98"/>
        <v/>
      </c>
      <c r="AF1015" s="890" t="str">
        <f t="shared" si="99"/>
        <v/>
      </c>
      <c r="AG1015" s="192">
        <f t="shared" si="95"/>
        <v>0</v>
      </c>
    </row>
    <row r="1016" spans="27:33" x14ac:dyDescent="0.25">
      <c r="AA1016" s="640" t="str">
        <f t="shared" si="94"/>
        <v/>
      </c>
      <c r="AB1016" s="640" t="str">
        <f t="shared" si="96"/>
        <v/>
      </c>
      <c r="AD1016" s="890" t="str">
        <f t="shared" si="97"/>
        <v/>
      </c>
      <c r="AE1016" s="890" t="str">
        <f t="shared" si="98"/>
        <v/>
      </c>
      <c r="AF1016" s="890" t="str">
        <f t="shared" si="99"/>
        <v/>
      </c>
      <c r="AG1016" s="192">
        <f t="shared" si="95"/>
        <v>0</v>
      </c>
    </row>
    <row r="1017" spans="27:33" x14ac:dyDescent="0.25">
      <c r="AA1017" s="640" t="str">
        <f t="shared" si="94"/>
        <v/>
      </c>
      <c r="AB1017" s="640" t="str">
        <f t="shared" si="96"/>
        <v/>
      </c>
      <c r="AD1017" s="890" t="str">
        <f t="shared" si="97"/>
        <v/>
      </c>
      <c r="AE1017" s="890" t="str">
        <f t="shared" si="98"/>
        <v/>
      </c>
      <c r="AF1017" s="890" t="str">
        <f t="shared" si="99"/>
        <v/>
      </c>
      <c r="AG1017" s="192">
        <f t="shared" si="95"/>
        <v>0</v>
      </c>
    </row>
    <row r="1018" spans="27:33" x14ac:dyDescent="0.25">
      <c r="AA1018" s="640" t="str">
        <f t="shared" si="94"/>
        <v/>
      </c>
      <c r="AB1018" s="640" t="str">
        <f t="shared" si="96"/>
        <v/>
      </c>
      <c r="AD1018" s="890" t="str">
        <f t="shared" si="97"/>
        <v/>
      </c>
      <c r="AE1018" s="890" t="str">
        <f t="shared" si="98"/>
        <v/>
      </c>
      <c r="AF1018" s="890" t="str">
        <f t="shared" si="99"/>
        <v/>
      </c>
      <c r="AG1018" s="192">
        <f t="shared" si="95"/>
        <v>0</v>
      </c>
    </row>
    <row r="1019" spans="27:33" x14ac:dyDescent="0.25">
      <c r="AA1019" s="640" t="str">
        <f t="shared" si="94"/>
        <v/>
      </c>
      <c r="AB1019" s="640" t="str">
        <f t="shared" si="96"/>
        <v/>
      </c>
      <c r="AD1019" s="890" t="str">
        <f t="shared" si="97"/>
        <v/>
      </c>
      <c r="AE1019" s="890" t="str">
        <f t="shared" si="98"/>
        <v/>
      </c>
      <c r="AF1019" s="890" t="str">
        <f t="shared" si="99"/>
        <v/>
      </c>
      <c r="AG1019" s="192">
        <f t="shared" si="95"/>
        <v>0</v>
      </c>
    </row>
    <row r="1020" spans="27:33" x14ac:dyDescent="0.25">
      <c r="AA1020" s="640" t="str">
        <f t="shared" si="94"/>
        <v/>
      </c>
      <c r="AB1020" s="640" t="str">
        <f t="shared" si="96"/>
        <v/>
      </c>
      <c r="AD1020" s="890" t="str">
        <f t="shared" si="97"/>
        <v/>
      </c>
      <c r="AE1020" s="890" t="str">
        <f t="shared" si="98"/>
        <v/>
      </c>
      <c r="AF1020" s="890" t="str">
        <f t="shared" si="99"/>
        <v/>
      </c>
      <c r="AG1020" s="192">
        <f t="shared" si="95"/>
        <v>0</v>
      </c>
    </row>
    <row r="1021" spans="27:33" x14ac:dyDescent="0.25">
      <c r="AA1021" s="640" t="str">
        <f t="shared" si="94"/>
        <v/>
      </c>
      <c r="AB1021" s="640" t="str">
        <f t="shared" si="96"/>
        <v/>
      </c>
      <c r="AD1021" s="890" t="str">
        <f t="shared" si="97"/>
        <v/>
      </c>
      <c r="AE1021" s="890" t="str">
        <f t="shared" si="98"/>
        <v/>
      </c>
      <c r="AF1021" s="890" t="str">
        <f t="shared" si="99"/>
        <v/>
      </c>
      <c r="AG1021" s="192">
        <f t="shared" si="95"/>
        <v>0</v>
      </c>
    </row>
    <row r="1022" spans="27:33" x14ac:dyDescent="0.25">
      <c r="AA1022" s="640" t="str">
        <f t="shared" si="94"/>
        <v/>
      </c>
      <c r="AB1022" s="640" t="str">
        <f t="shared" si="96"/>
        <v/>
      </c>
      <c r="AD1022" s="890" t="str">
        <f t="shared" si="97"/>
        <v/>
      </c>
      <c r="AE1022" s="890" t="str">
        <f t="shared" si="98"/>
        <v/>
      </c>
      <c r="AF1022" s="890" t="str">
        <f t="shared" si="99"/>
        <v/>
      </c>
      <c r="AG1022" s="192">
        <f t="shared" si="95"/>
        <v>0</v>
      </c>
    </row>
    <row r="1023" spans="27:33" x14ac:dyDescent="0.25">
      <c r="AA1023" s="640" t="str">
        <f t="shared" si="94"/>
        <v/>
      </c>
      <c r="AB1023" s="640" t="str">
        <f t="shared" si="96"/>
        <v/>
      </c>
      <c r="AD1023" s="890" t="str">
        <f t="shared" si="97"/>
        <v/>
      </c>
      <c r="AE1023" s="890" t="str">
        <f t="shared" si="98"/>
        <v/>
      </c>
      <c r="AF1023" s="890" t="str">
        <f t="shared" si="99"/>
        <v/>
      </c>
      <c r="AG1023" s="192">
        <f t="shared" si="95"/>
        <v>0</v>
      </c>
    </row>
    <row r="1024" spans="27:33" x14ac:dyDescent="0.25">
      <c r="AA1024" s="640" t="str">
        <f t="shared" si="94"/>
        <v/>
      </c>
      <c r="AB1024" s="640" t="str">
        <f t="shared" si="96"/>
        <v/>
      </c>
      <c r="AD1024" s="890" t="str">
        <f t="shared" si="97"/>
        <v/>
      </c>
      <c r="AE1024" s="890" t="str">
        <f t="shared" si="98"/>
        <v/>
      </c>
      <c r="AF1024" s="890" t="str">
        <f t="shared" si="99"/>
        <v/>
      </c>
      <c r="AG1024" s="192">
        <f t="shared" si="95"/>
        <v>0</v>
      </c>
    </row>
    <row r="1025" spans="27:33" x14ac:dyDescent="0.25">
      <c r="AA1025" s="640" t="str">
        <f t="shared" si="94"/>
        <v/>
      </c>
      <c r="AB1025" s="640" t="str">
        <f t="shared" si="96"/>
        <v/>
      </c>
      <c r="AD1025" s="890" t="str">
        <f t="shared" si="97"/>
        <v/>
      </c>
      <c r="AE1025" s="890" t="str">
        <f t="shared" si="98"/>
        <v/>
      </c>
      <c r="AF1025" s="890" t="str">
        <f t="shared" si="99"/>
        <v/>
      </c>
      <c r="AG1025" s="192">
        <f t="shared" si="95"/>
        <v>0</v>
      </c>
    </row>
    <row r="1026" spans="27:33" x14ac:dyDescent="0.25">
      <c r="AA1026" s="640" t="str">
        <f t="shared" si="94"/>
        <v/>
      </c>
      <c r="AB1026" s="640" t="str">
        <f t="shared" si="96"/>
        <v/>
      </c>
      <c r="AD1026" s="890" t="str">
        <f t="shared" si="97"/>
        <v/>
      </c>
      <c r="AE1026" s="890" t="str">
        <f t="shared" si="98"/>
        <v/>
      </c>
      <c r="AF1026" s="890" t="str">
        <f t="shared" si="99"/>
        <v/>
      </c>
      <c r="AG1026" s="192">
        <f t="shared" si="95"/>
        <v>0</v>
      </c>
    </row>
    <row r="1027" spans="27:33" x14ac:dyDescent="0.25">
      <c r="AA1027" s="640" t="str">
        <f t="shared" si="94"/>
        <v/>
      </c>
      <c r="AB1027" s="640" t="str">
        <f t="shared" si="96"/>
        <v/>
      </c>
      <c r="AD1027" s="890" t="str">
        <f t="shared" si="97"/>
        <v/>
      </c>
      <c r="AE1027" s="890" t="str">
        <f t="shared" si="98"/>
        <v/>
      </c>
      <c r="AF1027" s="890" t="str">
        <f t="shared" si="99"/>
        <v/>
      </c>
      <c r="AG1027" s="192">
        <f t="shared" si="95"/>
        <v>0</v>
      </c>
    </row>
    <row r="1028" spans="27:33" x14ac:dyDescent="0.25">
      <c r="AA1028" s="640" t="str">
        <f t="shared" si="94"/>
        <v/>
      </c>
      <c r="AB1028" s="640" t="str">
        <f t="shared" si="96"/>
        <v/>
      </c>
      <c r="AD1028" s="890" t="str">
        <f t="shared" si="97"/>
        <v/>
      </c>
      <c r="AE1028" s="890" t="str">
        <f t="shared" si="98"/>
        <v/>
      </c>
      <c r="AF1028" s="890" t="str">
        <f t="shared" si="99"/>
        <v/>
      </c>
      <c r="AG1028" s="192">
        <f t="shared" si="95"/>
        <v>0</v>
      </c>
    </row>
    <row r="1029" spans="27:33" x14ac:dyDescent="0.25">
      <c r="AA1029" s="640" t="str">
        <f t="shared" si="94"/>
        <v/>
      </c>
      <c r="AB1029" s="640" t="str">
        <f t="shared" si="96"/>
        <v/>
      </c>
      <c r="AD1029" s="890" t="str">
        <f t="shared" si="97"/>
        <v/>
      </c>
      <c r="AE1029" s="890" t="str">
        <f t="shared" si="98"/>
        <v/>
      </c>
      <c r="AF1029" s="890" t="str">
        <f t="shared" si="99"/>
        <v/>
      </c>
      <c r="AG1029" s="192">
        <f t="shared" si="95"/>
        <v>0</v>
      </c>
    </row>
    <row r="1030" spans="27:33" x14ac:dyDescent="0.25">
      <c r="AA1030" s="640" t="str">
        <f t="shared" si="94"/>
        <v/>
      </c>
      <c r="AB1030" s="640" t="str">
        <f t="shared" si="96"/>
        <v/>
      </c>
      <c r="AD1030" s="890" t="str">
        <f t="shared" si="97"/>
        <v/>
      </c>
      <c r="AE1030" s="890" t="str">
        <f t="shared" si="98"/>
        <v/>
      </c>
      <c r="AF1030" s="890" t="str">
        <f t="shared" si="99"/>
        <v/>
      </c>
      <c r="AG1030" s="192">
        <f t="shared" si="95"/>
        <v>0</v>
      </c>
    </row>
    <row r="1031" spans="27:33" x14ac:dyDescent="0.25">
      <c r="AA1031" s="640" t="str">
        <f t="shared" ref="AA1031:AA1094" si="100">IF(G1031=0, IF(OR(H1031&gt;0,F1031&gt;0),C1031*F1031,""),"")</f>
        <v/>
      </c>
      <c r="AB1031" s="640" t="str">
        <f t="shared" si="96"/>
        <v/>
      </c>
      <c r="AD1031" s="890" t="str">
        <f t="shared" si="97"/>
        <v/>
      </c>
      <c r="AE1031" s="890" t="str">
        <f t="shared" si="98"/>
        <v/>
      </c>
      <c r="AF1031" s="890" t="str">
        <f t="shared" si="99"/>
        <v/>
      </c>
      <c r="AG1031" s="192">
        <f t="shared" ref="AG1031:AG1094" si="101">(C1031*G1031)+(C1031*H1031)+(C1031*I1031)</f>
        <v>0</v>
      </c>
    </row>
    <row r="1032" spans="27:33" x14ac:dyDescent="0.25">
      <c r="AA1032" s="640" t="str">
        <f t="shared" si="100"/>
        <v/>
      </c>
      <c r="AB1032" s="640" t="str">
        <f t="shared" ref="AB1032:AB1095" si="102">IF(G1032&gt;=1,IF(F1032&gt;1,C1032*(F1032-2),""),"")</f>
        <v/>
      </c>
      <c r="AD1032" s="890" t="str">
        <f t="shared" ref="AD1032:AD1095" si="103">IF(E1032="YES",IF(G1032=1,"",""),IF(G1032=1,C1032,IF(G1032=2,C1032,IF(G1032=0,"",""))))</f>
        <v/>
      </c>
      <c r="AE1032" s="890" t="str">
        <f t="shared" ref="AE1032:AE1095" si="104">IF(E1032="YES",IF(G1032=1,"",IF(H1032=1,C1032,"")),IF(H1032=1,C1032,IF(H1032=2,C1032,IF(H1032=0,"",""))))</f>
        <v/>
      </c>
      <c r="AF1032" s="890" t="str">
        <f t="shared" ref="AF1032:AF1095" si="105">IF(E1032="YES",IF(I1032=1,C1032,""),IF(I1032=1,C1032,IF(I1032=2,C1032,IF(I1032=0,"",""))))</f>
        <v/>
      </c>
      <c r="AG1032" s="192">
        <f t="shared" si="101"/>
        <v>0</v>
      </c>
    </row>
    <row r="1033" spans="27:33" x14ac:dyDescent="0.25">
      <c r="AA1033" s="640" t="str">
        <f t="shared" si="100"/>
        <v/>
      </c>
      <c r="AB1033" s="640" t="str">
        <f t="shared" si="102"/>
        <v/>
      </c>
      <c r="AD1033" s="890" t="str">
        <f t="shared" si="103"/>
        <v/>
      </c>
      <c r="AE1033" s="890" t="str">
        <f t="shared" si="104"/>
        <v/>
      </c>
      <c r="AF1033" s="890" t="str">
        <f t="shared" si="105"/>
        <v/>
      </c>
      <c r="AG1033" s="192">
        <f t="shared" si="101"/>
        <v>0</v>
      </c>
    </row>
    <row r="1034" spans="27:33" x14ac:dyDescent="0.25">
      <c r="AA1034" s="640" t="str">
        <f t="shared" si="100"/>
        <v/>
      </c>
      <c r="AB1034" s="640" t="str">
        <f t="shared" si="102"/>
        <v/>
      </c>
      <c r="AD1034" s="890" t="str">
        <f t="shared" si="103"/>
        <v/>
      </c>
      <c r="AE1034" s="890" t="str">
        <f t="shared" si="104"/>
        <v/>
      </c>
      <c r="AF1034" s="890" t="str">
        <f t="shared" si="105"/>
        <v/>
      </c>
      <c r="AG1034" s="192">
        <f t="shared" si="101"/>
        <v>0</v>
      </c>
    </row>
    <row r="1035" spans="27:33" x14ac:dyDescent="0.25">
      <c r="AA1035" s="640" t="str">
        <f t="shared" si="100"/>
        <v/>
      </c>
      <c r="AB1035" s="640" t="str">
        <f t="shared" si="102"/>
        <v/>
      </c>
      <c r="AD1035" s="890" t="str">
        <f t="shared" si="103"/>
        <v/>
      </c>
      <c r="AE1035" s="890" t="str">
        <f t="shared" si="104"/>
        <v/>
      </c>
      <c r="AF1035" s="890" t="str">
        <f t="shared" si="105"/>
        <v/>
      </c>
      <c r="AG1035" s="192">
        <f t="shared" si="101"/>
        <v>0</v>
      </c>
    </row>
    <row r="1036" spans="27:33" x14ac:dyDescent="0.25">
      <c r="AA1036" s="640" t="str">
        <f t="shared" si="100"/>
        <v/>
      </c>
      <c r="AB1036" s="640" t="str">
        <f t="shared" si="102"/>
        <v/>
      </c>
      <c r="AD1036" s="890" t="str">
        <f t="shared" si="103"/>
        <v/>
      </c>
      <c r="AE1036" s="890" t="str">
        <f t="shared" si="104"/>
        <v/>
      </c>
      <c r="AF1036" s="890" t="str">
        <f t="shared" si="105"/>
        <v/>
      </c>
      <c r="AG1036" s="192">
        <f t="shared" si="101"/>
        <v>0</v>
      </c>
    </row>
    <row r="1037" spans="27:33" x14ac:dyDescent="0.25">
      <c r="AA1037" s="640" t="str">
        <f t="shared" si="100"/>
        <v/>
      </c>
      <c r="AB1037" s="640" t="str">
        <f t="shared" si="102"/>
        <v/>
      </c>
      <c r="AD1037" s="890" t="str">
        <f t="shared" si="103"/>
        <v/>
      </c>
      <c r="AE1037" s="890" t="str">
        <f t="shared" si="104"/>
        <v/>
      </c>
      <c r="AF1037" s="890" t="str">
        <f t="shared" si="105"/>
        <v/>
      </c>
      <c r="AG1037" s="192">
        <f t="shared" si="101"/>
        <v>0</v>
      </c>
    </row>
    <row r="1038" spans="27:33" x14ac:dyDescent="0.25">
      <c r="AA1038" s="640" t="str">
        <f t="shared" si="100"/>
        <v/>
      </c>
      <c r="AB1038" s="640" t="str">
        <f t="shared" si="102"/>
        <v/>
      </c>
      <c r="AD1038" s="890" t="str">
        <f t="shared" si="103"/>
        <v/>
      </c>
      <c r="AE1038" s="890" t="str">
        <f t="shared" si="104"/>
        <v/>
      </c>
      <c r="AF1038" s="890" t="str">
        <f t="shared" si="105"/>
        <v/>
      </c>
      <c r="AG1038" s="192">
        <f t="shared" si="101"/>
        <v>0</v>
      </c>
    </row>
    <row r="1039" spans="27:33" x14ac:dyDescent="0.25">
      <c r="AA1039" s="640" t="str">
        <f t="shared" si="100"/>
        <v/>
      </c>
      <c r="AB1039" s="640" t="str">
        <f t="shared" si="102"/>
        <v/>
      </c>
      <c r="AD1039" s="890" t="str">
        <f t="shared" si="103"/>
        <v/>
      </c>
      <c r="AE1039" s="890" t="str">
        <f t="shared" si="104"/>
        <v/>
      </c>
      <c r="AF1039" s="890" t="str">
        <f t="shared" si="105"/>
        <v/>
      </c>
      <c r="AG1039" s="192">
        <f t="shared" si="101"/>
        <v>0</v>
      </c>
    </row>
    <row r="1040" spans="27:33" x14ac:dyDescent="0.25">
      <c r="AA1040" s="640" t="str">
        <f t="shared" si="100"/>
        <v/>
      </c>
      <c r="AB1040" s="640" t="str">
        <f t="shared" si="102"/>
        <v/>
      </c>
      <c r="AD1040" s="890" t="str">
        <f t="shared" si="103"/>
        <v/>
      </c>
      <c r="AE1040" s="890" t="str">
        <f t="shared" si="104"/>
        <v/>
      </c>
      <c r="AF1040" s="890" t="str">
        <f t="shared" si="105"/>
        <v/>
      </c>
      <c r="AG1040" s="192">
        <f t="shared" si="101"/>
        <v>0</v>
      </c>
    </row>
    <row r="1041" spans="27:33" x14ac:dyDescent="0.25">
      <c r="AA1041" s="640" t="str">
        <f t="shared" si="100"/>
        <v/>
      </c>
      <c r="AB1041" s="640" t="str">
        <f t="shared" si="102"/>
        <v/>
      </c>
      <c r="AD1041" s="890" t="str">
        <f t="shared" si="103"/>
        <v/>
      </c>
      <c r="AE1041" s="890" t="str">
        <f t="shared" si="104"/>
        <v/>
      </c>
      <c r="AF1041" s="890" t="str">
        <f t="shared" si="105"/>
        <v/>
      </c>
      <c r="AG1041" s="192">
        <f t="shared" si="101"/>
        <v>0</v>
      </c>
    </row>
    <row r="1042" spans="27:33" x14ac:dyDescent="0.25">
      <c r="AA1042" s="640" t="str">
        <f t="shared" si="100"/>
        <v/>
      </c>
      <c r="AB1042" s="640" t="str">
        <f t="shared" si="102"/>
        <v/>
      </c>
      <c r="AD1042" s="890" t="str">
        <f t="shared" si="103"/>
        <v/>
      </c>
      <c r="AE1042" s="890" t="str">
        <f t="shared" si="104"/>
        <v/>
      </c>
      <c r="AF1042" s="890" t="str">
        <f t="shared" si="105"/>
        <v/>
      </c>
      <c r="AG1042" s="192">
        <f t="shared" si="101"/>
        <v>0</v>
      </c>
    </row>
    <row r="1043" spans="27:33" x14ac:dyDescent="0.25">
      <c r="AA1043" s="640" t="str">
        <f t="shared" si="100"/>
        <v/>
      </c>
      <c r="AB1043" s="640" t="str">
        <f t="shared" si="102"/>
        <v/>
      </c>
      <c r="AD1043" s="890" t="str">
        <f t="shared" si="103"/>
        <v/>
      </c>
      <c r="AE1043" s="890" t="str">
        <f t="shared" si="104"/>
        <v/>
      </c>
      <c r="AF1043" s="890" t="str">
        <f t="shared" si="105"/>
        <v/>
      </c>
      <c r="AG1043" s="192">
        <f t="shared" si="101"/>
        <v>0</v>
      </c>
    </row>
    <row r="1044" spans="27:33" x14ac:dyDescent="0.25">
      <c r="AA1044" s="640" t="str">
        <f t="shared" si="100"/>
        <v/>
      </c>
      <c r="AB1044" s="640" t="str">
        <f t="shared" si="102"/>
        <v/>
      </c>
      <c r="AD1044" s="890" t="str">
        <f t="shared" si="103"/>
        <v/>
      </c>
      <c r="AE1044" s="890" t="str">
        <f t="shared" si="104"/>
        <v/>
      </c>
      <c r="AF1044" s="890" t="str">
        <f t="shared" si="105"/>
        <v/>
      </c>
      <c r="AG1044" s="192">
        <f t="shared" si="101"/>
        <v>0</v>
      </c>
    </row>
    <row r="1045" spans="27:33" x14ac:dyDescent="0.25">
      <c r="AA1045" s="640" t="str">
        <f t="shared" si="100"/>
        <v/>
      </c>
      <c r="AB1045" s="640" t="str">
        <f t="shared" si="102"/>
        <v/>
      </c>
      <c r="AD1045" s="890" t="str">
        <f t="shared" si="103"/>
        <v/>
      </c>
      <c r="AE1045" s="890" t="str">
        <f t="shared" si="104"/>
        <v/>
      </c>
      <c r="AF1045" s="890" t="str">
        <f t="shared" si="105"/>
        <v/>
      </c>
      <c r="AG1045" s="192">
        <f t="shared" si="101"/>
        <v>0</v>
      </c>
    </row>
    <row r="1046" spans="27:33" x14ac:dyDescent="0.25">
      <c r="AA1046" s="640" t="str">
        <f t="shared" si="100"/>
        <v/>
      </c>
      <c r="AB1046" s="640" t="str">
        <f t="shared" si="102"/>
        <v/>
      </c>
      <c r="AD1046" s="890" t="str">
        <f t="shared" si="103"/>
        <v/>
      </c>
      <c r="AE1046" s="890" t="str">
        <f t="shared" si="104"/>
        <v/>
      </c>
      <c r="AF1046" s="890" t="str">
        <f t="shared" si="105"/>
        <v/>
      </c>
      <c r="AG1046" s="192">
        <f t="shared" si="101"/>
        <v>0</v>
      </c>
    </row>
    <row r="1047" spans="27:33" x14ac:dyDescent="0.25">
      <c r="AA1047" s="640" t="str">
        <f t="shared" si="100"/>
        <v/>
      </c>
      <c r="AB1047" s="640" t="str">
        <f t="shared" si="102"/>
        <v/>
      </c>
      <c r="AD1047" s="890" t="str">
        <f t="shared" si="103"/>
        <v/>
      </c>
      <c r="AE1047" s="890" t="str">
        <f t="shared" si="104"/>
        <v/>
      </c>
      <c r="AF1047" s="890" t="str">
        <f t="shared" si="105"/>
        <v/>
      </c>
      <c r="AG1047" s="192">
        <f t="shared" si="101"/>
        <v>0</v>
      </c>
    </row>
    <row r="1048" spans="27:33" x14ac:dyDescent="0.25">
      <c r="AA1048" s="640" t="str">
        <f t="shared" si="100"/>
        <v/>
      </c>
      <c r="AB1048" s="640" t="str">
        <f t="shared" si="102"/>
        <v/>
      </c>
      <c r="AD1048" s="890" t="str">
        <f t="shared" si="103"/>
        <v/>
      </c>
      <c r="AE1048" s="890" t="str">
        <f t="shared" si="104"/>
        <v/>
      </c>
      <c r="AF1048" s="890" t="str">
        <f t="shared" si="105"/>
        <v/>
      </c>
      <c r="AG1048" s="192">
        <f t="shared" si="101"/>
        <v>0</v>
      </c>
    </row>
    <row r="1049" spans="27:33" x14ac:dyDescent="0.25">
      <c r="AA1049" s="640" t="str">
        <f t="shared" si="100"/>
        <v/>
      </c>
      <c r="AB1049" s="640" t="str">
        <f t="shared" si="102"/>
        <v/>
      </c>
      <c r="AD1049" s="890" t="str">
        <f t="shared" si="103"/>
        <v/>
      </c>
      <c r="AE1049" s="890" t="str">
        <f t="shared" si="104"/>
        <v/>
      </c>
      <c r="AF1049" s="890" t="str">
        <f t="shared" si="105"/>
        <v/>
      </c>
      <c r="AG1049" s="192">
        <f t="shared" si="101"/>
        <v>0</v>
      </c>
    </row>
    <row r="1050" spans="27:33" x14ac:dyDescent="0.25">
      <c r="AA1050" s="640" t="str">
        <f t="shared" si="100"/>
        <v/>
      </c>
      <c r="AB1050" s="640" t="str">
        <f t="shared" si="102"/>
        <v/>
      </c>
      <c r="AD1050" s="890" t="str">
        <f t="shared" si="103"/>
        <v/>
      </c>
      <c r="AE1050" s="890" t="str">
        <f t="shared" si="104"/>
        <v/>
      </c>
      <c r="AF1050" s="890" t="str">
        <f t="shared" si="105"/>
        <v/>
      </c>
      <c r="AG1050" s="192">
        <f t="shared" si="101"/>
        <v>0</v>
      </c>
    </row>
    <row r="1051" spans="27:33" x14ac:dyDescent="0.25">
      <c r="AA1051" s="640" t="str">
        <f t="shared" si="100"/>
        <v/>
      </c>
      <c r="AB1051" s="640" t="str">
        <f t="shared" si="102"/>
        <v/>
      </c>
      <c r="AD1051" s="890" t="str">
        <f t="shared" si="103"/>
        <v/>
      </c>
      <c r="AE1051" s="890" t="str">
        <f t="shared" si="104"/>
        <v/>
      </c>
      <c r="AF1051" s="890" t="str">
        <f t="shared" si="105"/>
        <v/>
      </c>
      <c r="AG1051" s="192">
        <f t="shared" si="101"/>
        <v>0</v>
      </c>
    </row>
    <row r="1052" spans="27:33" x14ac:dyDescent="0.25">
      <c r="AA1052" s="640" t="str">
        <f t="shared" si="100"/>
        <v/>
      </c>
      <c r="AB1052" s="640" t="str">
        <f t="shared" si="102"/>
        <v/>
      </c>
      <c r="AD1052" s="890" t="str">
        <f t="shared" si="103"/>
        <v/>
      </c>
      <c r="AE1052" s="890" t="str">
        <f t="shared" si="104"/>
        <v/>
      </c>
      <c r="AF1052" s="890" t="str">
        <f t="shared" si="105"/>
        <v/>
      </c>
      <c r="AG1052" s="192">
        <f t="shared" si="101"/>
        <v>0</v>
      </c>
    </row>
    <row r="1053" spans="27:33" x14ac:dyDescent="0.25">
      <c r="AA1053" s="640" t="str">
        <f t="shared" si="100"/>
        <v/>
      </c>
      <c r="AB1053" s="640" t="str">
        <f t="shared" si="102"/>
        <v/>
      </c>
      <c r="AD1053" s="890" t="str">
        <f t="shared" si="103"/>
        <v/>
      </c>
      <c r="AE1053" s="890" t="str">
        <f t="shared" si="104"/>
        <v/>
      </c>
      <c r="AF1053" s="890" t="str">
        <f t="shared" si="105"/>
        <v/>
      </c>
      <c r="AG1053" s="192">
        <f t="shared" si="101"/>
        <v>0</v>
      </c>
    </row>
    <row r="1054" spans="27:33" x14ac:dyDescent="0.25">
      <c r="AA1054" s="640" t="str">
        <f t="shared" si="100"/>
        <v/>
      </c>
      <c r="AB1054" s="640" t="str">
        <f t="shared" si="102"/>
        <v/>
      </c>
      <c r="AD1054" s="890" t="str">
        <f t="shared" si="103"/>
        <v/>
      </c>
      <c r="AE1054" s="890" t="str">
        <f t="shared" si="104"/>
        <v/>
      </c>
      <c r="AF1054" s="890" t="str">
        <f t="shared" si="105"/>
        <v/>
      </c>
      <c r="AG1054" s="192">
        <f t="shared" si="101"/>
        <v>0</v>
      </c>
    </row>
    <row r="1055" spans="27:33" x14ac:dyDescent="0.25">
      <c r="AA1055" s="640" t="str">
        <f t="shared" si="100"/>
        <v/>
      </c>
      <c r="AB1055" s="640" t="str">
        <f t="shared" si="102"/>
        <v/>
      </c>
      <c r="AD1055" s="890" t="str">
        <f t="shared" si="103"/>
        <v/>
      </c>
      <c r="AE1055" s="890" t="str">
        <f t="shared" si="104"/>
        <v/>
      </c>
      <c r="AF1055" s="890" t="str">
        <f t="shared" si="105"/>
        <v/>
      </c>
      <c r="AG1055" s="192">
        <f t="shared" si="101"/>
        <v>0</v>
      </c>
    </row>
    <row r="1056" spans="27:33" x14ac:dyDescent="0.25">
      <c r="AA1056" s="640" t="str">
        <f t="shared" si="100"/>
        <v/>
      </c>
      <c r="AB1056" s="640" t="str">
        <f t="shared" si="102"/>
        <v/>
      </c>
      <c r="AD1056" s="890" t="str">
        <f t="shared" si="103"/>
        <v/>
      </c>
      <c r="AE1056" s="890" t="str">
        <f t="shared" si="104"/>
        <v/>
      </c>
      <c r="AF1056" s="890" t="str">
        <f t="shared" si="105"/>
        <v/>
      </c>
      <c r="AG1056" s="192">
        <f t="shared" si="101"/>
        <v>0</v>
      </c>
    </row>
    <row r="1057" spans="27:33" x14ac:dyDescent="0.25">
      <c r="AA1057" s="640" t="str">
        <f t="shared" si="100"/>
        <v/>
      </c>
      <c r="AB1057" s="640" t="str">
        <f t="shared" si="102"/>
        <v/>
      </c>
      <c r="AD1057" s="890" t="str">
        <f t="shared" si="103"/>
        <v/>
      </c>
      <c r="AE1057" s="890" t="str">
        <f t="shared" si="104"/>
        <v/>
      </c>
      <c r="AF1057" s="890" t="str">
        <f t="shared" si="105"/>
        <v/>
      </c>
      <c r="AG1057" s="192">
        <f t="shared" si="101"/>
        <v>0</v>
      </c>
    </row>
    <row r="1058" spans="27:33" x14ac:dyDescent="0.25">
      <c r="AA1058" s="640" t="str">
        <f t="shared" si="100"/>
        <v/>
      </c>
      <c r="AB1058" s="640" t="str">
        <f t="shared" si="102"/>
        <v/>
      </c>
      <c r="AD1058" s="890" t="str">
        <f t="shared" si="103"/>
        <v/>
      </c>
      <c r="AE1058" s="890" t="str">
        <f t="shared" si="104"/>
        <v/>
      </c>
      <c r="AF1058" s="890" t="str">
        <f t="shared" si="105"/>
        <v/>
      </c>
      <c r="AG1058" s="192">
        <f t="shared" si="101"/>
        <v>0</v>
      </c>
    </row>
    <row r="1059" spans="27:33" x14ac:dyDescent="0.25">
      <c r="AA1059" s="640" t="str">
        <f t="shared" si="100"/>
        <v/>
      </c>
      <c r="AB1059" s="640" t="str">
        <f t="shared" si="102"/>
        <v/>
      </c>
      <c r="AD1059" s="890" t="str">
        <f t="shared" si="103"/>
        <v/>
      </c>
      <c r="AE1059" s="890" t="str">
        <f t="shared" si="104"/>
        <v/>
      </c>
      <c r="AF1059" s="890" t="str">
        <f t="shared" si="105"/>
        <v/>
      </c>
      <c r="AG1059" s="192">
        <f t="shared" si="101"/>
        <v>0</v>
      </c>
    </row>
    <row r="1060" spans="27:33" x14ac:dyDescent="0.25">
      <c r="AA1060" s="640" t="str">
        <f t="shared" si="100"/>
        <v/>
      </c>
      <c r="AB1060" s="640" t="str">
        <f t="shared" si="102"/>
        <v/>
      </c>
      <c r="AD1060" s="890" t="str">
        <f t="shared" si="103"/>
        <v/>
      </c>
      <c r="AE1060" s="890" t="str">
        <f t="shared" si="104"/>
        <v/>
      </c>
      <c r="AF1060" s="890" t="str">
        <f t="shared" si="105"/>
        <v/>
      </c>
      <c r="AG1060" s="192">
        <f t="shared" si="101"/>
        <v>0</v>
      </c>
    </row>
    <row r="1061" spans="27:33" x14ac:dyDescent="0.25">
      <c r="AA1061" s="640" t="str">
        <f t="shared" si="100"/>
        <v/>
      </c>
      <c r="AB1061" s="640" t="str">
        <f t="shared" si="102"/>
        <v/>
      </c>
      <c r="AD1061" s="890" t="str">
        <f t="shared" si="103"/>
        <v/>
      </c>
      <c r="AE1061" s="890" t="str">
        <f t="shared" si="104"/>
        <v/>
      </c>
      <c r="AF1061" s="890" t="str">
        <f t="shared" si="105"/>
        <v/>
      </c>
      <c r="AG1061" s="192">
        <f t="shared" si="101"/>
        <v>0</v>
      </c>
    </row>
    <row r="1062" spans="27:33" x14ac:dyDescent="0.25">
      <c r="AA1062" s="640" t="str">
        <f t="shared" si="100"/>
        <v/>
      </c>
      <c r="AB1062" s="640" t="str">
        <f t="shared" si="102"/>
        <v/>
      </c>
      <c r="AD1062" s="890" t="str">
        <f t="shared" si="103"/>
        <v/>
      </c>
      <c r="AE1062" s="890" t="str">
        <f t="shared" si="104"/>
        <v/>
      </c>
      <c r="AF1062" s="890" t="str">
        <f t="shared" si="105"/>
        <v/>
      </c>
      <c r="AG1062" s="192">
        <f t="shared" si="101"/>
        <v>0</v>
      </c>
    </row>
    <row r="1063" spans="27:33" x14ac:dyDescent="0.25">
      <c r="AA1063" s="640" t="str">
        <f t="shared" si="100"/>
        <v/>
      </c>
      <c r="AB1063" s="640" t="str">
        <f t="shared" si="102"/>
        <v/>
      </c>
      <c r="AD1063" s="890" t="str">
        <f t="shared" si="103"/>
        <v/>
      </c>
      <c r="AE1063" s="890" t="str">
        <f t="shared" si="104"/>
        <v/>
      </c>
      <c r="AF1063" s="890" t="str">
        <f t="shared" si="105"/>
        <v/>
      </c>
      <c r="AG1063" s="192">
        <f t="shared" si="101"/>
        <v>0</v>
      </c>
    </row>
    <row r="1064" spans="27:33" x14ac:dyDescent="0.25">
      <c r="AA1064" s="640" t="str">
        <f t="shared" si="100"/>
        <v/>
      </c>
      <c r="AB1064" s="640" t="str">
        <f t="shared" si="102"/>
        <v/>
      </c>
      <c r="AD1064" s="890" t="str">
        <f t="shared" si="103"/>
        <v/>
      </c>
      <c r="AE1064" s="890" t="str">
        <f t="shared" si="104"/>
        <v/>
      </c>
      <c r="AF1064" s="890" t="str">
        <f t="shared" si="105"/>
        <v/>
      </c>
      <c r="AG1064" s="192">
        <f t="shared" si="101"/>
        <v>0</v>
      </c>
    </row>
    <row r="1065" spans="27:33" x14ac:dyDescent="0.25">
      <c r="AA1065" s="640" t="str">
        <f t="shared" si="100"/>
        <v/>
      </c>
      <c r="AB1065" s="640" t="str">
        <f t="shared" si="102"/>
        <v/>
      </c>
      <c r="AD1065" s="890" t="str">
        <f t="shared" si="103"/>
        <v/>
      </c>
      <c r="AE1065" s="890" t="str">
        <f t="shared" si="104"/>
        <v/>
      </c>
      <c r="AF1065" s="890" t="str">
        <f t="shared" si="105"/>
        <v/>
      </c>
      <c r="AG1065" s="192">
        <f t="shared" si="101"/>
        <v>0</v>
      </c>
    </row>
    <row r="1066" spans="27:33" x14ac:dyDescent="0.25">
      <c r="AA1066" s="640" t="str">
        <f t="shared" si="100"/>
        <v/>
      </c>
      <c r="AB1066" s="640" t="str">
        <f t="shared" si="102"/>
        <v/>
      </c>
      <c r="AD1066" s="890" t="str">
        <f t="shared" si="103"/>
        <v/>
      </c>
      <c r="AE1066" s="890" t="str">
        <f t="shared" si="104"/>
        <v/>
      </c>
      <c r="AF1066" s="890" t="str">
        <f t="shared" si="105"/>
        <v/>
      </c>
      <c r="AG1066" s="192">
        <f t="shared" si="101"/>
        <v>0</v>
      </c>
    </row>
    <row r="1067" spans="27:33" x14ac:dyDescent="0.25">
      <c r="AA1067" s="640" t="str">
        <f t="shared" si="100"/>
        <v/>
      </c>
      <c r="AB1067" s="640" t="str">
        <f t="shared" si="102"/>
        <v/>
      </c>
      <c r="AD1067" s="890" t="str">
        <f t="shared" si="103"/>
        <v/>
      </c>
      <c r="AE1067" s="890" t="str">
        <f t="shared" si="104"/>
        <v/>
      </c>
      <c r="AF1067" s="890" t="str">
        <f t="shared" si="105"/>
        <v/>
      </c>
      <c r="AG1067" s="192">
        <f t="shared" si="101"/>
        <v>0</v>
      </c>
    </row>
    <row r="1068" spans="27:33" x14ac:dyDescent="0.25">
      <c r="AA1068" s="640" t="str">
        <f t="shared" si="100"/>
        <v/>
      </c>
      <c r="AB1068" s="640" t="str">
        <f t="shared" si="102"/>
        <v/>
      </c>
      <c r="AD1068" s="890" t="str">
        <f t="shared" si="103"/>
        <v/>
      </c>
      <c r="AE1068" s="890" t="str">
        <f t="shared" si="104"/>
        <v/>
      </c>
      <c r="AF1068" s="890" t="str">
        <f t="shared" si="105"/>
        <v/>
      </c>
      <c r="AG1068" s="192">
        <f t="shared" si="101"/>
        <v>0</v>
      </c>
    </row>
    <row r="1069" spans="27:33" x14ac:dyDescent="0.25">
      <c r="AA1069" s="640" t="str">
        <f t="shared" si="100"/>
        <v/>
      </c>
      <c r="AB1069" s="640" t="str">
        <f t="shared" si="102"/>
        <v/>
      </c>
      <c r="AD1069" s="890" t="str">
        <f t="shared" si="103"/>
        <v/>
      </c>
      <c r="AE1069" s="890" t="str">
        <f t="shared" si="104"/>
        <v/>
      </c>
      <c r="AF1069" s="890" t="str">
        <f t="shared" si="105"/>
        <v/>
      </c>
      <c r="AG1069" s="192">
        <f t="shared" si="101"/>
        <v>0</v>
      </c>
    </row>
    <row r="1070" spans="27:33" x14ac:dyDescent="0.25">
      <c r="AA1070" s="640" t="str">
        <f t="shared" si="100"/>
        <v/>
      </c>
      <c r="AB1070" s="640" t="str">
        <f t="shared" si="102"/>
        <v/>
      </c>
      <c r="AD1070" s="890" t="str">
        <f t="shared" si="103"/>
        <v/>
      </c>
      <c r="AE1070" s="890" t="str">
        <f t="shared" si="104"/>
        <v/>
      </c>
      <c r="AF1070" s="890" t="str">
        <f t="shared" si="105"/>
        <v/>
      </c>
      <c r="AG1070" s="192">
        <f t="shared" si="101"/>
        <v>0</v>
      </c>
    </row>
    <row r="1071" spans="27:33" x14ac:dyDescent="0.25">
      <c r="AA1071" s="640" t="str">
        <f t="shared" si="100"/>
        <v/>
      </c>
      <c r="AB1071" s="640" t="str">
        <f t="shared" si="102"/>
        <v/>
      </c>
      <c r="AD1071" s="890" t="str">
        <f t="shared" si="103"/>
        <v/>
      </c>
      <c r="AE1071" s="890" t="str">
        <f t="shared" si="104"/>
        <v/>
      </c>
      <c r="AF1071" s="890" t="str">
        <f t="shared" si="105"/>
        <v/>
      </c>
      <c r="AG1071" s="192">
        <f t="shared" si="101"/>
        <v>0</v>
      </c>
    </row>
    <row r="1072" spans="27:33" x14ac:dyDescent="0.25">
      <c r="AA1072" s="640" t="str">
        <f t="shared" si="100"/>
        <v/>
      </c>
      <c r="AB1072" s="640" t="str">
        <f t="shared" si="102"/>
        <v/>
      </c>
      <c r="AD1072" s="890" t="str">
        <f t="shared" si="103"/>
        <v/>
      </c>
      <c r="AE1072" s="890" t="str">
        <f t="shared" si="104"/>
        <v/>
      </c>
      <c r="AF1072" s="890" t="str">
        <f t="shared" si="105"/>
        <v/>
      </c>
      <c r="AG1072" s="192">
        <f t="shared" si="101"/>
        <v>0</v>
      </c>
    </row>
    <row r="1073" spans="27:33" x14ac:dyDescent="0.25">
      <c r="AA1073" s="640" t="str">
        <f t="shared" si="100"/>
        <v/>
      </c>
      <c r="AB1073" s="640" t="str">
        <f t="shared" si="102"/>
        <v/>
      </c>
      <c r="AD1073" s="890" t="str">
        <f t="shared" si="103"/>
        <v/>
      </c>
      <c r="AE1073" s="890" t="str">
        <f t="shared" si="104"/>
        <v/>
      </c>
      <c r="AF1073" s="890" t="str">
        <f t="shared" si="105"/>
        <v/>
      </c>
      <c r="AG1073" s="192">
        <f t="shared" si="101"/>
        <v>0</v>
      </c>
    </row>
    <row r="1074" spans="27:33" x14ac:dyDescent="0.25">
      <c r="AA1074" s="640" t="str">
        <f t="shared" si="100"/>
        <v/>
      </c>
      <c r="AB1074" s="640" t="str">
        <f t="shared" si="102"/>
        <v/>
      </c>
      <c r="AD1074" s="890" t="str">
        <f t="shared" si="103"/>
        <v/>
      </c>
      <c r="AE1074" s="890" t="str">
        <f t="shared" si="104"/>
        <v/>
      </c>
      <c r="AF1074" s="890" t="str">
        <f t="shared" si="105"/>
        <v/>
      </c>
      <c r="AG1074" s="192">
        <f t="shared" si="101"/>
        <v>0</v>
      </c>
    </row>
    <row r="1075" spans="27:33" x14ac:dyDescent="0.25">
      <c r="AA1075" s="640" t="str">
        <f t="shared" si="100"/>
        <v/>
      </c>
      <c r="AB1075" s="640" t="str">
        <f t="shared" si="102"/>
        <v/>
      </c>
      <c r="AD1075" s="890" t="str">
        <f t="shared" si="103"/>
        <v/>
      </c>
      <c r="AE1075" s="890" t="str">
        <f t="shared" si="104"/>
        <v/>
      </c>
      <c r="AF1075" s="890" t="str">
        <f t="shared" si="105"/>
        <v/>
      </c>
      <c r="AG1075" s="192">
        <f t="shared" si="101"/>
        <v>0</v>
      </c>
    </row>
    <row r="1076" spans="27:33" x14ac:dyDescent="0.25">
      <c r="AA1076" s="640" t="str">
        <f t="shared" si="100"/>
        <v/>
      </c>
      <c r="AB1076" s="640" t="str">
        <f t="shared" si="102"/>
        <v/>
      </c>
      <c r="AD1076" s="890" t="str">
        <f t="shared" si="103"/>
        <v/>
      </c>
      <c r="AE1076" s="890" t="str">
        <f t="shared" si="104"/>
        <v/>
      </c>
      <c r="AF1076" s="890" t="str">
        <f t="shared" si="105"/>
        <v/>
      </c>
      <c r="AG1076" s="192">
        <f t="shared" si="101"/>
        <v>0</v>
      </c>
    </row>
    <row r="1077" spans="27:33" x14ac:dyDescent="0.25">
      <c r="AA1077" s="640" t="str">
        <f t="shared" si="100"/>
        <v/>
      </c>
      <c r="AB1077" s="640" t="str">
        <f t="shared" si="102"/>
        <v/>
      </c>
      <c r="AD1077" s="890" t="str">
        <f t="shared" si="103"/>
        <v/>
      </c>
      <c r="AE1077" s="890" t="str">
        <f t="shared" si="104"/>
        <v/>
      </c>
      <c r="AF1077" s="890" t="str">
        <f t="shared" si="105"/>
        <v/>
      </c>
      <c r="AG1077" s="192">
        <f t="shared" si="101"/>
        <v>0</v>
      </c>
    </row>
    <row r="1078" spans="27:33" x14ac:dyDescent="0.25">
      <c r="AA1078" s="640" t="str">
        <f t="shared" si="100"/>
        <v/>
      </c>
      <c r="AB1078" s="640" t="str">
        <f t="shared" si="102"/>
        <v/>
      </c>
      <c r="AD1078" s="890" t="str">
        <f t="shared" si="103"/>
        <v/>
      </c>
      <c r="AE1078" s="890" t="str">
        <f t="shared" si="104"/>
        <v/>
      </c>
      <c r="AF1078" s="890" t="str">
        <f t="shared" si="105"/>
        <v/>
      </c>
      <c r="AG1078" s="192">
        <f t="shared" si="101"/>
        <v>0</v>
      </c>
    </row>
    <row r="1079" spans="27:33" x14ac:dyDescent="0.25">
      <c r="AA1079" s="640" t="str">
        <f t="shared" si="100"/>
        <v/>
      </c>
      <c r="AB1079" s="640" t="str">
        <f t="shared" si="102"/>
        <v/>
      </c>
      <c r="AD1079" s="890" t="str">
        <f t="shared" si="103"/>
        <v/>
      </c>
      <c r="AE1079" s="890" t="str">
        <f t="shared" si="104"/>
        <v/>
      </c>
      <c r="AF1079" s="890" t="str">
        <f t="shared" si="105"/>
        <v/>
      </c>
      <c r="AG1079" s="192">
        <f t="shared" si="101"/>
        <v>0</v>
      </c>
    </row>
    <row r="1080" spans="27:33" x14ac:dyDescent="0.25">
      <c r="AA1080" s="640" t="str">
        <f t="shared" si="100"/>
        <v/>
      </c>
      <c r="AB1080" s="640" t="str">
        <f t="shared" si="102"/>
        <v/>
      </c>
      <c r="AD1080" s="890" t="str">
        <f t="shared" si="103"/>
        <v/>
      </c>
      <c r="AE1080" s="890" t="str">
        <f t="shared" si="104"/>
        <v/>
      </c>
      <c r="AF1080" s="890" t="str">
        <f t="shared" si="105"/>
        <v/>
      </c>
      <c r="AG1080" s="192">
        <f t="shared" si="101"/>
        <v>0</v>
      </c>
    </row>
    <row r="1081" spans="27:33" x14ac:dyDescent="0.25">
      <c r="AA1081" s="640" t="str">
        <f t="shared" si="100"/>
        <v/>
      </c>
      <c r="AB1081" s="640" t="str">
        <f t="shared" si="102"/>
        <v/>
      </c>
      <c r="AD1081" s="890" t="str">
        <f t="shared" si="103"/>
        <v/>
      </c>
      <c r="AE1081" s="890" t="str">
        <f t="shared" si="104"/>
        <v/>
      </c>
      <c r="AF1081" s="890" t="str">
        <f t="shared" si="105"/>
        <v/>
      </c>
      <c r="AG1081" s="192">
        <f t="shared" si="101"/>
        <v>0</v>
      </c>
    </row>
    <row r="1082" spans="27:33" x14ac:dyDescent="0.25">
      <c r="AA1082" s="640" t="str">
        <f t="shared" si="100"/>
        <v/>
      </c>
      <c r="AB1082" s="640" t="str">
        <f t="shared" si="102"/>
        <v/>
      </c>
      <c r="AD1082" s="890" t="str">
        <f t="shared" si="103"/>
        <v/>
      </c>
      <c r="AE1082" s="890" t="str">
        <f t="shared" si="104"/>
        <v/>
      </c>
      <c r="AF1082" s="890" t="str">
        <f t="shared" si="105"/>
        <v/>
      </c>
      <c r="AG1082" s="192">
        <f t="shared" si="101"/>
        <v>0</v>
      </c>
    </row>
    <row r="1083" spans="27:33" x14ac:dyDescent="0.25">
      <c r="AA1083" s="640" t="str">
        <f t="shared" si="100"/>
        <v/>
      </c>
      <c r="AB1083" s="640" t="str">
        <f t="shared" si="102"/>
        <v/>
      </c>
      <c r="AD1083" s="890" t="str">
        <f t="shared" si="103"/>
        <v/>
      </c>
      <c r="AE1083" s="890" t="str">
        <f t="shared" si="104"/>
        <v/>
      </c>
      <c r="AF1083" s="890" t="str">
        <f t="shared" si="105"/>
        <v/>
      </c>
      <c r="AG1083" s="192">
        <f t="shared" si="101"/>
        <v>0</v>
      </c>
    </row>
    <row r="1084" spans="27:33" x14ac:dyDescent="0.25">
      <c r="AA1084" s="640" t="str">
        <f t="shared" si="100"/>
        <v/>
      </c>
      <c r="AB1084" s="640" t="str">
        <f t="shared" si="102"/>
        <v/>
      </c>
      <c r="AD1084" s="890" t="str">
        <f t="shared" si="103"/>
        <v/>
      </c>
      <c r="AE1084" s="890" t="str">
        <f t="shared" si="104"/>
        <v/>
      </c>
      <c r="AF1084" s="890" t="str">
        <f t="shared" si="105"/>
        <v/>
      </c>
      <c r="AG1084" s="192">
        <f t="shared" si="101"/>
        <v>0</v>
      </c>
    </row>
    <row r="1085" spans="27:33" x14ac:dyDescent="0.25">
      <c r="AA1085" s="640" t="str">
        <f t="shared" si="100"/>
        <v/>
      </c>
      <c r="AB1085" s="640" t="str">
        <f t="shared" si="102"/>
        <v/>
      </c>
      <c r="AD1085" s="890" t="str">
        <f t="shared" si="103"/>
        <v/>
      </c>
      <c r="AE1085" s="890" t="str">
        <f t="shared" si="104"/>
        <v/>
      </c>
      <c r="AF1085" s="890" t="str">
        <f t="shared" si="105"/>
        <v/>
      </c>
      <c r="AG1085" s="192">
        <f t="shared" si="101"/>
        <v>0</v>
      </c>
    </row>
    <row r="1086" spans="27:33" x14ac:dyDescent="0.25">
      <c r="AA1086" s="640" t="str">
        <f t="shared" si="100"/>
        <v/>
      </c>
      <c r="AB1086" s="640" t="str">
        <f t="shared" si="102"/>
        <v/>
      </c>
      <c r="AD1086" s="890" t="str">
        <f t="shared" si="103"/>
        <v/>
      </c>
      <c r="AE1086" s="890" t="str">
        <f t="shared" si="104"/>
        <v/>
      </c>
      <c r="AF1086" s="890" t="str">
        <f t="shared" si="105"/>
        <v/>
      </c>
      <c r="AG1086" s="192">
        <f t="shared" si="101"/>
        <v>0</v>
      </c>
    </row>
    <row r="1087" spans="27:33" x14ac:dyDescent="0.25">
      <c r="AA1087" s="640" t="str">
        <f t="shared" si="100"/>
        <v/>
      </c>
      <c r="AB1087" s="640" t="str">
        <f t="shared" si="102"/>
        <v/>
      </c>
      <c r="AD1087" s="890" t="str">
        <f t="shared" si="103"/>
        <v/>
      </c>
      <c r="AE1087" s="890" t="str">
        <f t="shared" si="104"/>
        <v/>
      </c>
      <c r="AF1087" s="890" t="str">
        <f t="shared" si="105"/>
        <v/>
      </c>
      <c r="AG1087" s="192">
        <f t="shared" si="101"/>
        <v>0</v>
      </c>
    </row>
    <row r="1088" spans="27:33" x14ac:dyDescent="0.25">
      <c r="AA1088" s="640" t="str">
        <f t="shared" si="100"/>
        <v/>
      </c>
      <c r="AB1088" s="640" t="str">
        <f t="shared" si="102"/>
        <v/>
      </c>
      <c r="AD1088" s="890" t="str">
        <f t="shared" si="103"/>
        <v/>
      </c>
      <c r="AE1088" s="890" t="str">
        <f t="shared" si="104"/>
        <v/>
      </c>
      <c r="AF1088" s="890" t="str">
        <f t="shared" si="105"/>
        <v/>
      </c>
      <c r="AG1088" s="192">
        <f t="shared" si="101"/>
        <v>0</v>
      </c>
    </row>
    <row r="1089" spans="27:33" x14ac:dyDescent="0.25">
      <c r="AA1089" s="640" t="str">
        <f t="shared" si="100"/>
        <v/>
      </c>
      <c r="AB1089" s="640" t="str">
        <f t="shared" si="102"/>
        <v/>
      </c>
      <c r="AD1089" s="890" t="str">
        <f t="shared" si="103"/>
        <v/>
      </c>
      <c r="AE1089" s="890" t="str">
        <f t="shared" si="104"/>
        <v/>
      </c>
      <c r="AF1089" s="890" t="str">
        <f t="shared" si="105"/>
        <v/>
      </c>
      <c r="AG1089" s="192">
        <f t="shared" si="101"/>
        <v>0</v>
      </c>
    </row>
    <row r="1090" spans="27:33" x14ac:dyDescent="0.25">
      <c r="AA1090" s="640" t="str">
        <f t="shared" si="100"/>
        <v/>
      </c>
      <c r="AB1090" s="640" t="str">
        <f t="shared" si="102"/>
        <v/>
      </c>
      <c r="AD1090" s="890" t="str">
        <f t="shared" si="103"/>
        <v/>
      </c>
      <c r="AE1090" s="890" t="str">
        <f t="shared" si="104"/>
        <v/>
      </c>
      <c r="AF1090" s="890" t="str">
        <f t="shared" si="105"/>
        <v/>
      </c>
      <c r="AG1090" s="192">
        <f t="shared" si="101"/>
        <v>0</v>
      </c>
    </row>
    <row r="1091" spans="27:33" x14ac:dyDescent="0.25">
      <c r="AA1091" s="640" t="str">
        <f t="shared" si="100"/>
        <v/>
      </c>
      <c r="AB1091" s="640" t="str">
        <f t="shared" si="102"/>
        <v/>
      </c>
      <c r="AD1091" s="890" t="str">
        <f t="shared" si="103"/>
        <v/>
      </c>
      <c r="AE1091" s="890" t="str">
        <f t="shared" si="104"/>
        <v/>
      </c>
      <c r="AF1091" s="890" t="str">
        <f t="shared" si="105"/>
        <v/>
      </c>
      <c r="AG1091" s="192">
        <f t="shared" si="101"/>
        <v>0</v>
      </c>
    </row>
    <row r="1092" spans="27:33" x14ac:dyDescent="0.25">
      <c r="AA1092" s="640" t="str">
        <f t="shared" si="100"/>
        <v/>
      </c>
      <c r="AB1092" s="640" t="str">
        <f t="shared" si="102"/>
        <v/>
      </c>
      <c r="AD1092" s="890" t="str">
        <f t="shared" si="103"/>
        <v/>
      </c>
      <c r="AE1092" s="890" t="str">
        <f t="shared" si="104"/>
        <v/>
      </c>
      <c r="AF1092" s="890" t="str">
        <f t="shared" si="105"/>
        <v/>
      </c>
      <c r="AG1092" s="192">
        <f t="shared" si="101"/>
        <v>0</v>
      </c>
    </row>
    <row r="1093" spans="27:33" x14ac:dyDescent="0.25">
      <c r="AA1093" s="640" t="str">
        <f t="shared" si="100"/>
        <v/>
      </c>
      <c r="AB1093" s="640" t="str">
        <f t="shared" si="102"/>
        <v/>
      </c>
      <c r="AD1093" s="890" t="str">
        <f t="shared" si="103"/>
        <v/>
      </c>
      <c r="AE1093" s="890" t="str">
        <f t="shared" si="104"/>
        <v/>
      </c>
      <c r="AF1093" s="890" t="str">
        <f t="shared" si="105"/>
        <v/>
      </c>
      <c r="AG1093" s="192">
        <f t="shared" si="101"/>
        <v>0</v>
      </c>
    </row>
    <row r="1094" spans="27:33" x14ac:dyDescent="0.25">
      <c r="AA1094" s="640" t="str">
        <f t="shared" si="100"/>
        <v/>
      </c>
      <c r="AB1094" s="640" t="str">
        <f t="shared" si="102"/>
        <v/>
      </c>
      <c r="AD1094" s="890" t="str">
        <f t="shared" si="103"/>
        <v/>
      </c>
      <c r="AE1094" s="890" t="str">
        <f t="shared" si="104"/>
        <v/>
      </c>
      <c r="AF1094" s="890" t="str">
        <f t="shared" si="105"/>
        <v/>
      </c>
      <c r="AG1094" s="192">
        <f t="shared" si="101"/>
        <v>0</v>
      </c>
    </row>
    <row r="1095" spans="27:33" x14ac:dyDescent="0.25">
      <c r="AA1095" s="640" t="str">
        <f t="shared" ref="AA1095:AA1158" si="106">IF(G1095=0, IF(OR(H1095&gt;0,F1095&gt;0),C1095*F1095,""),"")</f>
        <v/>
      </c>
      <c r="AB1095" s="640" t="str">
        <f t="shared" si="102"/>
        <v/>
      </c>
      <c r="AD1095" s="890" t="str">
        <f t="shared" si="103"/>
        <v/>
      </c>
      <c r="AE1095" s="890" t="str">
        <f t="shared" si="104"/>
        <v/>
      </c>
      <c r="AF1095" s="890" t="str">
        <f t="shared" si="105"/>
        <v/>
      </c>
      <c r="AG1095" s="192">
        <f t="shared" ref="AG1095:AG1158" si="107">(C1095*G1095)+(C1095*H1095)+(C1095*I1095)</f>
        <v>0</v>
      </c>
    </row>
    <row r="1096" spans="27:33" x14ac:dyDescent="0.25">
      <c r="AA1096" s="640" t="str">
        <f t="shared" si="106"/>
        <v/>
      </c>
      <c r="AB1096" s="640" t="str">
        <f t="shared" ref="AB1096:AB1159" si="108">IF(G1096&gt;=1,IF(F1096&gt;1,C1096*(F1096-2),""),"")</f>
        <v/>
      </c>
      <c r="AD1096" s="890" t="str">
        <f t="shared" ref="AD1096:AD1159" si="109">IF(E1096="YES",IF(G1096=1,"",""),IF(G1096=1,C1096,IF(G1096=2,C1096,IF(G1096=0,"",""))))</f>
        <v/>
      </c>
      <c r="AE1096" s="890" t="str">
        <f t="shared" ref="AE1096:AE1159" si="110">IF(E1096="YES",IF(G1096=1,"",IF(H1096=1,C1096,"")),IF(H1096=1,C1096,IF(H1096=2,C1096,IF(H1096=0,"",""))))</f>
        <v/>
      </c>
      <c r="AF1096" s="890" t="str">
        <f t="shared" ref="AF1096:AF1159" si="111">IF(E1096="YES",IF(I1096=1,C1096,""),IF(I1096=1,C1096,IF(I1096=2,C1096,IF(I1096=0,"",""))))</f>
        <v/>
      </c>
      <c r="AG1096" s="192">
        <f t="shared" si="107"/>
        <v>0</v>
      </c>
    </row>
    <row r="1097" spans="27:33" x14ac:dyDescent="0.25">
      <c r="AA1097" s="640" t="str">
        <f t="shared" si="106"/>
        <v/>
      </c>
      <c r="AB1097" s="640" t="str">
        <f t="shared" si="108"/>
        <v/>
      </c>
      <c r="AD1097" s="890" t="str">
        <f t="shared" si="109"/>
        <v/>
      </c>
      <c r="AE1097" s="890" t="str">
        <f t="shared" si="110"/>
        <v/>
      </c>
      <c r="AF1097" s="890" t="str">
        <f t="shared" si="111"/>
        <v/>
      </c>
      <c r="AG1097" s="192">
        <f t="shared" si="107"/>
        <v>0</v>
      </c>
    </row>
    <row r="1098" spans="27:33" x14ac:dyDescent="0.25">
      <c r="AA1098" s="640" t="str">
        <f t="shared" si="106"/>
        <v/>
      </c>
      <c r="AB1098" s="640" t="str">
        <f t="shared" si="108"/>
        <v/>
      </c>
      <c r="AD1098" s="890" t="str">
        <f t="shared" si="109"/>
        <v/>
      </c>
      <c r="AE1098" s="890" t="str">
        <f t="shared" si="110"/>
        <v/>
      </c>
      <c r="AF1098" s="890" t="str">
        <f t="shared" si="111"/>
        <v/>
      </c>
      <c r="AG1098" s="192">
        <f t="shared" si="107"/>
        <v>0</v>
      </c>
    </row>
    <row r="1099" spans="27:33" x14ac:dyDescent="0.25">
      <c r="AA1099" s="640" t="str">
        <f t="shared" si="106"/>
        <v/>
      </c>
      <c r="AB1099" s="640" t="str">
        <f t="shared" si="108"/>
        <v/>
      </c>
      <c r="AD1099" s="890" t="str">
        <f t="shared" si="109"/>
        <v/>
      </c>
      <c r="AE1099" s="890" t="str">
        <f t="shared" si="110"/>
        <v/>
      </c>
      <c r="AF1099" s="890" t="str">
        <f t="shared" si="111"/>
        <v/>
      </c>
      <c r="AG1099" s="192">
        <f t="shared" si="107"/>
        <v>0</v>
      </c>
    </row>
    <row r="1100" spans="27:33" x14ac:dyDescent="0.25">
      <c r="AA1100" s="640" t="str">
        <f t="shared" si="106"/>
        <v/>
      </c>
      <c r="AB1100" s="640" t="str">
        <f t="shared" si="108"/>
        <v/>
      </c>
      <c r="AD1100" s="890" t="str">
        <f t="shared" si="109"/>
        <v/>
      </c>
      <c r="AE1100" s="890" t="str">
        <f t="shared" si="110"/>
        <v/>
      </c>
      <c r="AF1100" s="890" t="str">
        <f t="shared" si="111"/>
        <v/>
      </c>
      <c r="AG1100" s="192">
        <f t="shared" si="107"/>
        <v>0</v>
      </c>
    </row>
    <row r="1101" spans="27:33" x14ac:dyDescent="0.25">
      <c r="AA1101" s="640" t="str">
        <f t="shared" si="106"/>
        <v/>
      </c>
      <c r="AB1101" s="640" t="str">
        <f t="shared" si="108"/>
        <v/>
      </c>
      <c r="AD1101" s="890" t="str">
        <f t="shared" si="109"/>
        <v/>
      </c>
      <c r="AE1101" s="890" t="str">
        <f t="shared" si="110"/>
        <v/>
      </c>
      <c r="AF1101" s="890" t="str">
        <f t="shared" si="111"/>
        <v/>
      </c>
      <c r="AG1101" s="192">
        <f t="shared" si="107"/>
        <v>0</v>
      </c>
    </row>
    <row r="1102" spans="27:33" x14ac:dyDescent="0.25">
      <c r="AA1102" s="640" t="str">
        <f t="shared" si="106"/>
        <v/>
      </c>
      <c r="AB1102" s="640" t="str">
        <f t="shared" si="108"/>
        <v/>
      </c>
      <c r="AD1102" s="890" t="str">
        <f t="shared" si="109"/>
        <v/>
      </c>
      <c r="AE1102" s="890" t="str">
        <f t="shared" si="110"/>
        <v/>
      </c>
      <c r="AF1102" s="890" t="str">
        <f t="shared" si="111"/>
        <v/>
      </c>
      <c r="AG1102" s="192">
        <f t="shared" si="107"/>
        <v>0</v>
      </c>
    </row>
    <row r="1103" spans="27:33" x14ac:dyDescent="0.25">
      <c r="AA1103" s="640" t="str">
        <f t="shared" si="106"/>
        <v/>
      </c>
      <c r="AB1103" s="640" t="str">
        <f t="shared" si="108"/>
        <v/>
      </c>
      <c r="AD1103" s="890" t="str">
        <f t="shared" si="109"/>
        <v/>
      </c>
      <c r="AE1103" s="890" t="str">
        <f t="shared" si="110"/>
        <v/>
      </c>
      <c r="AF1103" s="890" t="str">
        <f t="shared" si="111"/>
        <v/>
      </c>
      <c r="AG1103" s="192">
        <f t="shared" si="107"/>
        <v>0</v>
      </c>
    </row>
    <row r="1104" spans="27:33" x14ac:dyDescent="0.25">
      <c r="AA1104" s="640" t="str">
        <f t="shared" si="106"/>
        <v/>
      </c>
      <c r="AB1104" s="640" t="str">
        <f t="shared" si="108"/>
        <v/>
      </c>
      <c r="AD1104" s="890" t="str">
        <f t="shared" si="109"/>
        <v/>
      </c>
      <c r="AE1104" s="890" t="str">
        <f t="shared" si="110"/>
        <v/>
      </c>
      <c r="AF1104" s="890" t="str">
        <f t="shared" si="111"/>
        <v/>
      </c>
      <c r="AG1104" s="192">
        <f t="shared" si="107"/>
        <v>0</v>
      </c>
    </row>
    <row r="1105" spans="27:33" x14ac:dyDescent="0.25">
      <c r="AA1105" s="640" t="str">
        <f t="shared" si="106"/>
        <v/>
      </c>
      <c r="AB1105" s="640" t="str">
        <f t="shared" si="108"/>
        <v/>
      </c>
      <c r="AD1105" s="890" t="str">
        <f t="shared" si="109"/>
        <v/>
      </c>
      <c r="AE1105" s="890" t="str">
        <f t="shared" si="110"/>
        <v/>
      </c>
      <c r="AF1105" s="890" t="str">
        <f t="shared" si="111"/>
        <v/>
      </c>
      <c r="AG1105" s="192">
        <f t="shared" si="107"/>
        <v>0</v>
      </c>
    </row>
    <row r="1106" spans="27:33" x14ac:dyDescent="0.25">
      <c r="AA1106" s="640" t="str">
        <f t="shared" si="106"/>
        <v/>
      </c>
      <c r="AB1106" s="640" t="str">
        <f t="shared" si="108"/>
        <v/>
      </c>
      <c r="AD1106" s="890" t="str">
        <f t="shared" si="109"/>
        <v/>
      </c>
      <c r="AE1106" s="890" t="str">
        <f t="shared" si="110"/>
        <v/>
      </c>
      <c r="AF1106" s="890" t="str">
        <f t="shared" si="111"/>
        <v/>
      </c>
      <c r="AG1106" s="192">
        <f t="shared" si="107"/>
        <v>0</v>
      </c>
    </row>
    <row r="1107" spans="27:33" x14ac:dyDescent="0.25">
      <c r="AA1107" s="640" t="str">
        <f t="shared" si="106"/>
        <v/>
      </c>
      <c r="AB1107" s="640" t="str">
        <f t="shared" si="108"/>
        <v/>
      </c>
      <c r="AD1107" s="890" t="str">
        <f t="shared" si="109"/>
        <v/>
      </c>
      <c r="AE1107" s="890" t="str">
        <f t="shared" si="110"/>
        <v/>
      </c>
      <c r="AF1107" s="890" t="str">
        <f t="shared" si="111"/>
        <v/>
      </c>
      <c r="AG1107" s="192">
        <f t="shared" si="107"/>
        <v>0</v>
      </c>
    </row>
    <row r="1108" spans="27:33" x14ac:dyDescent="0.25">
      <c r="AA1108" s="640" t="str">
        <f t="shared" si="106"/>
        <v/>
      </c>
      <c r="AB1108" s="640" t="str">
        <f t="shared" si="108"/>
        <v/>
      </c>
      <c r="AD1108" s="890" t="str">
        <f t="shared" si="109"/>
        <v/>
      </c>
      <c r="AE1108" s="890" t="str">
        <f t="shared" si="110"/>
        <v/>
      </c>
      <c r="AF1108" s="890" t="str">
        <f t="shared" si="111"/>
        <v/>
      </c>
      <c r="AG1108" s="192">
        <f t="shared" si="107"/>
        <v>0</v>
      </c>
    </row>
    <row r="1109" spans="27:33" x14ac:dyDescent="0.25">
      <c r="AA1109" s="640" t="str">
        <f t="shared" si="106"/>
        <v/>
      </c>
      <c r="AB1109" s="640" t="str">
        <f t="shared" si="108"/>
        <v/>
      </c>
      <c r="AD1109" s="890" t="str">
        <f t="shared" si="109"/>
        <v/>
      </c>
      <c r="AE1109" s="890" t="str">
        <f t="shared" si="110"/>
        <v/>
      </c>
      <c r="AF1109" s="890" t="str">
        <f t="shared" si="111"/>
        <v/>
      </c>
      <c r="AG1109" s="192">
        <f t="shared" si="107"/>
        <v>0</v>
      </c>
    </row>
    <row r="1110" spans="27:33" x14ac:dyDescent="0.25">
      <c r="AA1110" s="640" t="str">
        <f t="shared" si="106"/>
        <v/>
      </c>
      <c r="AB1110" s="640" t="str">
        <f t="shared" si="108"/>
        <v/>
      </c>
      <c r="AD1110" s="890" t="str">
        <f t="shared" si="109"/>
        <v/>
      </c>
      <c r="AE1110" s="890" t="str">
        <f t="shared" si="110"/>
        <v/>
      </c>
      <c r="AF1110" s="890" t="str">
        <f t="shared" si="111"/>
        <v/>
      </c>
      <c r="AG1110" s="192">
        <f t="shared" si="107"/>
        <v>0</v>
      </c>
    </row>
    <row r="1111" spans="27:33" x14ac:dyDescent="0.25">
      <c r="AA1111" s="640" t="str">
        <f t="shared" si="106"/>
        <v/>
      </c>
      <c r="AB1111" s="640" t="str">
        <f t="shared" si="108"/>
        <v/>
      </c>
      <c r="AD1111" s="890" t="str">
        <f t="shared" si="109"/>
        <v/>
      </c>
      <c r="AE1111" s="890" t="str">
        <f t="shared" si="110"/>
        <v/>
      </c>
      <c r="AF1111" s="890" t="str">
        <f t="shared" si="111"/>
        <v/>
      </c>
      <c r="AG1111" s="192">
        <f t="shared" si="107"/>
        <v>0</v>
      </c>
    </row>
    <row r="1112" spans="27:33" x14ac:dyDescent="0.25">
      <c r="AA1112" s="640" t="str">
        <f t="shared" si="106"/>
        <v/>
      </c>
      <c r="AB1112" s="640" t="str">
        <f t="shared" si="108"/>
        <v/>
      </c>
      <c r="AD1112" s="890" t="str">
        <f t="shared" si="109"/>
        <v/>
      </c>
      <c r="AE1112" s="890" t="str">
        <f t="shared" si="110"/>
        <v/>
      </c>
      <c r="AF1112" s="890" t="str">
        <f t="shared" si="111"/>
        <v/>
      </c>
      <c r="AG1112" s="192">
        <f t="shared" si="107"/>
        <v>0</v>
      </c>
    </row>
    <row r="1113" spans="27:33" x14ac:dyDescent="0.25">
      <c r="AA1113" s="640" t="str">
        <f t="shared" si="106"/>
        <v/>
      </c>
      <c r="AB1113" s="640" t="str">
        <f t="shared" si="108"/>
        <v/>
      </c>
      <c r="AD1113" s="890" t="str">
        <f t="shared" si="109"/>
        <v/>
      </c>
      <c r="AE1113" s="890" t="str">
        <f t="shared" si="110"/>
        <v/>
      </c>
      <c r="AF1113" s="890" t="str">
        <f t="shared" si="111"/>
        <v/>
      </c>
      <c r="AG1113" s="192">
        <f t="shared" si="107"/>
        <v>0</v>
      </c>
    </row>
    <row r="1114" spans="27:33" x14ac:dyDescent="0.25">
      <c r="AA1114" s="640" t="str">
        <f t="shared" si="106"/>
        <v/>
      </c>
      <c r="AB1114" s="640" t="str">
        <f t="shared" si="108"/>
        <v/>
      </c>
      <c r="AD1114" s="890" t="str">
        <f t="shared" si="109"/>
        <v/>
      </c>
      <c r="AE1114" s="890" t="str">
        <f t="shared" si="110"/>
        <v/>
      </c>
      <c r="AF1114" s="890" t="str">
        <f t="shared" si="111"/>
        <v/>
      </c>
      <c r="AG1114" s="192">
        <f t="shared" si="107"/>
        <v>0</v>
      </c>
    </row>
    <row r="1115" spans="27:33" x14ac:dyDescent="0.25">
      <c r="AA1115" s="640" t="str">
        <f t="shared" si="106"/>
        <v/>
      </c>
      <c r="AB1115" s="640" t="str">
        <f t="shared" si="108"/>
        <v/>
      </c>
      <c r="AD1115" s="890" t="str">
        <f t="shared" si="109"/>
        <v/>
      </c>
      <c r="AE1115" s="890" t="str">
        <f t="shared" si="110"/>
        <v/>
      </c>
      <c r="AF1115" s="890" t="str">
        <f t="shared" si="111"/>
        <v/>
      </c>
      <c r="AG1115" s="192">
        <f t="shared" si="107"/>
        <v>0</v>
      </c>
    </row>
    <row r="1116" spans="27:33" x14ac:dyDescent="0.25">
      <c r="AA1116" s="640" t="str">
        <f t="shared" si="106"/>
        <v/>
      </c>
      <c r="AB1116" s="640" t="str">
        <f t="shared" si="108"/>
        <v/>
      </c>
      <c r="AD1116" s="890" t="str">
        <f t="shared" si="109"/>
        <v/>
      </c>
      <c r="AE1116" s="890" t="str">
        <f t="shared" si="110"/>
        <v/>
      </c>
      <c r="AF1116" s="890" t="str">
        <f t="shared" si="111"/>
        <v/>
      </c>
      <c r="AG1116" s="192">
        <f t="shared" si="107"/>
        <v>0</v>
      </c>
    </row>
    <row r="1117" spans="27:33" x14ac:dyDescent="0.25">
      <c r="AA1117" s="640" t="str">
        <f t="shared" si="106"/>
        <v/>
      </c>
      <c r="AB1117" s="640" t="str">
        <f t="shared" si="108"/>
        <v/>
      </c>
      <c r="AD1117" s="890" t="str">
        <f t="shared" si="109"/>
        <v/>
      </c>
      <c r="AE1117" s="890" t="str">
        <f t="shared" si="110"/>
        <v/>
      </c>
      <c r="AF1117" s="890" t="str">
        <f t="shared" si="111"/>
        <v/>
      </c>
      <c r="AG1117" s="192">
        <f t="shared" si="107"/>
        <v>0</v>
      </c>
    </row>
    <row r="1118" spans="27:33" x14ac:dyDescent="0.25">
      <c r="AA1118" s="640" t="str">
        <f t="shared" si="106"/>
        <v/>
      </c>
      <c r="AB1118" s="640" t="str">
        <f t="shared" si="108"/>
        <v/>
      </c>
      <c r="AD1118" s="890" t="str">
        <f t="shared" si="109"/>
        <v/>
      </c>
      <c r="AE1118" s="890" t="str">
        <f t="shared" si="110"/>
        <v/>
      </c>
      <c r="AF1118" s="890" t="str">
        <f t="shared" si="111"/>
        <v/>
      </c>
      <c r="AG1118" s="192">
        <f t="shared" si="107"/>
        <v>0</v>
      </c>
    </row>
    <row r="1119" spans="27:33" x14ac:dyDescent="0.25">
      <c r="AA1119" s="640" t="str">
        <f t="shared" si="106"/>
        <v/>
      </c>
      <c r="AB1119" s="640" t="str">
        <f t="shared" si="108"/>
        <v/>
      </c>
      <c r="AD1119" s="890" t="str">
        <f t="shared" si="109"/>
        <v/>
      </c>
      <c r="AE1119" s="890" t="str">
        <f t="shared" si="110"/>
        <v/>
      </c>
      <c r="AF1119" s="890" t="str">
        <f t="shared" si="111"/>
        <v/>
      </c>
      <c r="AG1119" s="192">
        <f t="shared" si="107"/>
        <v>0</v>
      </c>
    </row>
    <row r="1120" spans="27:33" x14ac:dyDescent="0.25">
      <c r="AA1120" s="640" t="str">
        <f t="shared" si="106"/>
        <v/>
      </c>
      <c r="AB1120" s="640" t="str">
        <f t="shared" si="108"/>
        <v/>
      </c>
      <c r="AD1120" s="890" t="str">
        <f t="shared" si="109"/>
        <v/>
      </c>
      <c r="AE1120" s="890" t="str">
        <f t="shared" si="110"/>
        <v/>
      </c>
      <c r="AF1120" s="890" t="str">
        <f t="shared" si="111"/>
        <v/>
      </c>
      <c r="AG1120" s="192">
        <f t="shared" si="107"/>
        <v>0</v>
      </c>
    </row>
    <row r="1121" spans="27:33" x14ac:dyDescent="0.25">
      <c r="AA1121" s="640" t="str">
        <f t="shared" si="106"/>
        <v/>
      </c>
      <c r="AB1121" s="640" t="str">
        <f t="shared" si="108"/>
        <v/>
      </c>
      <c r="AD1121" s="890" t="str">
        <f t="shared" si="109"/>
        <v/>
      </c>
      <c r="AE1121" s="890" t="str">
        <f t="shared" si="110"/>
        <v/>
      </c>
      <c r="AF1121" s="890" t="str">
        <f t="shared" si="111"/>
        <v/>
      </c>
      <c r="AG1121" s="192">
        <f t="shared" si="107"/>
        <v>0</v>
      </c>
    </row>
    <row r="1122" spans="27:33" x14ac:dyDescent="0.25">
      <c r="AA1122" s="640" t="str">
        <f t="shared" si="106"/>
        <v/>
      </c>
      <c r="AB1122" s="640" t="str">
        <f t="shared" si="108"/>
        <v/>
      </c>
      <c r="AD1122" s="890" t="str">
        <f t="shared" si="109"/>
        <v/>
      </c>
      <c r="AE1122" s="890" t="str">
        <f t="shared" si="110"/>
        <v/>
      </c>
      <c r="AF1122" s="890" t="str">
        <f t="shared" si="111"/>
        <v/>
      </c>
      <c r="AG1122" s="192">
        <f t="shared" si="107"/>
        <v>0</v>
      </c>
    </row>
    <row r="1123" spans="27:33" x14ac:dyDescent="0.25">
      <c r="AA1123" s="640" t="str">
        <f t="shared" si="106"/>
        <v/>
      </c>
      <c r="AB1123" s="640" t="str">
        <f t="shared" si="108"/>
        <v/>
      </c>
      <c r="AD1123" s="890" t="str">
        <f t="shared" si="109"/>
        <v/>
      </c>
      <c r="AE1123" s="890" t="str">
        <f t="shared" si="110"/>
        <v/>
      </c>
      <c r="AF1123" s="890" t="str">
        <f t="shared" si="111"/>
        <v/>
      </c>
      <c r="AG1123" s="192">
        <f t="shared" si="107"/>
        <v>0</v>
      </c>
    </row>
    <row r="1124" spans="27:33" x14ac:dyDescent="0.25">
      <c r="AA1124" s="640" t="str">
        <f t="shared" si="106"/>
        <v/>
      </c>
      <c r="AB1124" s="640" t="str">
        <f t="shared" si="108"/>
        <v/>
      </c>
      <c r="AD1124" s="890" t="str">
        <f t="shared" si="109"/>
        <v/>
      </c>
      <c r="AE1124" s="890" t="str">
        <f t="shared" si="110"/>
        <v/>
      </c>
      <c r="AF1124" s="890" t="str">
        <f t="shared" si="111"/>
        <v/>
      </c>
      <c r="AG1124" s="192">
        <f t="shared" si="107"/>
        <v>0</v>
      </c>
    </row>
    <row r="1125" spans="27:33" x14ac:dyDescent="0.25">
      <c r="AA1125" s="640" t="str">
        <f t="shared" si="106"/>
        <v/>
      </c>
      <c r="AB1125" s="640" t="str">
        <f t="shared" si="108"/>
        <v/>
      </c>
      <c r="AD1125" s="890" t="str">
        <f t="shared" si="109"/>
        <v/>
      </c>
      <c r="AE1125" s="890" t="str">
        <f t="shared" si="110"/>
        <v/>
      </c>
      <c r="AF1125" s="890" t="str">
        <f t="shared" si="111"/>
        <v/>
      </c>
      <c r="AG1125" s="192">
        <f t="shared" si="107"/>
        <v>0</v>
      </c>
    </row>
    <row r="1126" spans="27:33" x14ac:dyDescent="0.25">
      <c r="AA1126" s="640" t="str">
        <f t="shared" si="106"/>
        <v/>
      </c>
      <c r="AB1126" s="640" t="str">
        <f t="shared" si="108"/>
        <v/>
      </c>
      <c r="AD1126" s="890" t="str">
        <f t="shared" si="109"/>
        <v/>
      </c>
      <c r="AE1126" s="890" t="str">
        <f t="shared" si="110"/>
        <v/>
      </c>
      <c r="AF1126" s="890" t="str">
        <f t="shared" si="111"/>
        <v/>
      </c>
      <c r="AG1126" s="192">
        <f t="shared" si="107"/>
        <v>0</v>
      </c>
    </row>
    <row r="1127" spans="27:33" x14ac:dyDescent="0.25">
      <c r="AA1127" s="640" t="str">
        <f t="shared" si="106"/>
        <v/>
      </c>
      <c r="AB1127" s="640" t="str">
        <f t="shared" si="108"/>
        <v/>
      </c>
      <c r="AD1127" s="890" t="str">
        <f t="shared" si="109"/>
        <v/>
      </c>
      <c r="AE1127" s="890" t="str">
        <f t="shared" si="110"/>
        <v/>
      </c>
      <c r="AF1127" s="890" t="str">
        <f t="shared" si="111"/>
        <v/>
      </c>
      <c r="AG1127" s="192">
        <f t="shared" si="107"/>
        <v>0</v>
      </c>
    </row>
    <row r="1128" spans="27:33" x14ac:dyDescent="0.25">
      <c r="AA1128" s="640" t="str">
        <f t="shared" si="106"/>
        <v/>
      </c>
      <c r="AB1128" s="640" t="str">
        <f t="shared" si="108"/>
        <v/>
      </c>
      <c r="AD1128" s="890" t="str">
        <f t="shared" si="109"/>
        <v/>
      </c>
      <c r="AE1128" s="890" t="str">
        <f t="shared" si="110"/>
        <v/>
      </c>
      <c r="AF1128" s="890" t="str">
        <f t="shared" si="111"/>
        <v/>
      </c>
      <c r="AG1128" s="192">
        <f t="shared" si="107"/>
        <v>0</v>
      </c>
    </row>
    <row r="1129" spans="27:33" x14ac:dyDescent="0.25">
      <c r="AA1129" s="640" t="str">
        <f t="shared" si="106"/>
        <v/>
      </c>
      <c r="AB1129" s="640" t="str">
        <f t="shared" si="108"/>
        <v/>
      </c>
      <c r="AD1129" s="890" t="str">
        <f t="shared" si="109"/>
        <v/>
      </c>
      <c r="AE1129" s="890" t="str">
        <f t="shared" si="110"/>
        <v/>
      </c>
      <c r="AF1129" s="890" t="str">
        <f t="shared" si="111"/>
        <v/>
      </c>
      <c r="AG1129" s="192">
        <f t="shared" si="107"/>
        <v>0</v>
      </c>
    </row>
    <row r="1130" spans="27:33" x14ac:dyDescent="0.25">
      <c r="AA1130" s="640" t="str">
        <f t="shared" si="106"/>
        <v/>
      </c>
      <c r="AB1130" s="640" t="str">
        <f t="shared" si="108"/>
        <v/>
      </c>
      <c r="AD1130" s="890" t="str">
        <f t="shared" si="109"/>
        <v/>
      </c>
      <c r="AE1130" s="890" t="str">
        <f t="shared" si="110"/>
        <v/>
      </c>
      <c r="AF1130" s="890" t="str">
        <f t="shared" si="111"/>
        <v/>
      </c>
      <c r="AG1130" s="192">
        <f t="shared" si="107"/>
        <v>0</v>
      </c>
    </row>
    <row r="1131" spans="27:33" x14ac:dyDescent="0.25">
      <c r="AA1131" s="640" t="str">
        <f t="shared" si="106"/>
        <v/>
      </c>
      <c r="AB1131" s="640" t="str">
        <f t="shared" si="108"/>
        <v/>
      </c>
      <c r="AD1131" s="890" t="str">
        <f t="shared" si="109"/>
        <v/>
      </c>
      <c r="AE1131" s="890" t="str">
        <f t="shared" si="110"/>
        <v/>
      </c>
      <c r="AF1131" s="890" t="str">
        <f t="shared" si="111"/>
        <v/>
      </c>
      <c r="AG1131" s="192">
        <f t="shared" si="107"/>
        <v>0</v>
      </c>
    </row>
    <row r="1132" spans="27:33" x14ac:dyDescent="0.25">
      <c r="AA1132" s="640" t="str">
        <f t="shared" si="106"/>
        <v/>
      </c>
      <c r="AB1132" s="640" t="str">
        <f t="shared" si="108"/>
        <v/>
      </c>
      <c r="AD1132" s="890" t="str">
        <f t="shared" si="109"/>
        <v/>
      </c>
      <c r="AE1132" s="890" t="str">
        <f t="shared" si="110"/>
        <v/>
      </c>
      <c r="AF1132" s="890" t="str">
        <f t="shared" si="111"/>
        <v/>
      </c>
      <c r="AG1132" s="192">
        <f t="shared" si="107"/>
        <v>0</v>
      </c>
    </row>
    <row r="1133" spans="27:33" x14ac:dyDescent="0.25">
      <c r="AA1133" s="640" t="str">
        <f t="shared" si="106"/>
        <v/>
      </c>
      <c r="AB1133" s="640" t="str">
        <f t="shared" si="108"/>
        <v/>
      </c>
      <c r="AD1133" s="890" t="str">
        <f t="shared" si="109"/>
        <v/>
      </c>
      <c r="AE1133" s="890" t="str">
        <f t="shared" si="110"/>
        <v/>
      </c>
      <c r="AF1133" s="890" t="str">
        <f t="shared" si="111"/>
        <v/>
      </c>
      <c r="AG1133" s="192">
        <f t="shared" si="107"/>
        <v>0</v>
      </c>
    </row>
    <row r="1134" spans="27:33" x14ac:dyDescent="0.25">
      <c r="AA1134" s="640" t="str">
        <f t="shared" si="106"/>
        <v/>
      </c>
      <c r="AB1134" s="640" t="str">
        <f t="shared" si="108"/>
        <v/>
      </c>
      <c r="AD1134" s="890" t="str">
        <f t="shared" si="109"/>
        <v/>
      </c>
      <c r="AE1134" s="890" t="str">
        <f t="shared" si="110"/>
        <v/>
      </c>
      <c r="AF1134" s="890" t="str">
        <f t="shared" si="111"/>
        <v/>
      </c>
      <c r="AG1134" s="192">
        <f t="shared" si="107"/>
        <v>0</v>
      </c>
    </row>
    <row r="1135" spans="27:33" x14ac:dyDescent="0.25">
      <c r="AA1135" s="640" t="str">
        <f t="shared" si="106"/>
        <v/>
      </c>
      <c r="AB1135" s="640" t="str">
        <f t="shared" si="108"/>
        <v/>
      </c>
      <c r="AD1135" s="890" t="str">
        <f t="shared" si="109"/>
        <v/>
      </c>
      <c r="AE1135" s="890" t="str">
        <f t="shared" si="110"/>
        <v/>
      </c>
      <c r="AF1135" s="890" t="str">
        <f t="shared" si="111"/>
        <v/>
      </c>
      <c r="AG1135" s="192">
        <f t="shared" si="107"/>
        <v>0</v>
      </c>
    </row>
    <row r="1136" spans="27:33" x14ac:dyDescent="0.25">
      <c r="AA1136" s="640" t="str">
        <f t="shared" si="106"/>
        <v/>
      </c>
      <c r="AB1136" s="640" t="str">
        <f t="shared" si="108"/>
        <v/>
      </c>
      <c r="AD1136" s="890" t="str">
        <f t="shared" si="109"/>
        <v/>
      </c>
      <c r="AE1136" s="890" t="str">
        <f t="shared" si="110"/>
        <v/>
      </c>
      <c r="AF1136" s="890" t="str">
        <f t="shared" si="111"/>
        <v/>
      </c>
      <c r="AG1136" s="192">
        <f t="shared" si="107"/>
        <v>0</v>
      </c>
    </row>
    <row r="1137" spans="27:33" x14ac:dyDescent="0.25">
      <c r="AA1137" s="640" t="str">
        <f t="shared" si="106"/>
        <v/>
      </c>
      <c r="AB1137" s="640" t="str">
        <f t="shared" si="108"/>
        <v/>
      </c>
      <c r="AD1137" s="890" t="str">
        <f t="shared" si="109"/>
        <v/>
      </c>
      <c r="AE1137" s="890" t="str">
        <f t="shared" si="110"/>
        <v/>
      </c>
      <c r="AF1137" s="890" t="str">
        <f t="shared" si="111"/>
        <v/>
      </c>
      <c r="AG1137" s="192">
        <f t="shared" si="107"/>
        <v>0</v>
      </c>
    </row>
    <row r="1138" spans="27:33" x14ac:dyDescent="0.25">
      <c r="AA1138" s="640" t="str">
        <f t="shared" si="106"/>
        <v/>
      </c>
      <c r="AB1138" s="640" t="str">
        <f t="shared" si="108"/>
        <v/>
      </c>
      <c r="AD1138" s="890" t="str">
        <f t="shared" si="109"/>
        <v/>
      </c>
      <c r="AE1138" s="890" t="str">
        <f t="shared" si="110"/>
        <v/>
      </c>
      <c r="AF1138" s="890" t="str">
        <f t="shared" si="111"/>
        <v/>
      </c>
      <c r="AG1138" s="192">
        <f t="shared" si="107"/>
        <v>0</v>
      </c>
    </row>
    <row r="1139" spans="27:33" x14ac:dyDescent="0.25">
      <c r="AA1139" s="640" t="str">
        <f t="shared" si="106"/>
        <v/>
      </c>
      <c r="AB1139" s="640" t="str">
        <f t="shared" si="108"/>
        <v/>
      </c>
      <c r="AD1139" s="890" t="str">
        <f t="shared" si="109"/>
        <v/>
      </c>
      <c r="AE1139" s="890" t="str">
        <f t="shared" si="110"/>
        <v/>
      </c>
      <c r="AF1139" s="890" t="str">
        <f t="shared" si="111"/>
        <v/>
      </c>
      <c r="AG1139" s="192">
        <f t="shared" si="107"/>
        <v>0</v>
      </c>
    </row>
    <row r="1140" spans="27:33" x14ac:dyDescent="0.25">
      <c r="AA1140" s="640" t="str">
        <f t="shared" si="106"/>
        <v/>
      </c>
      <c r="AB1140" s="640" t="str">
        <f t="shared" si="108"/>
        <v/>
      </c>
      <c r="AD1140" s="890" t="str">
        <f t="shared" si="109"/>
        <v/>
      </c>
      <c r="AE1140" s="890" t="str">
        <f t="shared" si="110"/>
        <v/>
      </c>
      <c r="AF1140" s="890" t="str">
        <f t="shared" si="111"/>
        <v/>
      </c>
      <c r="AG1140" s="192">
        <f t="shared" si="107"/>
        <v>0</v>
      </c>
    </row>
    <row r="1141" spans="27:33" x14ac:dyDescent="0.25">
      <c r="AA1141" s="640" t="str">
        <f t="shared" si="106"/>
        <v/>
      </c>
      <c r="AB1141" s="640" t="str">
        <f t="shared" si="108"/>
        <v/>
      </c>
      <c r="AD1141" s="890" t="str">
        <f t="shared" si="109"/>
        <v/>
      </c>
      <c r="AE1141" s="890" t="str">
        <f t="shared" si="110"/>
        <v/>
      </c>
      <c r="AF1141" s="890" t="str">
        <f t="shared" si="111"/>
        <v/>
      </c>
      <c r="AG1141" s="192">
        <f t="shared" si="107"/>
        <v>0</v>
      </c>
    </row>
    <row r="1142" spans="27:33" x14ac:dyDescent="0.25">
      <c r="AA1142" s="640" t="str">
        <f t="shared" si="106"/>
        <v/>
      </c>
      <c r="AB1142" s="640" t="str">
        <f t="shared" si="108"/>
        <v/>
      </c>
      <c r="AD1142" s="890" t="str">
        <f t="shared" si="109"/>
        <v/>
      </c>
      <c r="AE1142" s="890" t="str">
        <f t="shared" si="110"/>
        <v/>
      </c>
      <c r="AF1142" s="890" t="str">
        <f t="shared" si="111"/>
        <v/>
      </c>
      <c r="AG1142" s="192">
        <f t="shared" si="107"/>
        <v>0</v>
      </c>
    </row>
    <row r="1143" spans="27:33" x14ac:dyDescent="0.25">
      <c r="AA1143" s="640" t="str">
        <f t="shared" si="106"/>
        <v/>
      </c>
      <c r="AB1143" s="640" t="str">
        <f t="shared" si="108"/>
        <v/>
      </c>
      <c r="AD1143" s="890" t="str">
        <f t="shared" si="109"/>
        <v/>
      </c>
      <c r="AE1143" s="890" t="str">
        <f t="shared" si="110"/>
        <v/>
      </c>
      <c r="AF1143" s="890" t="str">
        <f t="shared" si="111"/>
        <v/>
      </c>
      <c r="AG1143" s="192">
        <f t="shared" si="107"/>
        <v>0</v>
      </c>
    </row>
    <row r="1144" spans="27:33" x14ac:dyDescent="0.25">
      <c r="AA1144" s="640" t="str">
        <f t="shared" si="106"/>
        <v/>
      </c>
      <c r="AB1144" s="640" t="str">
        <f t="shared" si="108"/>
        <v/>
      </c>
      <c r="AD1144" s="890" t="str">
        <f t="shared" si="109"/>
        <v/>
      </c>
      <c r="AE1144" s="890" t="str">
        <f t="shared" si="110"/>
        <v/>
      </c>
      <c r="AF1144" s="890" t="str">
        <f t="shared" si="111"/>
        <v/>
      </c>
      <c r="AG1144" s="192">
        <f t="shared" si="107"/>
        <v>0</v>
      </c>
    </row>
    <row r="1145" spans="27:33" x14ac:dyDescent="0.25">
      <c r="AA1145" s="640" t="str">
        <f t="shared" si="106"/>
        <v/>
      </c>
      <c r="AB1145" s="640" t="str">
        <f t="shared" si="108"/>
        <v/>
      </c>
      <c r="AD1145" s="890" t="str">
        <f t="shared" si="109"/>
        <v/>
      </c>
      <c r="AE1145" s="890" t="str">
        <f t="shared" si="110"/>
        <v/>
      </c>
      <c r="AF1145" s="890" t="str">
        <f t="shared" si="111"/>
        <v/>
      </c>
      <c r="AG1145" s="192">
        <f t="shared" si="107"/>
        <v>0</v>
      </c>
    </row>
    <row r="1146" spans="27:33" x14ac:dyDescent="0.25">
      <c r="AA1146" s="640" t="str">
        <f t="shared" si="106"/>
        <v/>
      </c>
      <c r="AB1146" s="640" t="str">
        <f t="shared" si="108"/>
        <v/>
      </c>
      <c r="AD1146" s="890" t="str">
        <f t="shared" si="109"/>
        <v/>
      </c>
      <c r="AE1146" s="890" t="str">
        <f t="shared" si="110"/>
        <v/>
      </c>
      <c r="AF1146" s="890" t="str">
        <f t="shared" si="111"/>
        <v/>
      </c>
      <c r="AG1146" s="192">
        <f t="shared" si="107"/>
        <v>0</v>
      </c>
    </row>
    <row r="1147" spans="27:33" x14ac:dyDescent="0.25">
      <c r="AA1147" s="640" t="str">
        <f t="shared" si="106"/>
        <v/>
      </c>
      <c r="AB1147" s="640" t="str">
        <f t="shared" si="108"/>
        <v/>
      </c>
      <c r="AD1147" s="890" t="str">
        <f t="shared" si="109"/>
        <v/>
      </c>
      <c r="AE1147" s="890" t="str">
        <f t="shared" si="110"/>
        <v/>
      </c>
      <c r="AF1147" s="890" t="str">
        <f t="shared" si="111"/>
        <v/>
      </c>
      <c r="AG1147" s="192">
        <f t="shared" si="107"/>
        <v>0</v>
      </c>
    </row>
    <row r="1148" spans="27:33" x14ac:dyDescent="0.25">
      <c r="AA1148" s="640" t="str">
        <f t="shared" si="106"/>
        <v/>
      </c>
      <c r="AB1148" s="640" t="str">
        <f t="shared" si="108"/>
        <v/>
      </c>
      <c r="AD1148" s="890" t="str">
        <f t="shared" si="109"/>
        <v/>
      </c>
      <c r="AE1148" s="890" t="str">
        <f t="shared" si="110"/>
        <v/>
      </c>
      <c r="AF1148" s="890" t="str">
        <f t="shared" si="111"/>
        <v/>
      </c>
      <c r="AG1148" s="192">
        <f t="shared" si="107"/>
        <v>0</v>
      </c>
    </row>
    <row r="1149" spans="27:33" x14ac:dyDescent="0.25">
      <c r="AA1149" s="640" t="str">
        <f t="shared" si="106"/>
        <v/>
      </c>
      <c r="AB1149" s="640" t="str">
        <f t="shared" si="108"/>
        <v/>
      </c>
      <c r="AD1149" s="890" t="str">
        <f t="shared" si="109"/>
        <v/>
      </c>
      <c r="AE1149" s="890" t="str">
        <f t="shared" si="110"/>
        <v/>
      </c>
      <c r="AF1149" s="890" t="str">
        <f t="shared" si="111"/>
        <v/>
      </c>
      <c r="AG1149" s="192">
        <f t="shared" si="107"/>
        <v>0</v>
      </c>
    </row>
    <row r="1150" spans="27:33" x14ac:dyDescent="0.25">
      <c r="AA1150" s="640" t="str">
        <f t="shared" si="106"/>
        <v/>
      </c>
      <c r="AB1150" s="640" t="str">
        <f t="shared" si="108"/>
        <v/>
      </c>
      <c r="AD1150" s="890" t="str">
        <f t="shared" si="109"/>
        <v/>
      </c>
      <c r="AE1150" s="890" t="str">
        <f t="shared" si="110"/>
        <v/>
      </c>
      <c r="AF1150" s="890" t="str">
        <f t="shared" si="111"/>
        <v/>
      </c>
      <c r="AG1150" s="192">
        <f t="shared" si="107"/>
        <v>0</v>
      </c>
    </row>
    <row r="1151" spans="27:33" x14ac:dyDescent="0.25">
      <c r="AA1151" s="640" t="str">
        <f t="shared" si="106"/>
        <v/>
      </c>
      <c r="AB1151" s="640" t="str">
        <f t="shared" si="108"/>
        <v/>
      </c>
      <c r="AD1151" s="890" t="str">
        <f t="shared" si="109"/>
        <v/>
      </c>
      <c r="AE1151" s="890" t="str">
        <f t="shared" si="110"/>
        <v/>
      </c>
      <c r="AF1151" s="890" t="str">
        <f t="shared" si="111"/>
        <v/>
      </c>
      <c r="AG1151" s="192">
        <f t="shared" si="107"/>
        <v>0</v>
      </c>
    </row>
    <row r="1152" spans="27:33" x14ac:dyDescent="0.25">
      <c r="AA1152" s="640" t="str">
        <f t="shared" si="106"/>
        <v/>
      </c>
      <c r="AB1152" s="640" t="str">
        <f t="shared" si="108"/>
        <v/>
      </c>
      <c r="AD1152" s="890" t="str">
        <f t="shared" si="109"/>
        <v/>
      </c>
      <c r="AE1152" s="890" t="str">
        <f t="shared" si="110"/>
        <v/>
      </c>
      <c r="AF1152" s="890" t="str">
        <f t="shared" si="111"/>
        <v/>
      </c>
      <c r="AG1152" s="192">
        <f t="shared" si="107"/>
        <v>0</v>
      </c>
    </row>
    <row r="1153" spans="27:33" x14ac:dyDescent="0.25">
      <c r="AA1153" s="640" t="str">
        <f t="shared" si="106"/>
        <v/>
      </c>
      <c r="AB1153" s="640" t="str">
        <f t="shared" si="108"/>
        <v/>
      </c>
      <c r="AD1153" s="890" t="str">
        <f t="shared" si="109"/>
        <v/>
      </c>
      <c r="AE1153" s="890" t="str">
        <f t="shared" si="110"/>
        <v/>
      </c>
      <c r="AF1153" s="890" t="str">
        <f t="shared" si="111"/>
        <v/>
      </c>
      <c r="AG1153" s="192">
        <f t="shared" si="107"/>
        <v>0</v>
      </c>
    </row>
    <row r="1154" spans="27:33" x14ac:dyDescent="0.25">
      <c r="AA1154" s="640" t="str">
        <f t="shared" si="106"/>
        <v/>
      </c>
      <c r="AB1154" s="640" t="str">
        <f t="shared" si="108"/>
        <v/>
      </c>
      <c r="AD1154" s="890" t="str">
        <f t="shared" si="109"/>
        <v/>
      </c>
      <c r="AE1154" s="890" t="str">
        <f t="shared" si="110"/>
        <v/>
      </c>
      <c r="AF1154" s="890" t="str">
        <f t="shared" si="111"/>
        <v/>
      </c>
      <c r="AG1154" s="192">
        <f t="shared" si="107"/>
        <v>0</v>
      </c>
    </row>
    <row r="1155" spans="27:33" x14ac:dyDescent="0.25">
      <c r="AA1155" s="640" t="str">
        <f t="shared" si="106"/>
        <v/>
      </c>
      <c r="AB1155" s="640" t="str">
        <f t="shared" si="108"/>
        <v/>
      </c>
      <c r="AD1155" s="890" t="str">
        <f t="shared" si="109"/>
        <v/>
      </c>
      <c r="AE1155" s="890" t="str">
        <f t="shared" si="110"/>
        <v/>
      </c>
      <c r="AF1155" s="890" t="str">
        <f t="shared" si="111"/>
        <v/>
      </c>
      <c r="AG1155" s="192">
        <f t="shared" si="107"/>
        <v>0</v>
      </c>
    </row>
    <row r="1156" spans="27:33" x14ac:dyDescent="0.25">
      <c r="AA1156" s="640" t="str">
        <f t="shared" si="106"/>
        <v/>
      </c>
      <c r="AB1156" s="640" t="str">
        <f t="shared" si="108"/>
        <v/>
      </c>
      <c r="AD1156" s="890" t="str">
        <f t="shared" si="109"/>
        <v/>
      </c>
      <c r="AE1156" s="890" t="str">
        <f t="shared" si="110"/>
        <v/>
      </c>
      <c r="AF1156" s="890" t="str">
        <f t="shared" si="111"/>
        <v/>
      </c>
      <c r="AG1156" s="192">
        <f t="shared" si="107"/>
        <v>0</v>
      </c>
    </row>
    <row r="1157" spans="27:33" x14ac:dyDescent="0.25">
      <c r="AA1157" s="640" t="str">
        <f t="shared" si="106"/>
        <v/>
      </c>
      <c r="AB1157" s="640" t="str">
        <f t="shared" si="108"/>
        <v/>
      </c>
      <c r="AD1157" s="890" t="str">
        <f t="shared" si="109"/>
        <v/>
      </c>
      <c r="AE1157" s="890" t="str">
        <f t="shared" si="110"/>
        <v/>
      </c>
      <c r="AF1157" s="890" t="str">
        <f t="shared" si="111"/>
        <v/>
      </c>
      <c r="AG1157" s="192">
        <f t="shared" si="107"/>
        <v>0</v>
      </c>
    </row>
    <row r="1158" spans="27:33" x14ac:dyDescent="0.25">
      <c r="AA1158" s="640" t="str">
        <f t="shared" si="106"/>
        <v/>
      </c>
      <c r="AB1158" s="640" t="str">
        <f t="shared" si="108"/>
        <v/>
      </c>
      <c r="AD1158" s="890" t="str">
        <f t="shared" si="109"/>
        <v/>
      </c>
      <c r="AE1158" s="890" t="str">
        <f t="shared" si="110"/>
        <v/>
      </c>
      <c r="AF1158" s="890" t="str">
        <f t="shared" si="111"/>
        <v/>
      </c>
      <c r="AG1158" s="192">
        <f t="shared" si="107"/>
        <v>0</v>
      </c>
    </row>
    <row r="1159" spans="27:33" x14ac:dyDescent="0.25">
      <c r="AA1159" s="640" t="str">
        <f t="shared" ref="AA1159:AA1222" si="112">IF(G1159=0, IF(OR(H1159&gt;0,F1159&gt;0),C1159*F1159,""),"")</f>
        <v/>
      </c>
      <c r="AB1159" s="640" t="str">
        <f t="shared" si="108"/>
        <v/>
      </c>
      <c r="AD1159" s="890" t="str">
        <f t="shared" si="109"/>
        <v/>
      </c>
      <c r="AE1159" s="890" t="str">
        <f t="shared" si="110"/>
        <v/>
      </c>
      <c r="AF1159" s="890" t="str">
        <f t="shared" si="111"/>
        <v/>
      </c>
      <c r="AG1159" s="192">
        <f t="shared" ref="AG1159:AG1222" si="113">(C1159*G1159)+(C1159*H1159)+(C1159*I1159)</f>
        <v>0</v>
      </c>
    </row>
    <row r="1160" spans="27:33" x14ac:dyDescent="0.25">
      <c r="AA1160" s="640" t="str">
        <f t="shared" si="112"/>
        <v/>
      </c>
      <c r="AB1160" s="640" t="str">
        <f t="shared" ref="AB1160:AB1223" si="114">IF(G1160&gt;=1,IF(F1160&gt;1,C1160*(F1160-2),""),"")</f>
        <v/>
      </c>
      <c r="AD1160" s="890" t="str">
        <f t="shared" ref="AD1160:AD1223" si="115">IF(E1160="YES",IF(G1160=1,"",""),IF(G1160=1,C1160,IF(G1160=2,C1160,IF(G1160=0,"",""))))</f>
        <v/>
      </c>
      <c r="AE1160" s="890" t="str">
        <f t="shared" ref="AE1160:AE1223" si="116">IF(E1160="YES",IF(G1160=1,"",IF(H1160=1,C1160,"")),IF(H1160=1,C1160,IF(H1160=2,C1160,IF(H1160=0,"",""))))</f>
        <v/>
      </c>
      <c r="AF1160" s="890" t="str">
        <f t="shared" ref="AF1160:AF1223" si="117">IF(E1160="YES",IF(I1160=1,C1160,""),IF(I1160=1,C1160,IF(I1160=2,C1160,IF(I1160=0,"",""))))</f>
        <v/>
      </c>
      <c r="AG1160" s="192">
        <f t="shared" si="113"/>
        <v>0</v>
      </c>
    </row>
    <row r="1161" spans="27:33" x14ac:dyDescent="0.25">
      <c r="AA1161" s="640" t="str">
        <f t="shared" si="112"/>
        <v/>
      </c>
      <c r="AB1161" s="640" t="str">
        <f t="shared" si="114"/>
        <v/>
      </c>
      <c r="AD1161" s="890" t="str">
        <f t="shared" si="115"/>
        <v/>
      </c>
      <c r="AE1161" s="890" t="str">
        <f t="shared" si="116"/>
        <v/>
      </c>
      <c r="AF1161" s="890" t="str">
        <f t="shared" si="117"/>
        <v/>
      </c>
      <c r="AG1161" s="192">
        <f t="shared" si="113"/>
        <v>0</v>
      </c>
    </row>
    <row r="1162" spans="27:33" x14ac:dyDescent="0.25">
      <c r="AA1162" s="640" t="str">
        <f t="shared" si="112"/>
        <v/>
      </c>
      <c r="AB1162" s="640" t="str">
        <f t="shared" si="114"/>
        <v/>
      </c>
      <c r="AD1162" s="890" t="str">
        <f t="shared" si="115"/>
        <v/>
      </c>
      <c r="AE1162" s="890" t="str">
        <f t="shared" si="116"/>
        <v/>
      </c>
      <c r="AF1162" s="890" t="str">
        <f t="shared" si="117"/>
        <v/>
      </c>
      <c r="AG1162" s="192">
        <f t="shared" si="113"/>
        <v>0</v>
      </c>
    </row>
    <row r="1163" spans="27:33" x14ac:dyDescent="0.25">
      <c r="AA1163" s="640" t="str">
        <f t="shared" si="112"/>
        <v/>
      </c>
      <c r="AB1163" s="640" t="str">
        <f t="shared" si="114"/>
        <v/>
      </c>
      <c r="AD1163" s="890" t="str">
        <f t="shared" si="115"/>
        <v/>
      </c>
      <c r="AE1163" s="890" t="str">
        <f t="shared" si="116"/>
        <v/>
      </c>
      <c r="AF1163" s="890" t="str">
        <f t="shared" si="117"/>
        <v/>
      </c>
      <c r="AG1163" s="192">
        <f t="shared" si="113"/>
        <v>0</v>
      </c>
    </row>
    <row r="1164" spans="27:33" x14ac:dyDescent="0.25">
      <c r="AA1164" s="640" t="str">
        <f t="shared" si="112"/>
        <v/>
      </c>
      <c r="AB1164" s="640" t="str">
        <f t="shared" si="114"/>
        <v/>
      </c>
      <c r="AD1164" s="890" t="str">
        <f t="shared" si="115"/>
        <v/>
      </c>
      <c r="AE1164" s="890" t="str">
        <f t="shared" si="116"/>
        <v/>
      </c>
      <c r="AF1164" s="890" t="str">
        <f t="shared" si="117"/>
        <v/>
      </c>
      <c r="AG1164" s="192">
        <f t="shared" si="113"/>
        <v>0</v>
      </c>
    </row>
    <row r="1165" spans="27:33" x14ac:dyDescent="0.25">
      <c r="AA1165" s="640" t="str">
        <f t="shared" si="112"/>
        <v/>
      </c>
      <c r="AB1165" s="640" t="str">
        <f t="shared" si="114"/>
        <v/>
      </c>
      <c r="AD1165" s="890" t="str">
        <f t="shared" si="115"/>
        <v/>
      </c>
      <c r="AE1165" s="890" t="str">
        <f t="shared" si="116"/>
        <v/>
      </c>
      <c r="AF1165" s="890" t="str">
        <f t="shared" si="117"/>
        <v/>
      </c>
      <c r="AG1165" s="192">
        <f t="shared" si="113"/>
        <v>0</v>
      </c>
    </row>
    <row r="1166" spans="27:33" x14ac:dyDescent="0.25">
      <c r="AA1166" s="640" t="str">
        <f t="shared" si="112"/>
        <v/>
      </c>
      <c r="AB1166" s="640" t="str">
        <f t="shared" si="114"/>
        <v/>
      </c>
      <c r="AD1166" s="890" t="str">
        <f t="shared" si="115"/>
        <v/>
      </c>
      <c r="AE1166" s="890" t="str">
        <f t="shared" si="116"/>
        <v/>
      </c>
      <c r="AF1166" s="890" t="str">
        <f t="shared" si="117"/>
        <v/>
      </c>
      <c r="AG1166" s="192">
        <f t="shared" si="113"/>
        <v>0</v>
      </c>
    </row>
    <row r="1167" spans="27:33" x14ac:dyDescent="0.25">
      <c r="AA1167" s="640" t="str">
        <f t="shared" si="112"/>
        <v/>
      </c>
      <c r="AB1167" s="640" t="str">
        <f t="shared" si="114"/>
        <v/>
      </c>
      <c r="AD1167" s="890" t="str">
        <f t="shared" si="115"/>
        <v/>
      </c>
      <c r="AE1167" s="890" t="str">
        <f t="shared" si="116"/>
        <v/>
      </c>
      <c r="AF1167" s="890" t="str">
        <f t="shared" si="117"/>
        <v/>
      </c>
      <c r="AG1167" s="192">
        <f t="shared" si="113"/>
        <v>0</v>
      </c>
    </row>
    <row r="1168" spans="27:33" x14ac:dyDescent="0.25">
      <c r="AA1168" s="640" t="str">
        <f t="shared" si="112"/>
        <v/>
      </c>
      <c r="AB1168" s="640" t="str">
        <f t="shared" si="114"/>
        <v/>
      </c>
      <c r="AD1168" s="890" t="str">
        <f t="shared" si="115"/>
        <v/>
      </c>
      <c r="AE1168" s="890" t="str">
        <f t="shared" si="116"/>
        <v/>
      </c>
      <c r="AF1168" s="890" t="str">
        <f t="shared" si="117"/>
        <v/>
      </c>
      <c r="AG1168" s="192">
        <f t="shared" si="113"/>
        <v>0</v>
      </c>
    </row>
    <row r="1169" spans="27:33" x14ac:dyDescent="0.25">
      <c r="AA1169" s="640" t="str">
        <f t="shared" si="112"/>
        <v/>
      </c>
      <c r="AB1169" s="640" t="str">
        <f t="shared" si="114"/>
        <v/>
      </c>
      <c r="AD1169" s="890" t="str">
        <f t="shared" si="115"/>
        <v/>
      </c>
      <c r="AE1169" s="890" t="str">
        <f t="shared" si="116"/>
        <v/>
      </c>
      <c r="AF1169" s="890" t="str">
        <f t="shared" si="117"/>
        <v/>
      </c>
      <c r="AG1169" s="192">
        <f t="shared" si="113"/>
        <v>0</v>
      </c>
    </row>
    <row r="1170" spans="27:33" x14ac:dyDescent="0.25">
      <c r="AA1170" s="640" t="str">
        <f t="shared" si="112"/>
        <v/>
      </c>
      <c r="AB1170" s="640" t="str">
        <f t="shared" si="114"/>
        <v/>
      </c>
      <c r="AD1170" s="890" t="str">
        <f t="shared" si="115"/>
        <v/>
      </c>
      <c r="AE1170" s="890" t="str">
        <f t="shared" si="116"/>
        <v/>
      </c>
      <c r="AF1170" s="890" t="str">
        <f t="shared" si="117"/>
        <v/>
      </c>
      <c r="AG1170" s="192">
        <f t="shared" si="113"/>
        <v>0</v>
      </c>
    </row>
    <row r="1171" spans="27:33" x14ac:dyDescent="0.25">
      <c r="AA1171" s="640" t="str">
        <f t="shared" si="112"/>
        <v/>
      </c>
      <c r="AB1171" s="640" t="str">
        <f t="shared" si="114"/>
        <v/>
      </c>
      <c r="AD1171" s="890" t="str">
        <f t="shared" si="115"/>
        <v/>
      </c>
      <c r="AE1171" s="890" t="str">
        <f t="shared" si="116"/>
        <v/>
      </c>
      <c r="AF1171" s="890" t="str">
        <f t="shared" si="117"/>
        <v/>
      </c>
      <c r="AG1171" s="192">
        <f t="shared" si="113"/>
        <v>0</v>
      </c>
    </row>
    <row r="1172" spans="27:33" x14ac:dyDescent="0.25">
      <c r="AA1172" s="640" t="str">
        <f t="shared" si="112"/>
        <v/>
      </c>
      <c r="AB1172" s="640" t="str">
        <f t="shared" si="114"/>
        <v/>
      </c>
      <c r="AD1172" s="890" t="str">
        <f t="shared" si="115"/>
        <v/>
      </c>
      <c r="AE1172" s="890" t="str">
        <f t="shared" si="116"/>
        <v/>
      </c>
      <c r="AF1172" s="890" t="str">
        <f t="shared" si="117"/>
        <v/>
      </c>
      <c r="AG1172" s="192">
        <f t="shared" si="113"/>
        <v>0</v>
      </c>
    </row>
    <row r="1173" spans="27:33" x14ac:dyDescent="0.25">
      <c r="AA1173" s="640" t="str">
        <f t="shared" si="112"/>
        <v/>
      </c>
      <c r="AB1173" s="640" t="str">
        <f t="shared" si="114"/>
        <v/>
      </c>
      <c r="AD1173" s="890" t="str">
        <f t="shared" si="115"/>
        <v/>
      </c>
      <c r="AE1173" s="890" t="str">
        <f t="shared" si="116"/>
        <v/>
      </c>
      <c r="AF1173" s="890" t="str">
        <f t="shared" si="117"/>
        <v/>
      </c>
      <c r="AG1173" s="192">
        <f t="shared" si="113"/>
        <v>0</v>
      </c>
    </row>
    <row r="1174" spans="27:33" x14ac:dyDescent="0.25">
      <c r="AA1174" s="640" t="str">
        <f t="shared" si="112"/>
        <v/>
      </c>
      <c r="AB1174" s="640" t="str">
        <f t="shared" si="114"/>
        <v/>
      </c>
      <c r="AD1174" s="890" t="str">
        <f t="shared" si="115"/>
        <v/>
      </c>
      <c r="AE1174" s="890" t="str">
        <f t="shared" si="116"/>
        <v/>
      </c>
      <c r="AF1174" s="890" t="str">
        <f t="shared" si="117"/>
        <v/>
      </c>
      <c r="AG1174" s="192">
        <f t="shared" si="113"/>
        <v>0</v>
      </c>
    </row>
    <row r="1175" spans="27:33" x14ac:dyDescent="0.25">
      <c r="AA1175" s="640" t="str">
        <f t="shared" si="112"/>
        <v/>
      </c>
      <c r="AB1175" s="640" t="str">
        <f t="shared" si="114"/>
        <v/>
      </c>
      <c r="AD1175" s="890" t="str">
        <f t="shared" si="115"/>
        <v/>
      </c>
      <c r="AE1175" s="890" t="str">
        <f t="shared" si="116"/>
        <v/>
      </c>
      <c r="AF1175" s="890" t="str">
        <f t="shared" si="117"/>
        <v/>
      </c>
      <c r="AG1175" s="192">
        <f t="shared" si="113"/>
        <v>0</v>
      </c>
    </row>
    <row r="1176" spans="27:33" x14ac:dyDescent="0.25">
      <c r="AA1176" s="640" t="str">
        <f t="shared" si="112"/>
        <v/>
      </c>
      <c r="AB1176" s="640" t="str">
        <f t="shared" si="114"/>
        <v/>
      </c>
      <c r="AD1176" s="890" t="str">
        <f t="shared" si="115"/>
        <v/>
      </c>
      <c r="AE1176" s="890" t="str">
        <f t="shared" si="116"/>
        <v/>
      </c>
      <c r="AF1176" s="890" t="str">
        <f t="shared" si="117"/>
        <v/>
      </c>
      <c r="AG1176" s="192">
        <f t="shared" si="113"/>
        <v>0</v>
      </c>
    </row>
    <row r="1177" spans="27:33" x14ac:dyDescent="0.25">
      <c r="AA1177" s="640" t="str">
        <f t="shared" si="112"/>
        <v/>
      </c>
      <c r="AB1177" s="640" t="str">
        <f t="shared" si="114"/>
        <v/>
      </c>
      <c r="AD1177" s="890" t="str">
        <f t="shared" si="115"/>
        <v/>
      </c>
      <c r="AE1177" s="890" t="str">
        <f t="shared" si="116"/>
        <v/>
      </c>
      <c r="AF1177" s="890" t="str">
        <f t="shared" si="117"/>
        <v/>
      </c>
      <c r="AG1177" s="192">
        <f t="shared" si="113"/>
        <v>0</v>
      </c>
    </row>
    <row r="1178" spans="27:33" x14ac:dyDescent="0.25">
      <c r="AA1178" s="640" t="str">
        <f t="shared" si="112"/>
        <v/>
      </c>
      <c r="AB1178" s="640" t="str">
        <f t="shared" si="114"/>
        <v/>
      </c>
      <c r="AD1178" s="890" t="str">
        <f t="shared" si="115"/>
        <v/>
      </c>
      <c r="AE1178" s="890" t="str">
        <f t="shared" si="116"/>
        <v/>
      </c>
      <c r="AF1178" s="890" t="str">
        <f t="shared" si="117"/>
        <v/>
      </c>
      <c r="AG1178" s="192">
        <f t="shared" si="113"/>
        <v>0</v>
      </c>
    </row>
    <row r="1179" spans="27:33" x14ac:dyDescent="0.25">
      <c r="AA1179" s="640" t="str">
        <f t="shared" si="112"/>
        <v/>
      </c>
      <c r="AB1179" s="640" t="str">
        <f t="shared" si="114"/>
        <v/>
      </c>
      <c r="AD1179" s="890" t="str">
        <f t="shared" si="115"/>
        <v/>
      </c>
      <c r="AE1179" s="890" t="str">
        <f t="shared" si="116"/>
        <v/>
      </c>
      <c r="AF1179" s="890" t="str">
        <f t="shared" si="117"/>
        <v/>
      </c>
      <c r="AG1179" s="192">
        <f t="shared" si="113"/>
        <v>0</v>
      </c>
    </row>
    <row r="1180" spans="27:33" x14ac:dyDescent="0.25">
      <c r="AA1180" s="640" t="str">
        <f t="shared" si="112"/>
        <v/>
      </c>
      <c r="AB1180" s="640" t="str">
        <f t="shared" si="114"/>
        <v/>
      </c>
      <c r="AD1180" s="890" t="str">
        <f t="shared" si="115"/>
        <v/>
      </c>
      <c r="AE1180" s="890" t="str">
        <f t="shared" si="116"/>
        <v/>
      </c>
      <c r="AF1180" s="890" t="str">
        <f t="shared" si="117"/>
        <v/>
      </c>
      <c r="AG1180" s="192">
        <f t="shared" si="113"/>
        <v>0</v>
      </c>
    </row>
    <row r="1181" spans="27:33" x14ac:dyDescent="0.25">
      <c r="AA1181" s="640" t="str">
        <f t="shared" si="112"/>
        <v/>
      </c>
      <c r="AB1181" s="640" t="str">
        <f t="shared" si="114"/>
        <v/>
      </c>
      <c r="AD1181" s="890" t="str">
        <f t="shared" si="115"/>
        <v/>
      </c>
      <c r="AE1181" s="890" t="str">
        <f t="shared" si="116"/>
        <v/>
      </c>
      <c r="AF1181" s="890" t="str">
        <f t="shared" si="117"/>
        <v/>
      </c>
      <c r="AG1181" s="192">
        <f t="shared" si="113"/>
        <v>0</v>
      </c>
    </row>
    <row r="1182" spans="27:33" x14ac:dyDescent="0.25">
      <c r="AA1182" s="640" t="str">
        <f t="shared" si="112"/>
        <v/>
      </c>
      <c r="AB1182" s="640" t="str">
        <f t="shared" si="114"/>
        <v/>
      </c>
      <c r="AD1182" s="890" t="str">
        <f t="shared" si="115"/>
        <v/>
      </c>
      <c r="AE1182" s="890" t="str">
        <f t="shared" si="116"/>
        <v/>
      </c>
      <c r="AF1182" s="890" t="str">
        <f t="shared" si="117"/>
        <v/>
      </c>
      <c r="AG1182" s="192">
        <f t="shared" si="113"/>
        <v>0</v>
      </c>
    </row>
    <row r="1183" spans="27:33" x14ac:dyDescent="0.25">
      <c r="AA1183" s="640" t="str">
        <f t="shared" si="112"/>
        <v/>
      </c>
      <c r="AB1183" s="640" t="str">
        <f t="shared" si="114"/>
        <v/>
      </c>
      <c r="AD1183" s="890" t="str">
        <f t="shared" si="115"/>
        <v/>
      </c>
      <c r="AE1183" s="890" t="str">
        <f t="shared" si="116"/>
        <v/>
      </c>
      <c r="AF1183" s="890" t="str">
        <f t="shared" si="117"/>
        <v/>
      </c>
      <c r="AG1183" s="192">
        <f t="shared" si="113"/>
        <v>0</v>
      </c>
    </row>
    <row r="1184" spans="27:33" x14ac:dyDescent="0.25">
      <c r="AA1184" s="640" t="str">
        <f t="shared" si="112"/>
        <v/>
      </c>
      <c r="AB1184" s="640" t="str">
        <f t="shared" si="114"/>
        <v/>
      </c>
      <c r="AD1184" s="890" t="str">
        <f t="shared" si="115"/>
        <v/>
      </c>
      <c r="AE1184" s="890" t="str">
        <f t="shared" si="116"/>
        <v/>
      </c>
      <c r="AF1184" s="890" t="str">
        <f t="shared" si="117"/>
        <v/>
      </c>
      <c r="AG1184" s="192">
        <f t="shared" si="113"/>
        <v>0</v>
      </c>
    </row>
    <row r="1185" spans="27:33" x14ac:dyDescent="0.25">
      <c r="AA1185" s="640" t="str">
        <f t="shared" si="112"/>
        <v/>
      </c>
      <c r="AB1185" s="640" t="str">
        <f t="shared" si="114"/>
        <v/>
      </c>
      <c r="AD1185" s="890" t="str">
        <f t="shared" si="115"/>
        <v/>
      </c>
      <c r="AE1185" s="890" t="str">
        <f t="shared" si="116"/>
        <v/>
      </c>
      <c r="AF1185" s="890" t="str">
        <f t="shared" si="117"/>
        <v/>
      </c>
      <c r="AG1185" s="192">
        <f t="shared" si="113"/>
        <v>0</v>
      </c>
    </row>
    <row r="1186" spans="27:33" x14ac:dyDescent="0.25">
      <c r="AA1186" s="640" t="str">
        <f t="shared" si="112"/>
        <v/>
      </c>
      <c r="AB1186" s="640" t="str">
        <f t="shared" si="114"/>
        <v/>
      </c>
      <c r="AD1186" s="890" t="str">
        <f t="shared" si="115"/>
        <v/>
      </c>
      <c r="AE1186" s="890" t="str">
        <f t="shared" si="116"/>
        <v/>
      </c>
      <c r="AF1186" s="890" t="str">
        <f t="shared" si="117"/>
        <v/>
      </c>
      <c r="AG1186" s="192">
        <f t="shared" si="113"/>
        <v>0</v>
      </c>
    </row>
    <row r="1187" spans="27:33" x14ac:dyDescent="0.25">
      <c r="AA1187" s="640" t="str">
        <f t="shared" si="112"/>
        <v/>
      </c>
      <c r="AB1187" s="640" t="str">
        <f t="shared" si="114"/>
        <v/>
      </c>
      <c r="AD1187" s="890" t="str">
        <f t="shared" si="115"/>
        <v/>
      </c>
      <c r="AE1187" s="890" t="str">
        <f t="shared" si="116"/>
        <v/>
      </c>
      <c r="AF1187" s="890" t="str">
        <f t="shared" si="117"/>
        <v/>
      </c>
      <c r="AG1187" s="192">
        <f t="shared" si="113"/>
        <v>0</v>
      </c>
    </row>
    <row r="1188" spans="27:33" x14ac:dyDescent="0.25">
      <c r="AA1188" s="640" t="str">
        <f t="shared" si="112"/>
        <v/>
      </c>
      <c r="AB1188" s="640" t="str">
        <f t="shared" si="114"/>
        <v/>
      </c>
      <c r="AD1188" s="890" t="str">
        <f t="shared" si="115"/>
        <v/>
      </c>
      <c r="AE1188" s="890" t="str">
        <f t="shared" si="116"/>
        <v/>
      </c>
      <c r="AF1188" s="890" t="str">
        <f t="shared" si="117"/>
        <v/>
      </c>
      <c r="AG1188" s="192">
        <f t="shared" si="113"/>
        <v>0</v>
      </c>
    </row>
    <row r="1189" spans="27:33" x14ac:dyDescent="0.25">
      <c r="AA1189" s="640" t="str">
        <f t="shared" si="112"/>
        <v/>
      </c>
      <c r="AB1189" s="640" t="str">
        <f t="shared" si="114"/>
        <v/>
      </c>
      <c r="AD1189" s="890" t="str">
        <f t="shared" si="115"/>
        <v/>
      </c>
      <c r="AE1189" s="890" t="str">
        <f t="shared" si="116"/>
        <v/>
      </c>
      <c r="AF1189" s="890" t="str">
        <f t="shared" si="117"/>
        <v/>
      </c>
      <c r="AG1189" s="192">
        <f t="shared" si="113"/>
        <v>0</v>
      </c>
    </row>
    <row r="1190" spans="27:33" x14ac:dyDescent="0.25">
      <c r="AA1190" s="640" t="str">
        <f t="shared" si="112"/>
        <v/>
      </c>
      <c r="AB1190" s="640" t="str">
        <f t="shared" si="114"/>
        <v/>
      </c>
      <c r="AD1190" s="890" t="str">
        <f t="shared" si="115"/>
        <v/>
      </c>
      <c r="AE1190" s="890" t="str">
        <f t="shared" si="116"/>
        <v/>
      </c>
      <c r="AF1190" s="890" t="str">
        <f t="shared" si="117"/>
        <v/>
      </c>
      <c r="AG1190" s="192">
        <f t="shared" si="113"/>
        <v>0</v>
      </c>
    </row>
    <row r="1191" spans="27:33" x14ac:dyDescent="0.25">
      <c r="AA1191" s="640" t="str">
        <f t="shared" si="112"/>
        <v/>
      </c>
      <c r="AB1191" s="640" t="str">
        <f t="shared" si="114"/>
        <v/>
      </c>
      <c r="AD1191" s="890" t="str">
        <f t="shared" si="115"/>
        <v/>
      </c>
      <c r="AE1191" s="890" t="str">
        <f t="shared" si="116"/>
        <v/>
      </c>
      <c r="AF1191" s="890" t="str">
        <f t="shared" si="117"/>
        <v/>
      </c>
      <c r="AG1191" s="192">
        <f t="shared" si="113"/>
        <v>0</v>
      </c>
    </row>
    <row r="1192" spans="27:33" x14ac:dyDescent="0.25">
      <c r="AA1192" s="640" t="str">
        <f t="shared" si="112"/>
        <v/>
      </c>
      <c r="AB1192" s="640" t="str">
        <f t="shared" si="114"/>
        <v/>
      </c>
      <c r="AD1192" s="890" t="str">
        <f t="shared" si="115"/>
        <v/>
      </c>
      <c r="AE1192" s="890" t="str">
        <f t="shared" si="116"/>
        <v/>
      </c>
      <c r="AF1192" s="890" t="str">
        <f t="shared" si="117"/>
        <v/>
      </c>
      <c r="AG1192" s="192">
        <f t="shared" si="113"/>
        <v>0</v>
      </c>
    </row>
    <row r="1193" spans="27:33" x14ac:dyDescent="0.25">
      <c r="AA1193" s="640" t="str">
        <f t="shared" si="112"/>
        <v/>
      </c>
      <c r="AB1193" s="640" t="str">
        <f t="shared" si="114"/>
        <v/>
      </c>
      <c r="AD1193" s="890" t="str">
        <f t="shared" si="115"/>
        <v/>
      </c>
      <c r="AE1193" s="890" t="str">
        <f t="shared" si="116"/>
        <v/>
      </c>
      <c r="AF1193" s="890" t="str">
        <f t="shared" si="117"/>
        <v/>
      </c>
      <c r="AG1193" s="192">
        <f t="shared" si="113"/>
        <v>0</v>
      </c>
    </row>
    <row r="1194" spans="27:33" x14ac:dyDescent="0.25">
      <c r="AA1194" s="640" t="str">
        <f t="shared" si="112"/>
        <v/>
      </c>
      <c r="AB1194" s="640" t="str">
        <f t="shared" si="114"/>
        <v/>
      </c>
      <c r="AD1194" s="890" t="str">
        <f t="shared" si="115"/>
        <v/>
      </c>
      <c r="AE1194" s="890" t="str">
        <f t="shared" si="116"/>
        <v/>
      </c>
      <c r="AF1194" s="890" t="str">
        <f t="shared" si="117"/>
        <v/>
      </c>
      <c r="AG1194" s="192">
        <f t="shared" si="113"/>
        <v>0</v>
      </c>
    </row>
    <row r="1195" spans="27:33" x14ac:dyDescent="0.25">
      <c r="AA1195" s="640" t="str">
        <f t="shared" si="112"/>
        <v/>
      </c>
      <c r="AB1195" s="640" t="str">
        <f t="shared" si="114"/>
        <v/>
      </c>
      <c r="AD1195" s="890" t="str">
        <f t="shared" si="115"/>
        <v/>
      </c>
      <c r="AE1195" s="890" t="str">
        <f t="shared" si="116"/>
        <v/>
      </c>
      <c r="AF1195" s="890" t="str">
        <f t="shared" si="117"/>
        <v/>
      </c>
      <c r="AG1195" s="192">
        <f t="shared" si="113"/>
        <v>0</v>
      </c>
    </row>
    <row r="1196" spans="27:33" x14ac:dyDescent="0.25">
      <c r="AA1196" s="640" t="str">
        <f t="shared" si="112"/>
        <v/>
      </c>
      <c r="AB1196" s="640" t="str">
        <f t="shared" si="114"/>
        <v/>
      </c>
      <c r="AD1196" s="890" t="str">
        <f t="shared" si="115"/>
        <v/>
      </c>
      <c r="AE1196" s="890" t="str">
        <f t="shared" si="116"/>
        <v/>
      </c>
      <c r="AF1196" s="890" t="str">
        <f t="shared" si="117"/>
        <v/>
      </c>
      <c r="AG1196" s="192">
        <f t="shared" si="113"/>
        <v>0</v>
      </c>
    </row>
    <row r="1197" spans="27:33" x14ac:dyDescent="0.25">
      <c r="AA1197" s="640" t="str">
        <f t="shared" si="112"/>
        <v/>
      </c>
      <c r="AB1197" s="640" t="str">
        <f t="shared" si="114"/>
        <v/>
      </c>
      <c r="AD1197" s="890" t="str">
        <f t="shared" si="115"/>
        <v/>
      </c>
      <c r="AE1197" s="890" t="str">
        <f t="shared" si="116"/>
        <v/>
      </c>
      <c r="AF1197" s="890" t="str">
        <f t="shared" si="117"/>
        <v/>
      </c>
      <c r="AG1197" s="192">
        <f t="shared" si="113"/>
        <v>0</v>
      </c>
    </row>
    <row r="1198" spans="27:33" x14ac:dyDescent="0.25">
      <c r="AA1198" s="640" t="str">
        <f t="shared" si="112"/>
        <v/>
      </c>
      <c r="AB1198" s="640" t="str">
        <f t="shared" si="114"/>
        <v/>
      </c>
      <c r="AD1198" s="890" t="str">
        <f t="shared" si="115"/>
        <v/>
      </c>
      <c r="AE1198" s="890" t="str">
        <f t="shared" si="116"/>
        <v/>
      </c>
      <c r="AF1198" s="890" t="str">
        <f t="shared" si="117"/>
        <v/>
      </c>
      <c r="AG1198" s="192">
        <f t="shared" si="113"/>
        <v>0</v>
      </c>
    </row>
    <row r="1199" spans="27:33" x14ac:dyDescent="0.25">
      <c r="AA1199" s="640" t="str">
        <f t="shared" si="112"/>
        <v/>
      </c>
      <c r="AB1199" s="640" t="str">
        <f t="shared" si="114"/>
        <v/>
      </c>
      <c r="AD1199" s="890" t="str">
        <f t="shared" si="115"/>
        <v/>
      </c>
      <c r="AE1199" s="890" t="str">
        <f t="shared" si="116"/>
        <v/>
      </c>
      <c r="AF1199" s="890" t="str">
        <f t="shared" si="117"/>
        <v/>
      </c>
      <c r="AG1199" s="192">
        <f t="shared" si="113"/>
        <v>0</v>
      </c>
    </row>
    <row r="1200" spans="27:33" x14ac:dyDescent="0.25">
      <c r="AA1200" s="640" t="str">
        <f t="shared" si="112"/>
        <v/>
      </c>
      <c r="AB1200" s="640" t="str">
        <f t="shared" si="114"/>
        <v/>
      </c>
      <c r="AD1200" s="890" t="str">
        <f t="shared" si="115"/>
        <v/>
      </c>
      <c r="AE1200" s="890" t="str">
        <f t="shared" si="116"/>
        <v/>
      </c>
      <c r="AF1200" s="890" t="str">
        <f t="shared" si="117"/>
        <v/>
      </c>
      <c r="AG1200" s="192">
        <f t="shared" si="113"/>
        <v>0</v>
      </c>
    </row>
    <row r="1201" spans="27:33" x14ac:dyDescent="0.25">
      <c r="AA1201" s="640" t="str">
        <f t="shared" si="112"/>
        <v/>
      </c>
      <c r="AB1201" s="640" t="str">
        <f t="shared" si="114"/>
        <v/>
      </c>
      <c r="AD1201" s="890" t="str">
        <f t="shared" si="115"/>
        <v/>
      </c>
      <c r="AE1201" s="890" t="str">
        <f t="shared" si="116"/>
        <v/>
      </c>
      <c r="AF1201" s="890" t="str">
        <f t="shared" si="117"/>
        <v/>
      </c>
      <c r="AG1201" s="192">
        <f t="shared" si="113"/>
        <v>0</v>
      </c>
    </row>
    <row r="1202" spans="27:33" x14ac:dyDescent="0.25">
      <c r="AA1202" s="640" t="str">
        <f t="shared" si="112"/>
        <v/>
      </c>
      <c r="AB1202" s="640" t="str">
        <f t="shared" si="114"/>
        <v/>
      </c>
      <c r="AD1202" s="890" t="str">
        <f t="shared" si="115"/>
        <v/>
      </c>
      <c r="AE1202" s="890" t="str">
        <f t="shared" si="116"/>
        <v/>
      </c>
      <c r="AF1202" s="890" t="str">
        <f t="shared" si="117"/>
        <v/>
      </c>
      <c r="AG1202" s="192">
        <f t="shared" si="113"/>
        <v>0</v>
      </c>
    </row>
    <row r="1203" spans="27:33" x14ac:dyDescent="0.25">
      <c r="AA1203" s="640" t="str">
        <f t="shared" si="112"/>
        <v/>
      </c>
      <c r="AB1203" s="640" t="str">
        <f t="shared" si="114"/>
        <v/>
      </c>
      <c r="AD1203" s="890" t="str">
        <f t="shared" si="115"/>
        <v/>
      </c>
      <c r="AE1203" s="890" t="str">
        <f t="shared" si="116"/>
        <v/>
      </c>
      <c r="AF1203" s="890" t="str">
        <f t="shared" si="117"/>
        <v/>
      </c>
      <c r="AG1203" s="192">
        <f t="shared" si="113"/>
        <v>0</v>
      </c>
    </row>
    <row r="1204" spans="27:33" x14ac:dyDescent="0.25">
      <c r="AA1204" s="640" t="str">
        <f t="shared" si="112"/>
        <v/>
      </c>
      <c r="AB1204" s="640" t="str">
        <f t="shared" si="114"/>
        <v/>
      </c>
      <c r="AD1204" s="890" t="str">
        <f t="shared" si="115"/>
        <v/>
      </c>
      <c r="AE1204" s="890" t="str">
        <f t="shared" si="116"/>
        <v/>
      </c>
      <c r="AF1204" s="890" t="str">
        <f t="shared" si="117"/>
        <v/>
      </c>
      <c r="AG1204" s="192">
        <f t="shared" si="113"/>
        <v>0</v>
      </c>
    </row>
    <row r="1205" spans="27:33" x14ac:dyDescent="0.25">
      <c r="AA1205" s="640" t="str">
        <f t="shared" si="112"/>
        <v/>
      </c>
      <c r="AB1205" s="640" t="str">
        <f t="shared" si="114"/>
        <v/>
      </c>
      <c r="AD1205" s="890" t="str">
        <f t="shared" si="115"/>
        <v/>
      </c>
      <c r="AE1205" s="890" t="str">
        <f t="shared" si="116"/>
        <v/>
      </c>
      <c r="AF1205" s="890" t="str">
        <f t="shared" si="117"/>
        <v/>
      </c>
      <c r="AG1205" s="192">
        <f t="shared" si="113"/>
        <v>0</v>
      </c>
    </row>
    <row r="1206" spans="27:33" x14ac:dyDescent="0.25">
      <c r="AA1206" s="640" t="str">
        <f t="shared" si="112"/>
        <v/>
      </c>
      <c r="AB1206" s="640" t="str">
        <f t="shared" si="114"/>
        <v/>
      </c>
      <c r="AD1206" s="890" t="str">
        <f t="shared" si="115"/>
        <v/>
      </c>
      <c r="AE1206" s="890" t="str">
        <f t="shared" si="116"/>
        <v/>
      </c>
      <c r="AF1206" s="890" t="str">
        <f t="shared" si="117"/>
        <v/>
      </c>
      <c r="AG1206" s="192">
        <f t="shared" si="113"/>
        <v>0</v>
      </c>
    </row>
    <row r="1207" spans="27:33" x14ac:dyDescent="0.25">
      <c r="AA1207" s="640" t="str">
        <f t="shared" si="112"/>
        <v/>
      </c>
      <c r="AB1207" s="640" t="str">
        <f t="shared" si="114"/>
        <v/>
      </c>
      <c r="AD1207" s="890" t="str">
        <f t="shared" si="115"/>
        <v/>
      </c>
      <c r="AE1207" s="890" t="str">
        <f t="shared" si="116"/>
        <v/>
      </c>
      <c r="AF1207" s="890" t="str">
        <f t="shared" si="117"/>
        <v/>
      </c>
      <c r="AG1207" s="192">
        <f t="shared" si="113"/>
        <v>0</v>
      </c>
    </row>
    <row r="1208" spans="27:33" x14ac:dyDescent="0.25">
      <c r="AA1208" s="640" t="str">
        <f t="shared" si="112"/>
        <v/>
      </c>
      <c r="AB1208" s="640" t="str">
        <f t="shared" si="114"/>
        <v/>
      </c>
      <c r="AD1208" s="890" t="str">
        <f t="shared" si="115"/>
        <v/>
      </c>
      <c r="AE1208" s="890" t="str">
        <f t="shared" si="116"/>
        <v/>
      </c>
      <c r="AF1208" s="890" t="str">
        <f t="shared" si="117"/>
        <v/>
      </c>
      <c r="AG1208" s="192">
        <f t="shared" si="113"/>
        <v>0</v>
      </c>
    </row>
    <row r="1209" spans="27:33" x14ac:dyDescent="0.25">
      <c r="AA1209" s="640" t="str">
        <f t="shared" si="112"/>
        <v/>
      </c>
      <c r="AB1209" s="640" t="str">
        <f t="shared" si="114"/>
        <v/>
      </c>
      <c r="AD1209" s="890" t="str">
        <f t="shared" si="115"/>
        <v/>
      </c>
      <c r="AE1209" s="890" t="str">
        <f t="shared" si="116"/>
        <v/>
      </c>
      <c r="AF1209" s="890" t="str">
        <f t="shared" si="117"/>
        <v/>
      </c>
      <c r="AG1209" s="192">
        <f t="shared" si="113"/>
        <v>0</v>
      </c>
    </row>
    <row r="1210" spans="27:33" x14ac:dyDescent="0.25">
      <c r="AA1210" s="640" t="str">
        <f t="shared" si="112"/>
        <v/>
      </c>
      <c r="AB1210" s="640" t="str">
        <f t="shared" si="114"/>
        <v/>
      </c>
      <c r="AD1210" s="890" t="str">
        <f t="shared" si="115"/>
        <v/>
      </c>
      <c r="AE1210" s="890" t="str">
        <f t="shared" si="116"/>
        <v/>
      </c>
      <c r="AF1210" s="890" t="str">
        <f t="shared" si="117"/>
        <v/>
      </c>
      <c r="AG1210" s="192">
        <f t="shared" si="113"/>
        <v>0</v>
      </c>
    </row>
    <row r="1211" spans="27:33" x14ac:dyDescent="0.25">
      <c r="AA1211" s="640" t="str">
        <f t="shared" si="112"/>
        <v/>
      </c>
      <c r="AB1211" s="640" t="str">
        <f t="shared" si="114"/>
        <v/>
      </c>
      <c r="AD1211" s="890" t="str">
        <f t="shared" si="115"/>
        <v/>
      </c>
      <c r="AE1211" s="890" t="str">
        <f t="shared" si="116"/>
        <v/>
      </c>
      <c r="AF1211" s="890" t="str">
        <f t="shared" si="117"/>
        <v/>
      </c>
      <c r="AG1211" s="192">
        <f t="shared" si="113"/>
        <v>0</v>
      </c>
    </row>
    <row r="1212" spans="27:33" x14ac:dyDescent="0.25">
      <c r="AA1212" s="640" t="str">
        <f t="shared" si="112"/>
        <v/>
      </c>
      <c r="AB1212" s="640" t="str">
        <f t="shared" si="114"/>
        <v/>
      </c>
      <c r="AD1212" s="890" t="str">
        <f t="shared" si="115"/>
        <v/>
      </c>
      <c r="AE1212" s="890" t="str">
        <f t="shared" si="116"/>
        <v/>
      </c>
      <c r="AF1212" s="890" t="str">
        <f t="shared" si="117"/>
        <v/>
      </c>
      <c r="AG1212" s="192">
        <f t="shared" si="113"/>
        <v>0</v>
      </c>
    </row>
    <row r="1213" spans="27:33" x14ac:dyDescent="0.25">
      <c r="AA1213" s="640" t="str">
        <f t="shared" si="112"/>
        <v/>
      </c>
      <c r="AB1213" s="640" t="str">
        <f t="shared" si="114"/>
        <v/>
      </c>
      <c r="AD1213" s="890" t="str">
        <f t="shared" si="115"/>
        <v/>
      </c>
      <c r="AE1213" s="890" t="str">
        <f t="shared" si="116"/>
        <v/>
      </c>
      <c r="AF1213" s="890" t="str">
        <f t="shared" si="117"/>
        <v/>
      </c>
      <c r="AG1213" s="192">
        <f t="shared" si="113"/>
        <v>0</v>
      </c>
    </row>
    <row r="1214" spans="27:33" x14ac:dyDescent="0.25">
      <c r="AA1214" s="640" t="str">
        <f t="shared" si="112"/>
        <v/>
      </c>
      <c r="AB1214" s="640" t="str">
        <f t="shared" si="114"/>
        <v/>
      </c>
      <c r="AD1214" s="890" t="str">
        <f t="shared" si="115"/>
        <v/>
      </c>
      <c r="AE1214" s="890" t="str">
        <f t="shared" si="116"/>
        <v/>
      </c>
      <c r="AF1214" s="890" t="str">
        <f t="shared" si="117"/>
        <v/>
      </c>
      <c r="AG1214" s="192">
        <f t="shared" si="113"/>
        <v>0</v>
      </c>
    </row>
    <row r="1215" spans="27:33" x14ac:dyDescent="0.25">
      <c r="AA1215" s="640" t="str">
        <f t="shared" si="112"/>
        <v/>
      </c>
      <c r="AB1215" s="640" t="str">
        <f t="shared" si="114"/>
        <v/>
      </c>
      <c r="AD1215" s="890" t="str">
        <f t="shared" si="115"/>
        <v/>
      </c>
      <c r="AE1215" s="890" t="str">
        <f t="shared" si="116"/>
        <v/>
      </c>
      <c r="AF1215" s="890" t="str">
        <f t="shared" si="117"/>
        <v/>
      </c>
      <c r="AG1215" s="192">
        <f t="shared" si="113"/>
        <v>0</v>
      </c>
    </row>
    <row r="1216" spans="27:33" x14ac:dyDescent="0.25">
      <c r="AA1216" s="640" t="str">
        <f t="shared" si="112"/>
        <v/>
      </c>
      <c r="AB1216" s="640" t="str">
        <f t="shared" si="114"/>
        <v/>
      </c>
      <c r="AD1216" s="890" t="str">
        <f t="shared" si="115"/>
        <v/>
      </c>
      <c r="AE1216" s="890" t="str">
        <f t="shared" si="116"/>
        <v/>
      </c>
      <c r="AF1216" s="890" t="str">
        <f t="shared" si="117"/>
        <v/>
      </c>
      <c r="AG1216" s="192">
        <f t="shared" si="113"/>
        <v>0</v>
      </c>
    </row>
    <row r="1217" spans="27:33" x14ac:dyDescent="0.25">
      <c r="AA1217" s="640" t="str">
        <f t="shared" si="112"/>
        <v/>
      </c>
      <c r="AB1217" s="640" t="str">
        <f t="shared" si="114"/>
        <v/>
      </c>
      <c r="AD1217" s="890" t="str">
        <f t="shared" si="115"/>
        <v/>
      </c>
      <c r="AE1217" s="890" t="str">
        <f t="shared" si="116"/>
        <v/>
      </c>
      <c r="AF1217" s="890" t="str">
        <f t="shared" si="117"/>
        <v/>
      </c>
      <c r="AG1217" s="192">
        <f t="shared" si="113"/>
        <v>0</v>
      </c>
    </row>
    <row r="1218" spans="27:33" x14ac:dyDescent="0.25">
      <c r="AA1218" s="640" t="str">
        <f t="shared" si="112"/>
        <v/>
      </c>
      <c r="AB1218" s="640" t="str">
        <f t="shared" si="114"/>
        <v/>
      </c>
      <c r="AD1218" s="890" t="str">
        <f t="shared" si="115"/>
        <v/>
      </c>
      <c r="AE1218" s="890" t="str">
        <f t="shared" si="116"/>
        <v/>
      </c>
      <c r="AF1218" s="890" t="str">
        <f t="shared" si="117"/>
        <v/>
      </c>
      <c r="AG1218" s="192">
        <f t="shared" si="113"/>
        <v>0</v>
      </c>
    </row>
    <row r="1219" spans="27:33" x14ac:dyDescent="0.25">
      <c r="AA1219" s="640" t="str">
        <f t="shared" si="112"/>
        <v/>
      </c>
      <c r="AB1219" s="640" t="str">
        <f t="shared" si="114"/>
        <v/>
      </c>
      <c r="AD1219" s="890" t="str">
        <f t="shared" si="115"/>
        <v/>
      </c>
      <c r="AE1219" s="890" t="str">
        <f t="shared" si="116"/>
        <v/>
      </c>
      <c r="AF1219" s="890" t="str">
        <f t="shared" si="117"/>
        <v/>
      </c>
      <c r="AG1219" s="192">
        <f t="shared" si="113"/>
        <v>0</v>
      </c>
    </row>
    <row r="1220" spans="27:33" x14ac:dyDescent="0.25">
      <c r="AA1220" s="640" t="str">
        <f t="shared" si="112"/>
        <v/>
      </c>
      <c r="AB1220" s="640" t="str">
        <f t="shared" si="114"/>
        <v/>
      </c>
      <c r="AD1220" s="890" t="str">
        <f t="shared" si="115"/>
        <v/>
      </c>
      <c r="AE1220" s="890" t="str">
        <f t="shared" si="116"/>
        <v/>
      </c>
      <c r="AF1220" s="890" t="str">
        <f t="shared" si="117"/>
        <v/>
      </c>
      <c r="AG1220" s="192">
        <f t="shared" si="113"/>
        <v>0</v>
      </c>
    </row>
    <row r="1221" spans="27:33" x14ac:dyDescent="0.25">
      <c r="AA1221" s="640" t="str">
        <f t="shared" si="112"/>
        <v/>
      </c>
      <c r="AB1221" s="640" t="str">
        <f t="shared" si="114"/>
        <v/>
      </c>
      <c r="AD1221" s="890" t="str">
        <f t="shared" si="115"/>
        <v/>
      </c>
      <c r="AE1221" s="890" t="str">
        <f t="shared" si="116"/>
        <v/>
      </c>
      <c r="AF1221" s="890" t="str">
        <f t="shared" si="117"/>
        <v/>
      </c>
      <c r="AG1221" s="192">
        <f t="shared" si="113"/>
        <v>0</v>
      </c>
    </row>
    <row r="1222" spans="27:33" x14ac:dyDescent="0.25">
      <c r="AA1222" s="640" t="str">
        <f t="shared" si="112"/>
        <v/>
      </c>
      <c r="AB1222" s="640" t="str">
        <f t="shared" si="114"/>
        <v/>
      </c>
      <c r="AD1222" s="890" t="str">
        <f t="shared" si="115"/>
        <v/>
      </c>
      <c r="AE1222" s="890" t="str">
        <f t="shared" si="116"/>
        <v/>
      </c>
      <c r="AF1222" s="890" t="str">
        <f t="shared" si="117"/>
        <v/>
      </c>
      <c r="AG1222" s="192">
        <f t="shared" si="113"/>
        <v>0</v>
      </c>
    </row>
    <row r="1223" spans="27:33" x14ac:dyDescent="0.25">
      <c r="AA1223" s="640" t="str">
        <f t="shared" ref="AA1223:AA1286" si="118">IF(G1223=0, IF(OR(H1223&gt;0,F1223&gt;0),C1223*F1223,""),"")</f>
        <v/>
      </c>
      <c r="AB1223" s="640" t="str">
        <f t="shared" si="114"/>
        <v/>
      </c>
      <c r="AD1223" s="890" t="str">
        <f t="shared" si="115"/>
        <v/>
      </c>
      <c r="AE1223" s="890" t="str">
        <f t="shared" si="116"/>
        <v/>
      </c>
      <c r="AF1223" s="890" t="str">
        <f t="shared" si="117"/>
        <v/>
      </c>
      <c r="AG1223" s="192">
        <f t="shared" ref="AG1223:AG1286" si="119">(C1223*G1223)+(C1223*H1223)+(C1223*I1223)</f>
        <v>0</v>
      </c>
    </row>
    <row r="1224" spans="27:33" x14ac:dyDescent="0.25">
      <c r="AA1224" s="640" t="str">
        <f t="shared" si="118"/>
        <v/>
      </c>
      <c r="AB1224" s="640" t="str">
        <f t="shared" ref="AB1224:AB1287" si="120">IF(G1224&gt;=1,IF(F1224&gt;1,C1224*(F1224-2),""),"")</f>
        <v/>
      </c>
      <c r="AD1224" s="890" t="str">
        <f t="shared" ref="AD1224:AD1287" si="121">IF(E1224="YES",IF(G1224=1,"",""),IF(G1224=1,C1224,IF(G1224=2,C1224,IF(G1224=0,"",""))))</f>
        <v/>
      </c>
      <c r="AE1224" s="890" t="str">
        <f t="shared" ref="AE1224:AE1287" si="122">IF(E1224="YES",IF(G1224=1,"",IF(H1224=1,C1224,"")),IF(H1224=1,C1224,IF(H1224=2,C1224,IF(H1224=0,"",""))))</f>
        <v/>
      </c>
      <c r="AF1224" s="890" t="str">
        <f t="shared" ref="AF1224:AF1287" si="123">IF(E1224="YES",IF(I1224=1,C1224,""),IF(I1224=1,C1224,IF(I1224=2,C1224,IF(I1224=0,"",""))))</f>
        <v/>
      </c>
      <c r="AG1224" s="192">
        <f t="shared" si="119"/>
        <v>0</v>
      </c>
    </row>
    <row r="1225" spans="27:33" x14ac:dyDescent="0.25">
      <c r="AA1225" s="640" t="str">
        <f t="shared" si="118"/>
        <v/>
      </c>
      <c r="AB1225" s="640" t="str">
        <f t="shared" si="120"/>
        <v/>
      </c>
      <c r="AD1225" s="890" t="str">
        <f t="shared" si="121"/>
        <v/>
      </c>
      <c r="AE1225" s="890" t="str">
        <f t="shared" si="122"/>
        <v/>
      </c>
      <c r="AF1225" s="890" t="str">
        <f t="shared" si="123"/>
        <v/>
      </c>
      <c r="AG1225" s="192">
        <f t="shared" si="119"/>
        <v>0</v>
      </c>
    </row>
    <row r="1226" spans="27:33" x14ac:dyDescent="0.25">
      <c r="AA1226" s="640" t="str">
        <f t="shared" si="118"/>
        <v/>
      </c>
      <c r="AB1226" s="640" t="str">
        <f t="shared" si="120"/>
        <v/>
      </c>
      <c r="AD1226" s="890" t="str">
        <f t="shared" si="121"/>
        <v/>
      </c>
      <c r="AE1226" s="890" t="str">
        <f t="shared" si="122"/>
        <v/>
      </c>
      <c r="AF1226" s="890" t="str">
        <f t="shared" si="123"/>
        <v/>
      </c>
      <c r="AG1226" s="192">
        <f t="shared" si="119"/>
        <v>0</v>
      </c>
    </row>
    <row r="1227" spans="27:33" x14ac:dyDescent="0.25">
      <c r="AA1227" s="640" t="str">
        <f t="shared" si="118"/>
        <v/>
      </c>
      <c r="AB1227" s="640" t="str">
        <f t="shared" si="120"/>
        <v/>
      </c>
      <c r="AD1227" s="890" t="str">
        <f t="shared" si="121"/>
        <v/>
      </c>
      <c r="AE1227" s="890" t="str">
        <f t="shared" si="122"/>
        <v/>
      </c>
      <c r="AF1227" s="890" t="str">
        <f t="shared" si="123"/>
        <v/>
      </c>
      <c r="AG1227" s="192">
        <f t="shared" si="119"/>
        <v>0</v>
      </c>
    </row>
    <row r="1228" spans="27:33" x14ac:dyDescent="0.25">
      <c r="AA1228" s="640" t="str">
        <f t="shared" si="118"/>
        <v/>
      </c>
      <c r="AB1228" s="640" t="str">
        <f t="shared" si="120"/>
        <v/>
      </c>
      <c r="AD1228" s="890" t="str">
        <f t="shared" si="121"/>
        <v/>
      </c>
      <c r="AE1228" s="890" t="str">
        <f t="shared" si="122"/>
        <v/>
      </c>
      <c r="AF1228" s="890" t="str">
        <f t="shared" si="123"/>
        <v/>
      </c>
      <c r="AG1228" s="192">
        <f t="shared" si="119"/>
        <v>0</v>
      </c>
    </row>
    <row r="1229" spans="27:33" x14ac:dyDescent="0.25">
      <c r="AA1229" s="640" t="str">
        <f t="shared" si="118"/>
        <v/>
      </c>
      <c r="AB1229" s="640" t="str">
        <f t="shared" si="120"/>
        <v/>
      </c>
      <c r="AD1229" s="890" t="str">
        <f t="shared" si="121"/>
        <v/>
      </c>
      <c r="AE1229" s="890" t="str">
        <f t="shared" si="122"/>
        <v/>
      </c>
      <c r="AF1229" s="890" t="str">
        <f t="shared" si="123"/>
        <v/>
      </c>
      <c r="AG1229" s="192">
        <f t="shared" si="119"/>
        <v>0</v>
      </c>
    </row>
    <row r="1230" spans="27:33" x14ac:dyDescent="0.25">
      <c r="AA1230" s="640" t="str">
        <f t="shared" si="118"/>
        <v/>
      </c>
      <c r="AB1230" s="640" t="str">
        <f t="shared" si="120"/>
        <v/>
      </c>
      <c r="AD1230" s="890" t="str">
        <f t="shared" si="121"/>
        <v/>
      </c>
      <c r="AE1230" s="890" t="str">
        <f t="shared" si="122"/>
        <v/>
      </c>
      <c r="AF1230" s="890" t="str">
        <f t="shared" si="123"/>
        <v/>
      </c>
      <c r="AG1230" s="192">
        <f t="shared" si="119"/>
        <v>0</v>
      </c>
    </row>
    <row r="1231" spans="27:33" x14ac:dyDescent="0.25">
      <c r="AA1231" s="640" t="str">
        <f t="shared" si="118"/>
        <v/>
      </c>
      <c r="AB1231" s="640" t="str">
        <f t="shared" si="120"/>
        <v/>
      </c>
      <c r="AD1231" s="890" t="str">
        <f t="shared" si="121"/>
        <v/>
      </c>
      <c r="AE1231" s="890" t="str">
        <f t="shared" si="122"/>
        <v/>
      </c>
      <c r="AF1231" s="890" t="str">
        <f t="shared" si="123"/>
        <v/>
      </c>
      <c r="AG1231" s="192">
        <f t="shared" si="119"/>
        <v>0</v>
      </c>
    </row>
    <row r="1232" spans="27:33" x14ac:dyDescent="0.25">
      <c r="AA1232" s="640" t="str">
        <f t="shared" si="118"/>
        <v/>
      </c>
      <c r="AB1232" s="640" t="str">
        <f t="shared" si="120"/>
        <v/>
      </c>
      <c r="AD1232" s="890" t="str">
        <f t="shared" si="121"/>
        <v/>
      </c>
      <c r="AE1232" s="890" t="str">
        <f t="shared" si="122"/>
        <v/>
      </c>
      <c r="AF1232" s="890" t="str">
        <f t="shared" si="123"/>
        <v/>
      </c>
      <c r="AG1232" s="192">
        <f t="shared" si="119"/>
        <v>0</v>
      </c>
    </row>
    <row r="1233" spans="27:33" x14ac:dyDescent="0.25">
      <c r="AA1233" s="640" t="str">
        <f t="shared" si="118"/>
        <v/>
      </c>
      <c r="AB1233" s="640" t="str">
        <f t="shared" si="120"/>
        <v/>
      </c>
      <c r="AD1233" s="890" t="str">
        <f t="shared" si="121"/>
        <v/>
      </c>
      <c r="AE1233" s="890" t="str">
        <f t="shared" si="122"/>
        <v/>
      </c>
      <c r="AF1233" s="890" t="str">
        <f t="shared" si="123"/>
        <v/>
      </c>
      <c r="AG1233" s="192">
        <f t="shared" si="119"/>
        <v>0</v>
      </c>
    </row>
    <row r="1234" spans="27:33" x14ac:dyDescent="0.25">
      <c r="AA1234" s="640" t="str">
        <f t="shared" si="118"/>
        <v/>
      </c>
      <c r="AB1234" s="640" t="str">
        <f t="shared" si="120"/>
        <v/>
      </c>
      <c r="AD1234" s="890" t="str">
        <f t="shared" si="121"/>
        <v/>
      </c>
      <c r="AE1234" s="890" t="str">
        <f t="shared" si="122"/>
        <v/>
      </c>
      <c r="AF1234" s="890" t="str">
        <f t="shared" si="123"/>
        <v/>
      </c>
      <c r="AG1234" s="192">
        <f t="shared" si="119"/>
        <v>0</v>
      </c>
    </row>
    <row r="1235" spans="27:33" x14ac:dyDescent="0.25">
      <c r="AA1235" s="640" t="str">
        <f t="shared" si="118"/>
        <v/>
      </c>
      <c r="AB1235" s="640" t="str">
        <f t="shared" si="120"/>
        <v/>
      </c>
      <c r="AD1235" s="890" t="str">
        <f t="shared" si="121"/>
        <v/>
      </c>
      <c r="AE1235" s="890" t="str">
        <f t="shared" si="122"/>
        <v/>
      </c>
      <c r="AF1235" s="890" t="str">
        <f t="shared" si="123"/>
        <v/>
      </c>
      <c r="AG1235" s="192">
        <f t="shared" si="119"/>
        <v>0</v>
      </c>
    </row>
    <row r="1236" spans="27:33" x14ac:dyDescent="0.25">
      <c r="AA1236" s="640" t="str">
        <f t="shared" si="118"/>
        <v/>
      </c>
      <c r="AB1236" s="640" t="str">
        <f t="shared" si="120"/>
        <v/>
      </c>
      <c r="AD1236" s="890" t="str">
        <f t="shared" si="121"/>
        <v/>
      </c>
      <c r="AE1236" s="890" t="str">
        <f t="shared" si="122"/>
        <v/>
      </c>
      <c r="AF1236" s="890" t="str">
        <f t="shared" si="123"/>
        <v/>
      </c>
      <c r="AG1236" s="192">
        <f t="shared" si="119"/>
        <v>0</v>
      </c>
    </row>
    <row r="1237" spans="27:33" x14ac:dyDescent="0.25">
      <c r="AA1237" s="640" t="str">
        <f t="shared" si="118"/>
        <v/>
      </c>
      <c r="AB1237" s="640" t="str">
        <f t="shared" si="120"/>
        <v/>
      </c>
      <c r="AD1237" s="890" t="str">
        <f t="shared" si="121"/>
        <v/>
      </c>
      <c r="AE1237" s="890" t="str">
        <f t="shared" si="122"/>
        <v/>
      </c>
      <c r="AF1237" s="890" t="str">
        <f t="shared" si="123"/>
        <v/>
      </c>
      <c r="AG1237" s="192">
        <f t="shared" si="119"/>
        <v>0</v>
      </c>
    </row>
    <row r="1238" spans="27:33" x14ac:dyDescent="0.25">
      <c r="AA1238" s="640" t="str">
        <f t="shared" si="118"/>
        <v/>
      </c>
      <c r="AB1238" s="640" t="str">
        <f t="shared" si="120"/>
        <v/>
      </c>
      <c r="AD1238" s="890" t="str">
        <f t="shared" si="121"/>
        <v/>
      </c>
      <c r="AE1238" s="890" t="str">
        <f t="shared" si="122"/>
        <v/>
      </c>
      <c r="AF1238" s="890" t="str">
        <f t="shared" si="123"/>
        <v/>
      </c>
      <c r="AG1238" s="192">
        <f t="shared" si="119"/>
        <v>0</v>
      </c>
    </row>
    <row r="1239" spans="27:33" x14ac:dyDescent="0.25">
      <c r="AA1239" s="640" t="str">
        <f t="shared" si="118"/>
        <v/>
      </c>
      <c r="AB1239" s="640" t="str">
        <f t="shared" si="120"/>
        <v/>
      </c>
      <c r="AD1239" s="890" t="str">
        <f t="shared" si="121"/>
        <v/>
      </c>
      <c r="AE1239" s="890" t="str">
        <f t="shared" si="122"/>
        <v/>
      </c>
      <c r="AF1239" s="890" t="str">
        <f t="shared" si="123"/>
        <v/>
      </c>
      <c r="AG1239" s="192">
        <f t="shared" si="119"/>
        <v>0</v>
      </c>
    </row>
    <row r="1240" spans="27:33" x14ac:dyDescent="0.25">
      <c r="AA1240" s="640" t="str">
        <f t="shared" si="118"/>
        <v/>
      </c>
      <c r="AB1240" s="640" t="str">
        <f t="shared" si="120"/>
        <v/>
      </c>
      <c r="AD1240" s="890" t="str">
        <f t="shared" si="121"/>
        <v/>
      </c>
      <c r="AE1240" s="890" t="str">
        <f t="shared" si="122"/>
        <v/>
      </c>
      <c r="AF1240" s="890" t="str">
        <f t="shared" si="123"/>
        <v/>
      </c>
      <c r="AG1240" s="192">
        <f t="shared" si="119"/>
        <v>0</v>
      </c>
    </row>
    <row r="1241" spans="27:33" x14ac:dyDescent="0.25">
      <c r="AA1241" s="640" t="str">
        <f t="shared" si="118"/>
        <v/>
      </c>
      <c r="AB1241" s="640" t="str">
        <f t="shared" si="120"/>
        <v/>
      </c>
      <c r="AD1241" s="890" t="str">
        <f t="shared" si="121"/>
        <v/>
      </c>
      <c r="AE1241" s="890" t="str">
        <f t="shared" si="122"/>
        <v/>
      </c>
      <c r="AF1241" s="890" t="str">
        <f t="shared" si="123"/>
        <v/>
      </c>
      <c r="AG1241" s="192">
        <f t="shared" si="119"/>
        <v>0</v>
      </c>
    </row>
    <row r="1242" spans="27:33" x14ac:dyDescent="0.25">
      <c r="AA1242" s="640" t="str">
        <f t="shared" si="118"/>
        <v/>
      </c>
      <c r="AB1242" s="640" t="str">
        <f t="shared" si="120"/>
        <v/>
      </c>
      <c r="AD1242" s="890" t="str">
        <f t="shared" si="121"/>
        <v/>
      </c>
      <c r="AE1242" s="890" t="str">
        <f t="shared" si="122"/>
        <v/>
      </c>
      <c r="AF1242" s="890" t="str">
        <f t="shared" si="123"/>
        <v/>
      </c>
      <c r="AG1242" s="192">
        <f t="shared" si="119"/>
        <v>0</v>
      </c>
    </row>
    <row r="1243" spans="27:33" x14ac:dyDescent="0.25">
      <c r="AA1243" s="640" t="str">
        <f t="shared" si="118"/>
        <v/>
      </c>
      <c r="AB1243" s="640" t="str">
        <f t="shared" si="120"/>
        <v/>
      </c>
      <c r="AD1243" s="890" t="str">
        <f t="shared" si="121"/>
        <v/>
      </c>
      <c r="AE1243" s="890" t="str">
        <f t="shared" si="122"/>
        <v/>
      </c>
      <c r="AF1243" s="890" t="str">
        <f t="shared" si="123"/>
        <v/>
      </c>
      <c r="AG1243" s="192">
        <f t="shared" si="119"/>
        <v>0</v>
      </c>
    </row>
    <row r="1244" spans="27:33" x14ac:dyDescent="0.25">
      <c r="AA1244" s="640" t="str">
        <f t="shared" si="118"/>
        <v/>
      </c>
      <c r="AB1244" s="640" t="str">
        <f t="shared" si="120"/>
        <v/>
      </c>
      <c r="AD1244" s="890" t="str">
        <f t="shared" si="121"/>
        <v/>
      </c>
      <c r="AE1244" s="890" t="str">
        <f t="shared" si="122"/>
        <v/>
      </c>
      <c r="AF1244" s="890" t="str">
        <f t="shared" si="123"/>
        <v/>
      </c>
      <c r="AG1244" s="192">
        <f t="shared" si="119"/>
        <v>0</v>
      </c>
    </row>
    <row r="1245" spans="27:33" x14ac:dyDescent="0.25">
      <c r="AA1245" s="640" t="str">
        <f t="shared" si="118"/>
        <v/>
      </c>
      <c r="AB1245" s="640" t="str">
        <f t="shared" si="120"/>
        <v/>
      </c>
      <c r="AD1245" s="890" t="str">
        <f t="shared" si="121"/>
        <v/>
      </c>
      <c r="AE1245" s="890" t="str">
        <f t="shared" si="122"/>
        <v/>
      </c>
      <c r="AF1245" s="890" t="str">
        <f t="shared" si="123"/>
        <v/>
      </c>
      <c r="AG1245" s="192">
        <f t="shared" si="119"/>
        <v>0</v>
      </c>
    </row>
    <row r="1246" spans="27:33" x14ac:dyDescent="0.25">
      <c r="AA1246" s="640" t="str">
        <f t="shared" si="118"/>
        <v/>
      </c>
      <c r="AB1246" s="640" t="str">
        <f t="shared" si="120"/>
        <v/>
      </c>
      <c r="AD1246" s="890" t="str">
        <f t="shared" si="121"/>
        <v/>
      </c>
      <c r="AE1246" s="890" t="str">
        <f t="shared" si="122"/>
        <v/>
      </c>
      <c r="AF1246" s="890" t="str">
        <f t="shared" si="123"/>
        <v/>
      </c>
      <c r="AG1246" s="192">
        <f t="shared" si="119"/>
        <v>0</v>
      </c>
    </row>
    <row r="1247" spans="27:33" x14ac:dyDescent="0.25">
      <c r="AA1247" s="640" t="str">
        <f t="shared" si="118"/>
        <v/>
      </c>
      <c r="AB1247" s="640" t="str">
        <f t="shared" si="120"/>
        <v/>
      </c>
      <c r="AD1247" s="890" t="str">
        <f t="shared" si="121"/>
        <v/>
      </c>
      <c r="AE1247" s="890" t="str">
        <f t="shared" si="122"/>
        <v/>
      </c>
      <c r="AF1247" s="890" t="str">
        <f t="shared" si="123"/>
        <v/>
      </c>
      <c r="AG1247" s="192">
        <f t="shared" si="119"/>
        <v>0</v>
      </c>
    </row>
    <row r="1248" spans="27:33" x14ac:dyDescent="0.25">
      <c r="AA1248" s="640" t="str">
        <f t="shared" si="118"/>
        <v/>
      </c>
      <c r="AB1248" s="640" t="str">
        <f t="shared" si="120"/>
        <v/>
      </c>
      <c r="AD1248" s="890" t="str">
        <f t="shared" si="121"/>
        <v/>
      </c>
      <c r="AE1248" s="890" t="str">
        <f t="shared" si="122"/>
        <v/>
      </c>
      <c r="AF1248" s="890" t="str">
        <f t="shared" si="123"/>
        <v/>
      </c>
      <c r="AG1248" s="192">
        <f t="shared" si="119"/>
        <v>0</v>
      </c>
    </row>
    <row r="1249" spans="27:33" x14ac:dyDescent="0.25">
      <c r="AA1249" s="640" t="str">
        <f t="shared" si="118"/>
        <v/>
      </c>
      <c r="AB1249" s="640" t="str">
        <f t="shared" si="120"/>
        <v/>
      </c>
      <c r="AD1249" s="890" t="str">
        <f t="shared" si="121"/>
        <v/>
      </c>
      <c r="AE1249" s="890" t="str">
        <f t="shared" si="122"/>
        <v/>
      </c>
      <c r="AF1249" s="890" t="str">
        <f t="shared" si="123"/>
        <v/>
      </c>
      <c r="AG1249" s="192">
        <f t="shared" si="119"/>
        <v>0</v>
      </c>
    </row>
    <row r="1250" spans="27:33" x14ac:dyDescent="0.25">
      <c r="AA1250" s="640" t="str">
        <f t="shared" si="118"/>
        <v/>
      </c>
      <c r="AB1250" s="640" t="str">
        <f t="shared" si="120"/>
        <v/>
      </c>
      <c r="AD1250" s="890" t="str">
        <f t="shared" si="121"/>
        <v/>
      </c>
      <c r="AE1250" s="890" t="str">
        <f t="shared" si="122"/>
        <v/>
      </c>
      <c r="AF1250" s="890" t="str">
        <f t="shared" si="123"/>
        <v/>
      </c>
      <c r="AG1250" s="192">
        <f t="shared" si="119"/>
        <v>0</v>
      </c>
    </row>
    <row r="1251" spans="27:33" x14ac:dyDescent="0.25">
      <c r="AA1251" s="640" t="str">
        <f t="shared" si="118"/>
        <v/>
      </c>
      <c r="AB1251" s="640" t="str">
        <f t="shared" si="120"/>
        <v/>
      </c>
      <c r="AD1251" s="890" t="str">
        <f t="shared" si="121"/>
        <v/>
      </c>
      <c r="AE1251" s="890" t="str">
        <f t="shared" si="122"/>
        <v/>
      </c>
      <c r="AF1251" s="890" t="str">
        <f t="shared" si="123"/>
        <v/>
      </c>
      <c r="AG1251" s="192">
        <f t="shared" si="119"/>
        <v>0</v>
      </c>
    </row>
    <row r="1252" spans="27:33" x14ac:dyDescent="0.25">
      <c r="AA1252" s="640" t="str">
        <f t="shared" si="118"/>
        <v/>
      </c>
      <c r="AB1252" s="640" t="str">
        <f t="shared" si="120"/>
        <v/>
      </c>
      <c r="AD1252" s="890" t="str">
        <f t="shared" si="121"/>
        <v/>
      </c>
      <c r="AE1252" s="890" t="str">
        <f t="shared" si="122"/>
        <v/>
      </c>
      <c r="AF1252" s="890" t="str">
        <f t="shared" si="123"/>
        <v/>
      </c>
      <c r="AG1252" s="192">
        <f t="shared" si="119"/>
        <v>0</v>
      </c>
    </row>
    <row r="1253" spans="27:33" x14ac:dyDescent="0.25">
      <c r="AA1253" s="640" t="str">
        <f t="shared" si="118"/>
        <v/>
      </c>
      <c r="AB1253" s="640" t="str">
        <f t="shared" si="120"/>
        <v/>
      </c>
      <c r="AD1253" s="890" t="str">
        <f t="shared" si="121"/>
        <v/>
      </c>
      <c r="AE1253" s="890" t="str">
        <f t="shared" si="122"/>
        <v/>
      </c>
      <c r="AF1253" s="890" t="str">
        <f t="shared" si="123"/>
        <v/>
      </c>
      <c r="AG1253" s="192">
        <f t="shared" si="119"/>
        <v>0</v>
      </c>
    </row>
    <row r="1254" spans="27:33" x14ac:dyDescent="0.25">
      <c r="AA1254" s="640" t="str">
        <f t="shared" si="118"/>
        <v/>
      </c>
      <c r="AB1254" s="640" t="str">
        <f t="shared" si="120"/>
        <v/>
      </c>
      <c r="AD1254" s="890" t="str">
        <f t="shared" si="121"/>
        <v/>
      </c>
      <c r="AE1254" s="890" t="str">
        <f t="shared" si="122"/>
        <v/>
      </c>
      <c r="AF1254" s="890" t="str">
        <f t="shared" si="123"/>
        <v/>
      </c>
      <c r="AG1254" s="192">
        <f t="shared" si="119"/>
        <v>0</v>
      </c>
    </row>
    <row r="1255" spans="27:33" x14ac:dyDescent="0.25">
      <c r="AA1255" s="640" t="str">
        <f t="shared" si="118"/>
        <v/>
      </c>
      <c r="AB1255" s="640" t="str">
        <f t="shared" si="120"/>
        <v/>
      </c>
      <c r="AD1255" s="890" t="str">
        <f t="shared" si="121"/>
        <v/>
      </c>
      <c r="AE1255" s="890" t="str">
        <f t="shared" si="122"/>
        <v/>
      </c>
      <c r="AF1255" s="890" t="str">
        <f t="shared" si="123"/>
        <v/>
      </c>
      <c r="AG1255" s="192">
        <f t="shared" si="119"/>
        <v>0</v>
      </c>
    </row>
    <row r="1256" spans="27:33" x14ac:dyDescent="0.25">
      <c r="AA1256" s="640" t="str">
        <f t="shared" si="118"/>
        <v/>
      </c>
      <c r="AB1256" s="640" t="str">
        <f t="shared" si="120"/>
        <v/>
      </c>
      <c r="AD1256" s="890" t="str">
        <f t="shared" si="121"/>
        <v/>
      </c>
      <c r="AE1256" s="890" t="str">
        <f t="shared" si="122"/>
        <v/>
      </c>
      <c r="AF1256" s="890" t="str">
        <f t="shared" si="123"/>
        <v/>
      </c>
      <c r="AG1256" s="192">
        <f t="shared" si="119"/>
        <v>0</v>
      </c>
    </row>
    <row r="1257" spans="27:33" x14ac:dyDescent="0.25">
      <c r="AA1257" s="640" t="str">
        <f t="shared" si="118"/>
        <v/>
      </c>
      <c r="AB1257" s="640" t="str">
        <f t="shared" si="120"/>
        <v/>
      </c>
      <c r="AD1257" s="890" t="str">
        <f t="shared" si="121"/>
        <v/>
      </c>
      <c r="AE1257" s="890" t="str">
        <f t="shared" si="122"/>
        <v/>
      </c>
      <c r="AF1257" s="890" t="str">
        <f t="shared" si="123"/>
        <v/>
      </c>
      <c r="AG1257" s="192">
        <f t="shared" si="119"/>
        <v>0</v>
      </c>
    </row>
    <row r="1258" spans="27:33" x14ac:dyDescent="0.25">
      <c r="AA1258" s="640" t="str">
        <f t="shared" si="118"/>
        <v/>
      </c>
      <c r="AB1258" s="640" t="str">
        <f t="shared" si="120"/>
        <v/>
      </c>
      <c r="AD1258" s="890" t="str">
        <f t="shared" si="121"/>
        <v/>
      </c>
      <c r="AE1258" s="890" t="str">
        <f t="shared" si="122"/>
        <v/>
      </c>
      <c r="AF1258" s="890" t="str">
        <f t="shared" si="123"/>
        <v/>
      </c>
      <c r="AG1258" s="192">
        <f t="shared" si="119"/>
        <v>0</v>
      </c>
    </row>
    <row r="1259" spans="27:33" x14ac:dyDescent="0.25">
      <c r="AA1259" s="640" t="str">
        <f t="shared" si="118"/>
        <v/>
      </c>
      <c r="AB1259" s="640" t="str">
        <f t="shared" si="120"/>
        <v/>
      </c>
      <c r="AD1259" s="890" t="str">
        <f t="shared" si="121"/>
        <v/>
      </c>
      <c r="AE1259" s="890" t="str">
        <f t="shared" si="122"/>
        <v/>
      </c>
      <c r="AF1259" s="890" t="str">
        <f t="shared" si="123"/>
        <v/>
      </c>
      <c r="AG1259" s="192">
        <f t="shared" si="119"/>
        <v>0</v>
      </c>
    </row>
    <row r="1260" spans="27:33" x14ac:dyDescent="0.25">
      <c r="AA1260" s="640" t="str">
        <f t="shared" si="118"/>
        <v/>
      </c>
      <c r="AB1260" s="640" t="str">
        <f t="shared" si="120"/>
        <v/>
      </c>
      <c r="AD1260" s="890" t="str">
        <f t="shared" si="121"/>
        <v/>
      </c>
      <c r="AE1260" s="890" t="str">
        <f t="shared" si="122"/>
        <v/>
      </c>
      <c r="AF1260" s="890" t="str">
        <f t="shared" si="123"/>
        <v/>
      </c>
      <c r="AG1260" s="192">
        <f t="shared" si="119"/>
        <v>0</v>
      </c>
    </row>
    <row r="1261" spans="27:33" x14ac:dyDescent="0.25">
      <c r="AA1261" s="640" t="str">
        <f t="shared" si="118"/>
        <v/>
      </c>
      <c r="AB1261" s="640" t="str">
        <f t="shared" si="120"/>
        <v/>
      </c>
      <c r="AD1261" s="890" t="str">
        <f t="shared" si="121"/>
        <v/>
      </c>
      <c r="AE1261" s="890" t="str">
        <f t="shared" si="122"/>
        <v/>
      </c>
      <c r="AF1261" s="890" t="str">
        <f t="shared" si="123"/>
        <v/>
      </c>
      <c r="AG1261" s="192">
        <f t="shared" si="119"/>
        <v>0</v>
      </c>
    </row>
    <row r="1262" spans="27:33" x14ac:dyDescent="0.25">
      <c r="AA1262" s="640" t="str">
        <f t="shared" si="118"/>
        <v/>
      </c>
      <c r="AB1262" s="640" t="str">
        <f t="shared" si="120"/>
        <v/>
      </c>
      <c r="AD1262" s="890" t="str">
        <f t="shared" si="121"/>
        <v/>
      </c>
      <c r="AE1262" s="890" t="str">
        <f t="shared" si="122"/>
        <v/>
      </c>
      <c r="AF1262" s="890" t="str">
        <f t="shared" si="123"/>
        <v/>
      </c>
      <c r="AG1262" s="192">
        <f t="shared" si="119"/>
        <v>0</v>
      </c>
    </row>
    <row r="1263" spans="27:33" x14ac:dyDescent="0.25">
      <c r="AA1263" s="640" t="str">
        <f t="shared" si="118"/>
        <v/>
      </c>
      <c r="AB1263" s="640" t="str">
        <f t="shared" si="120"/>
        <v/>
      </c>
      <c r="AD1263" s="890" t="str">
        <f t="shared" si="121"/>
        <v/>
      </c>
      <c r="AE1263" s="890" t="str">
        <f t="shared" si="122"/>
        <v/>
      </c>
      <c r="AF1263" s="890" t="str">
        <f t="shared" si="123"/>
        <v/>
      </c>
      <c r="AG1263" s="192">
        <f t="shared" si="119"/>
        <v>0</v>
      </c>
    </row>
    <row r="1264" spans="27:33" x14ac:dyDescent="0.25">
      <c r="AA1264" s="640" t="str">
        <f t="shared" si="118"/>
        <v/>
      </c>
      <c r="AB1264" s="640" t="str">
        <f t="shared" si="120"/>
        <v/>
      </c>
      <c r="AD1264" s="890" t="str">
        <f t="shared" si="121"/>
        <v/>
      </c>
      <c r="AE1264" s="890" t="str">
        <f t="shared" si="122"/>
        <v/>
      </c>
      <c r="AF1264" s="890" t="str">
        <f t="shared" si="123"/>
        <v/>
      </c>
      <c r="AG1264" s="192">
        <f t="shared" si="119"/>
        <v>0</v>
      </c>
    </row>
    <row r="1265" spans="27:33" x14ac:dyDescent="0.25">
      <c r="AA1265" s="640" t="str">
        <f t="shared" si="118"/>
        <v/>
      </c>
      <c r="AB1265" s="640" t="str">
        <f t="shared" si="120"/>
        <v/>
      </c>
      <c r="AD1265" s="890" t="str">
        <f t="shared" si="121"/>
        <v/>
      </c>
      <c r="AE1265" s="890" t="str">
        <f t="shared" si="122"/>
        <v/>
      </c>
      <c r="AF1265" s="890" t="str">
        <f t="shared" si="123"/>
        <v/>
      </c>
      <c r="AG1265" s="192">
        <f t="shared" si="119"/>
        <v>0</v>
      </c>
    </row>
    <row r="1266" spans="27:33" x14ac:dyDescent="0.25">
      <c r="AA1266" s="640" t="str">
        <f t="shared" si="118"/>
        <v/>
      </c>
      <c r="AB1266" s="640" t="str">
        <f t="shared" si="120"/>
        <v/>
      </c>
      <c r="AD1266" s="890" t="str">
        <f t="shared" si="121"/>
        <v/>
      </c>
      <c r="AE1266" s="890" t="str">
        <f t="shared" si="122"/>
        <v/>
      </c>
      <c r="AF1266" s="890" t="str">
        <f t="shared" si="123"/>
        <v/>
      </c>
      <c r="AG1266" s="192">
        <f t="shared" si="119"/>
        <v>0</v>
      </c>
    </row>
    <row r="1267" spans="27:33" x14ac:dyDescent="0.25">
      <c r="AA1267" s="640" t="str">
        <f t="shared" si="118"/>
        <v/>
      </c>
      <c r="AB1267" s="640" t="str">
        <f t="shared" si="120"/>
        <v/>
      </c>
      <c r="AD1267" s="890" t="str">
        <f t="shared" si="121"/>
        <v/>
      </c>
      <c r="AE1267" s="890" t="str">
        <f t="shared" si="122"/>
        <v/>
      </c>
      <c r="AF1267" s="890" t="str">
        <f t="shared" si="123"/>
        <v/>
      </c>
      <c r="AG1267" s="192">
        <f t="shared" si="119"/>
        <v>0</v>
      </c>
    </row>
    <row r="1268" spans="27:33" x14ac:dyDescent="0.25">
      <c r="AA1268" s="640" t="str">
        <f t="shared" si="118"/>
        <v/>
      </c>
      <c r="AB1268" s="640" t="str">
        <f t="shared" si="120"/>
        <v/>
      </c>
      <c r="AD1268" s="890" t="str">
        <f t="shared" si="121"/>
        <v/>
      </c>
      <c r="AE1268" s="890" t="str">
        <f t="shared" si="122"/>
        <v/>
      </c>
      <c r="AF1268" s="890" t="str">
        <f t="shared" si="123"/>
        <v/>
      </c>
      <c r="AG1268" s="192">
        <f t="shared" si="119"/>
        <v>0</v>
      </c>
    </row>
    <row r="1269" spans="27:33" x14ac:dyDescent="0.25">
      <c r="AA1269" s="640" t="str">
        <f t="shared" si="118"/>
        <v/>
      </c>
      <c r="AB1269" s="640" t="str">
        <f t="shared" si="120"/>
        <v/>
      </c>
      <c r="AD1269" s="890" t="str">
        <f t="shared" si="121"/>
        <v/>
      </c>
      <c r="AE1269" s="890" t="str">
        <f t="shared" si="122"/>
        <v/>
      </c>
      <c r="AF1269" s="890" t="str">
        <f t="shared" si="123"/>
        <v/>
      </c>
      <c r="AG1269" s="192">
        <f t="shared" si="119"/>
        <v>0</v>
      </c>
    </row>
    <row r="1270" spans="27:33" x14ac:dyDescent="0.25">
      <c r="AA1270" s="640" t="str">
        <f t="shared" si="118"/>
        <v/>
      </c>
      <c r="AB1270" s="640" t="str">
        <f t="shared" si="120"/>
        <v/>
      </c>
      <c r="AD1270" s="890" t="str">
        <f t="shared" si="121"/>
        <v/>
      </c>
      <c r="AE1270" s="890" t="str">
        <f t="shared" si="122"/>
        <v/>
      </c>
      <c r="AF1270" s="890" t="str">
        <f t="shared" si="123"/>
        <v/>
      </c>
      <c r="AG1270" s="192">
        <f t="shared" si="119"/>
        <v>0</v>
      </c>
    </row>
    <row r="1271" spans="27:33" x14ac:dyDescent="0.25">
      <c r="AA1271" s="640" t="str">
        <f t="shared" si="118"/>
        <v/>
      </c>
      <c r="AB1271" s="640" t="str">
        <f t="shared" si="120"/>
        <v/>
      </c>
      <c r="AD1271" s="890" t="str">
        <f t="shared" si="121"/>
        <v/>
      </c>
      <c r="AE1271" s="890" t="str">
        <f t="shared" si="122"/>
        <v/>
      </c>
      <c r="AF1271" s="890" t="str">
        <f t="shared" si="123"/>
        <v/>
      </c>
      <c r="AG1271" s="192">
        <f t="shared" si="119"/>
        <v>0</v>
      </c>
    </row>
    <row r="1272" spans="27:33" x14ac:dyDescent="0.25">
      <c r="AA1272" s="640" t="str">
        <f t="shared" si="118"/>
        <v/>
      </c>
      <c r="AB1272" s="640" t="str">
        <f t="shared" si="120"/>
        <v/>
      </c>
      <c r="AD1272" s="890" t="str">
        <f t="shared" si="121"/>
        <v/>
      </c>
      <c r="AE1272" s="890" t="str">
        <f t="shared" si="122"/>
        <v/>
      </c>
      <c r="AF1272" s="890" t="str">
        <f t="shared" si="123"/>
        <v/>
      </c>
      <c r="AG1272" s="192">
        <f t="shared" si="119"/>
        <v>0</v>
      </c>
    </row>
    <row r="1273" spans="27:33" x14ac:dyDescent="0.25">
      <c r="AA1273" s="640" t="str">
        <f t="shared" si="118"/>
        <v/>
      </c>
      <c r="AB1273" s="640" t="str">
        <f t="shared" si="120"/>
        <v/>
      </c>
      <c r="AD1273" s="890" t="str">
        <f t="shared" si="121"/>
        <v/>
      </c>
      <c r="AE1273" s="890" t="str">
        <f t="shared" si="122"/>
        <v/>
      </c>
      <c r="AF1273" s="890" t="str">
        <f t="shared" si="123"/>
        <v/>
      </c>
      <c r="AG1273" s="192">
        <f t="shared" si="119"/>
        <v>0</v>
      </c>
    </row>
    <row r="1274" spans="27:33" x14ac:dyDescent="0.25">
      <c r="AA1274" s="640" t="str">
        <f t="shared" si="118"/>
        <v/>
      </c>
      <c r="AB1274" s="640" t="str">
        <f t="shared" si="120"/>
        <v/>
      </c>
      <c r="AD1274" s="890" t="str">
        <f t="shared" si="121"/>
        <v/>
      </c>
      <c r="AE1274" s="890" t="str">
        <f t="shared" si="122"/>
        <v/>
      </c>
      <c r="AF1274" s="890" t="str">
        <f t="shared" si="123"/>
        <v/>
      </c>
      <c r="AG1274" s="192">
        <f t="shared" si="119"/>
        <v>0</v>
      </c>
    </row>
    <row r="1275" spans="27:33" x14ac:dyDescent="0.25">
      <c r="AA1275" s="640" t="str">
        <f t="shared" si="118"/>
        <v/>
      </c>
      <c r="AB1275" s="640" t="str">
        <f t="shared" si="120"/>
        <v/>
      </c>
      <c r="AD1275" s="890" t="str">
        <f t="shared" si="121"/>
        <v/>
      </c>
      <c r="AE1275" s="890" t="str">
        <f t="shared" si="122"/>
        <v/>
      </c>
      <c r="AF1275" s="890" t="str">
        <f t="shared" si="123"/>
        <v/>
      </c>
      <c r="AG1275" s="192">
        <f t="shared" si="119"/>
        <v>0</v>
      </c>
    </row>
    <row r="1276" spans="27:33" x14ac:dyDescent="0.25">
      <c r="AA1276" s="640" t="str">
        <f t="shared" si="118"/>
        <v/>
      </c>
      <c r="AB1276" s="640" t="str">
        <f t="shared" si="120"/>
        <v/>
      </c>
      <c r="AD1276" s="890" t="str">
        <f t="shared" si="121"/>
        <v/>
      </c>
      <c r="AE1276" s="890" t="str">
        <f t="shared" si="122"/>
        <v/>
      </c>
      <c r="AF1276" s="890" t="str">
        <f t="shared" si="123"/>
        <v/>
      </c>
      <c r="AG1276" s="192">
        <f t="shared" si="119"/>
        <v>0</v>
      </c>
    </row>
    <row r="1277" spans="27:33" x14ac:dyDescent="0.25">
      <c r="AA1277" s="640" t="str">
        <f t="shared" si="118"/>
        <v/>
      </c>
      <c r="AB1277" s="640" t="str">
        <f t="shared" si="120"/>
        <v/>
      </c>
      <c r="AD1277" s="890" t="str">
        <f t="shared" si="121"/>
        <v/>
      </c>
      <c r="AE1277" s="890" t="str">
        <f t="shared" si="122"/>
        <v/>
      </c>
      <c r="AF1277" s="890" t="str">
        <f t="shared" si="123"/>
        <v/>
      </c>
      <c r="AG1277" s="192">
        <f t="shared" si="119"/>
        <v>0</v>
      </c>
    </row>
    <row r="1278" spans="27:33" x14ac:dyDescent="0.25">
      <c r="AA1278" s="640" t="str">
        <f t="shared" si="118"/>
        <v/>
      </c>
      <c r="AB1278" s="640" t="str">
        <f t="shared" si="120"/>
        <v/>
      </c>
      <c r="AD1278" s="890" t="str">
        <f t="shared" si="121"/>
        <v/>
      </c>
      <c r="AE1278" s="890" t="str">
        <f t="shared" si="122"/>
        <v/>
      </c>
      <c r="AF1278" s="890" t="str">
        <f t="shared" si="123"/>
        <v/>
      </c>
      <c r="AG1278" s="192">
        <f t="shared" si="119"/>
        <v>0</v>
      </c>
    </row>
    <row r="1279" spans="27:33" x14ac:dyDescent="0.25">
      <c r="AA1279" s="640" t="str">
        <f t="shared" si="118"/>
        <v/>
      </c>
      <c r="AB1279" s="640" t="str">
        <f t="shared" si="120"/>
        <v/>
      </c>
      <c r="AD1279" s="890" t="str">
        <f t="shared" si="121"/>
        <v/>
      </c>
      <c r="AE1279" s="890" t="str">
        <f t="shared" si="122"/>
        <v/>
      </c>
      <c r="AF1279" s="890" t="str">
        <f t="shared" si="123"/>
        <v/>
      </c>
      <c r="AG1279" s="192">
        <f t="shared" si="119"/>
        <v>0</v>
      </c>
    </row>
    <row r="1280" spans="27:33" x14ac:dyDescent="0.25">
      <c r="AA1280" s="640" t="str">
        <f t="shared" si="118"/>
        <v/>
      </c>
      <c r="AB1280" s="640" t="str">
        <f t="shared" si="120"/>
        <v/>
      </c>
      <c r="AD1280" s="890" t="str">
        <f t="shared" si="121"/>
        <v/>
      </c>
      <c r="AE1280" s="890" t="str">
        <f t="shared" si="122"/>
        <v/>
      </c>
      <c r="AF1280" s="890" t="str">
        <f t="shared" si="123"/>
        <v/>
      </c>
      <c r="AG1280" s="192">
        <f t="shared" si="119"/>
        <v>0</v>
      </c>
    </row>
    <row r="1281" spans="27:33" x14ac:dyDescent="0.25">
      <c r="AA1281" s="640" t="str">
        <f t="shared" si="118"/>
        <v/>
      </c>
      <c r="AB1281" s="640" t="str">
        <f t="shared" si="120"/>
        <v/>
      </c>
      <c r="AD1281" s="890" t="str">
        <f t="shared" si="121"/>
        <v/>
      </c>
      <c r="AE1281" s="890" t="str">
        <f t="shared" si="122"/>
        <v/>
      </c>
      <c r="AF1281" s="890" t="str">
        <f t="shared" si="123"/>
        <v/>
      </c>
      <c r="AG1281" s="192">
        <f t="shared" si="119"/>
        <v>0</v>
      </c>
    </row>
    <row r="1282" spans="27:33" x14ac:dyDescent="0.25">
      <c r="AA1282" s="640" t="str">
        <f t="shared" si="118"/>
        <v/>
      </c>
      <c r="AB1282" s="640" t="str">
        <f t="shared" si="120"/>
        <v/>
      </c>
      <c r="AD1282" s="890" t="str">
        <f t="shared" si="121"/>
        <v/>
      </c>
      <c r="AE1282" s="890" t="str">
        <f t="shared" si="122"/>
        <v/>
      </c>
      <c r="AF1282" s="890" t="str">
        <f t="shared" si="123"/>
        <v/>
      </c>
      <c r="AG1282" s="192">
        <f t="shared" si="119"/>
        <v>0</v>
      </c>
    </row>
    <row r="1283" spans="27:33" x14ac:dyDescent="0.25">
      <c r="AA1283" s="640" t="str">
        <f t="shared" si="118"/>
        <v/>
      </c>
      <c r="AB1283" s="640" t="str">
        <f t="shared" si="120"/>
        <v/>
      </c>
      <c r="AD1283" s="890" t="str">
        <f t="shared" si="121"/>
        <v/>
      </c>
      <c r="AE1283" s="890" t="str">
        <f t="shared" si="122"/>
        <v/>
      </c>
      <c r="AF1283" s="890" t="str">
        <f t="shared" si="123"/>
        <v/>
      </c>
      <c r="AG1283" s="192">
        <f t="shared" si="119"/>
        <v>0</v>
      </c>
    </row>
    <row r="1284" spans="27:33" x14ac:dyDescent="0.25">
      <c r="AA1284" s="640" t="str">
        <f t="shared" si="118"/>
        <v/>
      </c>
      <c r="AB1284" s="640" t="str">
        <f t="shared" si="120"/>
        <v/>
      </c>
      <c r="AD1284" s="890" t="str">
        <f t="shared" si="121"/>
        <v/>
      </c>
      <c r="AE1284" s="890" t="str">
        <f t="shared" si="122"/>
        <v/>
      </c>
      <c r="AF1284" s="890" t="str">
        <f t="shared" si="123"/>
        <v/>
      </c>
      <c r="AG1284" s="192">
        <f t="shared" si="119"/>
        <v>0</v>
      </c>
    </row>
    <row r="1285" spans="27:33" x14ac:dyDescent="0.25">
      <c r="AA1285" s="640" t="str">
        <f t="shared" si="118"/>
        <v/>
      </c>
      <c r="AB1285" s="640" t="str">
        <f t="shared" si="120"/>
        <v/>
      </c>
      <c r="AD1285" s="890" t="str">
        <f t="shared" si="121"/>
        <v/>
      </c>
      <c r="AE1285" s="890" t="str">
        <f t="shared" si="122"/>
        <v/>
      </c>
      <c r="AF1285" s="890" t="str">
        <f t="shared" si="123"/>
        <v/>
      </c>
      <c r="AG1285" s="192">
        <f t="shared" si="119"/>
        <v>0</v>
      </c>
    </row>
    <row r="1286" spans="27:33" x14ac:dyDescent="0.25">
      <c r="AA1286" s="640" t="str">
        <f t="shared" si="118"/>
        <v/>
      </c>
      <c r="AB1286" s="640" t="str">
        <f t="shared" si="120"/>
        <v/>
      </c>
      <c r="AD1286" s="890" t="str">
        <f t="shared" si="121"/>
        <v/>
      </c>
      <c r="AE1286" s="890" t="str">
        <f t="shared" si="122"/>
        <v/>
      </c>
      <c r="AF1286" s="890" t="str">
        <f t="shared" si="123"/>
        <v/>
      </c>
      <c r="AG1286" s="192">
        <f t="shared" si="119"/>
        <v>0</v>
      </c>
    </row>
    <row r="1287" spans="27:33" x14ac:dyDescent="0.25">
      <c r="AA1287" s="640" t="str">
        <f t="shared" ref="AA1287:AA1342" si="124">IF(G1287=0, IF(OR(H1287&gt;0,F1287&gt;0),C1287*F1287,""),"")</f>
        <v/>
      </c>
      <c r="AB1287" s="640" t="str">
        <f t="shared" si="120"/>
        <v/>
      </c>
      <c r="AD1287" s="890" t="str">
        <f t="shared" si="121"/>
        <v/>
      </c>
      <c r="AE1287" s="890" t="str">
        <f t="shared" si="122"/>
        <v/>
      </c>
      <c r="AF1287" s="890" t="str">
        <f t="shared" si="123"/>
        <v/>
      </c>
      <c r="AG1287" s="192">
        <f t="shared" ref="AG1287:AG1350" si="125">(C1287*G1287)+(C1287*H1287)+(C1287*I1287)</f>
        <v>0</v>
      </c>
    </row>
    <row r="1288" spans="27:33" x14ac:dyDescent="0.25">
      <c r="AA1288" s="640" t="str">
        <f t="shared" si="124"/>
        <v/>
      </c>
      <c r="AB1288" s="640" t="str">
        <f t="shared" ref="AB1288:AB1351" si="126">IF(G1288&gt;=1,IF(F1288&gt;1,C1288*(F1288-2),""),"")</f>
        <v/>
      </c>
      <c r="AD1288" s="890" t="str">
        <f t="shared" ref="AD1288:AD1351" si="127">IF(E1288="YES",IF(G1288=1,"",""),IF(G1288=1,C1288,IF(G1288=2,C1288,IF(G1288=0,"",""))))</f>
        <v/>
      </c>
      <c r="AE1288" s="890" t="str">
        <f t="shared" ref="AE1288:AE1351" si="128">IF(E1288="YES",IF(G1288=1,"",IF(H1288=1,C1288,"")),IF(H1288=1,C1288,IF(H1288=2,C1288,IF(H1288=0,"",""))))</f>
        <v/>
      </c>
      <c r="AF1288" s="890" t="str">
        <f t="shared" ref="AF1288:AF1351" si="129">IF(E1288="YES",IF(I1288=1,C1288,""),IF(I1288=1,C1288,IF(I1288=2,C1288,IF(I1288=0,"",""))))</f>
        <v/>
      </c>
      <c r="AG1288" s="192">
        <f t="shared" si="125"/>
        <v>0</v>
      </c>
    </row>
    <row r="1289" spans="27:33" x14ac:dyDescent="0.25">
      <c r="AA1289" s="640" t="str">
        <f t="shared" si="124"/>
        <v/>
      </c>
      <c r="AB1289" s="640" t="str">
        <f t="shared" si="126"/>
        <v/>
      </c>
      <c r="AD1289" s="890" t="str">
        <f t="shared" si="127"/>
        <v/>
      </c>
      <c r="AE1289" s="890" t="str">
        <f t="shared" si="128"/>
        <v/>
      </c>
      <c r="AF1289" s="890" t="str">
        <f t="shared" si="129"/>
        <v/>
      </c>
      <c r="AG1289" s="192">
        <f t="shared" si="125"/>
        <v>0</v>
      </c>
    </row>
    <row r="1290" spans="27:33" x14ac:dyDescent="0.25">
      <c r="AA1290" s="640" t="str">
        <f t="shared" si="124"/>
        <v/>
      </c>
      <c r="AB1290" s="640" t="str">
        <f t="shared" si="126"/>
        <v/>
      </c>
      <c r="AD1290" s="890" t="str">
        <f t="shared" si="127"/>
        <v/>
      </c>
      <c r="AE1290" s="890" t="str">
        <f t="shared" si="128"/>
        <v/>
      </c>
      <c r="AF1290" s="890" t="str">
        <f t="shared" si="129"/>
        <v/>
      </c>
      <c r="AG1290" s="192">
        <f t="shared" si="125"/>
        <v>0</v>
      </c>
    </row>
    <row r="1291" spans="27:33" x14ac:dyDescent="0.25">
      <c r="AA1291" s="640" t="str">
        <f t="shared" si="124"/>
        <v/>
      </c>
      <c r="AB1291" s="640" t="str">
        <f t="shared" si="126"/>
        <v/>
      </c>
      <c r="AD1291" s="890" t="str">
        <f t="shared" si="127"/>
        <v/>
      </c>
      <c r="AE1291" s="890" t="str">
        <f t="shared" si="128"/>
        <v/>
      </c>
      <c r="AF1291" s="890" t="str">
        <f t="shared" si="129"/>
        <v/>
      </c>
      <c r="AG1291" s="192">
        <f t="shared" si="125"/>
        <v>0</v>
      </c>
    </row>
    <row r="1292" spans="27:33" x14ac:dyDescent="0.25">
      <c r="AA1292" s="640" t="str">
        <f t="shared" si="124"/>
        <v/>
      </c>
      <c r="AB1292" s="640" t="str">
        <f t="shared" si="126"/>
        <v/>
      </c>
      <c r="AD1292" s="890" t="str">
        <f t="shared" si="127"/>
        <v/>
      </c>
      <c r="AE1292" s="890" t="str">
        <f t="shared" si="128"/>
        <v/>
      </c>
      <c r="AF1292" s="890" t="str">
        <f t="shared" si="129"/>
        <v/>
      </c>
      <c r="AG1292" s="192">
        <f t="shared" si="125"/>
        <v>0</v>
      </c>
    </row>
    <row r="1293" spans="27:33" x14ac:dyDescent="0.25">
      <c r="AA1293" s="640" t="str">
        <f t="shared" si="124"/>
        <v/>
      </c>
      <c r="AB1293" s="640" t="str">
        <f t="shared" si="126"/>
        <v/>
      </c>
      <c r="AD1293" s="890" t="str">
        <f t="shared" si="127"/>
        <v/>
      </c>
      <c r="AE1293" s="890" t="str">
        <f t="shared" si="128"/>
        <v/>
      </c>
      <c r="AF1293" s="890" t="str">
        <f t="shared" si="129"/>
        <v/>
      </c>
      <c r="AG1293" s="192">
        <f t="shared" si="125"/>
        <v>0</v>
      </c>
    </row>
    <row r="1294" spans="27:33" x14ac:dyDescent="0.25">
      <c r="AA1294" s="640" t="str">
        <f t="shared" si="124"/>
        <v/>
      </c>
      <c r="AB1294" s="640" t="str">
        <f t="shared" si="126"/>
        <v/>
      </c>
      <c r="AD1294" s="890" t="str">
        <f t="shared" si="127"/>
        <v/>
      </c>
      <c r="AE1294" s="890" t="str">
        <f t="shared" si="128"/>
        <v/>
      </c>
      <c r="AF1294" s="890" t="str">
        <f t="shared" si="129"/>
        <v/>
      </c>
      <c r="AG1294" s="192">
        <f t="shared" si="125"/>
        <v>0</v>
      </c>
    </row>
    <row r="1295" spans="27:33" x14ac:dyDescent="0.25">
      <c r="AA1295" s="640" t="str">
        <f t="shared" si="124"/>
        <v/>
      </c>
      <c r="AB1295" s="640" t="str">
        <f t="shared" si="126"/>
        <v/>
      </c>
      <c r="AD1295" s="890" t="str">
        <f t="shared" si="127"/>
        <v/>
      </c>
      <c r="AE1295" s="890" t="str">
        <f t="shared" si="128"/>
        <v/>
      </c>
      <c r="AF1295" s="890" t="str">
        <f t="shared" si="129"/>
        <v/>
      </c>
      <c r="AG1295" s="192">
        <f t="shared" si="125"/>
        <v>0</v>
      </c>
    </row>
    <row r="1296" spans="27:33" x14ac:dyDescent="0.25">
      <c r="AA1296" s="640" t="str">
        <f t="shared" si="124"/>
        <v/>
      </c>
      <c r="AB1296" s="640" t="str">
        <f t="shared" si="126"/>
        <v/>
      </c>
      <c r="AD1296" s="890" t="str">
        <f t="shared" si="127"/>
        <v/>
      </c>
      <c r="AE1296" s="890" t="str">
        <f t="shared" si="128"/>
        <v/>
      </c>
      <c r="AF1296" s="890" t="str">
        <f t="shared" si="129"/>
        <v/>
      </c>
      <c r="AG1296" s="192">
        <f t="shared" si="125"/>
        <v>0</v>
      </c>
    </row>
    <row r="1297" spans="27:33" x14ac:dyDescent="0.25">
      <c r="AA1297" s="640" t="str">
        <f t="shared" si="124"/>
        <v/>
      </c>
      <c r="AB1297" s="640" t="str">
        <f t="shared" si="126"/>
        <v/>
      </c>
      <c r="AD1297" s="890" t="str">
        <f t="shared" si="127"/>
        <v/>
      </c>
      <c r="AE1297" s="890" t="str">
        <f t="shared" si="128"/>
        <v/>
      </c>
      <c r="AF1297" s="890" t="str">
        <f t="shared" si="129"/>
        <v/>
      </c>
      <c r="AG1297" s="192">
        <f t="shared" si="125"/>
        <v>0</v>
      </c>
    </row>
    <row r="1298" spans="27:33" x14ac:dyDescent="0.25">
      <c r="AA1298" s="640" t="str">
        <f t="shared" si="124"/>
        <v/>
      </c>
      <c r="AB1298" s="640" t="str">
        <f t="shared" si="126"/>
        <v/>
      </c>
      <c r="AD1298" s="890" t="str">
        <f t="shared" si="127"/>
        <v/>
      </c>
      <c r="AE1298" s="890" t="str">
        <f t="shared" si="128"/>
        <v/>
      </c>
      <c r="AF1298" s="890" t="str">
        <f t="shared" si="129"/>
        <v/>
      </c>
      <c r="AG1298" s="192">
        <f t="shared" si="125"/>
        <v>0</v>
      </c>
    </row>
    <row r="1299" spans="27:33" x14ac:dyDescent="0.25">
      <c r="AA1299" s="640" t="str">
        <f t="shared" si="124"/>
        <v/>
      </c>
      <c r="AB1299" s="640" t="str">
        <f t="shared" si="126"/>
        <v/>
      </c>
      <c r="AD1299" s="890" t="str">
        <f t="shared" si="127"/>
        <v/>
      </c>
      <c r="AE1299" s="890" t="str">
        <f t="shared" si="128"/>
        <v/>
      </c>
      <c r="AF1299" s="890" t="str">
        <f t="shared" si="129"/>
        <v/>
      </c>
      <c r="AG1299" s="192">
        <f t="shared" si="125"/>
        <v>0</v>
      </c>
    </row>
    <row r="1300" spans="27:33" x14ac:dyDescent="0.25">
      <c r="AA1300" s="640" t="str">
        <f t="shared" si="124"/>
        <v/>
      </c>
      <c r="AB1300" s="640" t="str">
        <f t="shared" si="126"/>
        <v/>
      </c>
      <c r="AD1300" s="890" t="str">
        <f t="shared" si="127"/>
        <v/>
      </c>
      <c r="AE1300" s="890" t="str">
        <f t="shared" si="128"/>
        <v/>
      </c>
      <c r="AF1300" s="890" t="str">
        <f t="shared" si="129"/>
        <v/>
      </c>
      <c r="AG1300" s="192">
        <f t="shared" si="125"/>
        <v>0</v>
      </c>
    </row>
    <row r="1301" spans="27:33" x14ac:dyDescent="0.25">
      <c r="AA1301" s="640" t="str">
        <f t="shared" si="124"/>
        <v/>
      </c>
      <c r="AB1301" s="640" t="str">
        <f t="shared" si="126"/>
        <v/>
      </c>
      <c r="AD1301" s="890" t="str">
        <f t="shared" si="127"/>
        <v/>
      </c>
      <c r="AE1301" s="890" t="str">
        <f t="shared" si="128"/>
        <v/>
      </c>
      <c r="AF1301" s="890" t="str">
        <f t="shared" si="129"/>
        <v/>
      </c>
      <c r="AG1301" s="192">
        <f t="shared" si="125"/>
        <v>0</v>
      </c>
    </row>
    <row r="1302" spans="27:33" x14ac:dyDescent="0.25">
      <c r="AA1302" s="640" t="str">
        <f t="shared" si="124"/>
        <v/>
      </c>
      <c r="AB1302" s="640" t="str">
        <f t="shared" si="126"/>
        <v/>
      </c>
      <c r="AD1302" s="890" t="str">
        <f t="shared" si="127"/>
        <v/>
      </c>
      <c r="AE1302" s="890" t="str">
        <f t="shared" si="128"/>
        <v/>
      </c>
      <c r="AF1302" s="890" t="str">
        <f t="shared" si="129"/>
        <v/>
      </c>
      <c r="AG1302" s="192">
        <f t="shared" si="125"/>
        <v>0</v>
      </c>
    </row>
    <row r="1303" spans="27:33" x14ac:dyDescent="0.25">
      <c r="AA1303" s="640" t="str">
        <f t="shared" si="124"/>
        <v/>
      </c>
      <c r="AB1303" s="640" t="str">
        <f t="shared" si="126"/>
        <v/>
      </c>
      <c r="AD1303" s="890" t="str">
        <f t="shared" si="127"/>
        <v/>
      </c>
      <c r="AE1303" s="890" t="str">
        <f t="shared" si="128"/>
        <v/>
      </c>
      <c r="AF1303" s="890" t="str">
        <f t="shared" si="129"/>
        <v/>
      </c>
      <c r="AG1303" s="192">
        <f t="shared" si="125"/>
        <v>0</v>
      </c>
    </row>
    <row r="1304" spans="27:33" x14ac:dyDescent="0.25">
      <c r="AA1304" s="640" t="str">
        <f t="shared" si="124"/>
        <v/>
      </c>
      <c r="AB1304" s="640" t="str">
        <f t="shared" si="126"/>
        <v/>
      </c>
      <c r="AD1304" s="890" t="str">
        <f t="shared" si="127"/>
        <v/>
      </c>
      <c r="AE1304" s="890" t="str">
        <f t="shared" si="128"/>
        <v/>
      </c>
      <c r="AF1304" s="890" t="str">
        <f t="shared" si="129"/>
        <v/>
      </c>
      <c r="AG1304" s="192">
        <f t="shared" si="125"/>
        <v>0</v>
      </c>
    </row>
    <row r="1305" spans="27:33" x14ac:dyDescent="0.25">
      <c r="AA1305" s="640" t="str">
        <f t="shared" si="124"/>
        <v/>
      </c>
      <c r="AB1305" s="640" t="str">
        <f t="shared" si="126"/>
        <v/>
      </c>
      <c r="AD1305" s="890" t="str">
        <f t="shared" si="127"/>
        <v/>
      </c>
      <c r="AE1305" s="890" t="str">
        <f t="shared" si="128"/>
        <v/>
      </c>
      <c r="AF1305" s="890" t="str">
        <f t="shared" si="129"/>
        <v/>
      </c>
      <c r="AG1305" s="192">
        <f t="shared" si="125"/>
        <v>0</v>
      </c>
    </row>
    <row r="1306" spans="27:33" x14ac:dyDescent="0.25">
      <c r="AA1306" s="640" t="str">
        <f t="shared" si="124"/>
        <v/>
      </c>
      <c r="AB1306" s="640" t="str">
        <f t="shared" si="126"/>
        <v/>
      </c>
      <c r="AD1306" s="890" t="str">
        <f t="shared" si="127"/>
        <v/>
      </c>
      <c r="AE1306" s="890" t="str">
        <f t="shared" si="128"/>
        <v/>
      </c>
      <c r="AF1306" s="890" t="str">
        <f t="shared" si="129"/>
        <v/>
      </c>
      <c r="AG1306" s="192">
        <f t="shared" si="125"/>
        <v>0</v>
      </c>
    </row>
    <row r="1307" spans="27:33" x14ac:dyDescent="0.25">
      <c r="AA1307" s="640" t="str">
        <f t="shared" si="124"/>
        <v/>
      </c>
      <c r="AB1307" s="640" t="str">
        <f t="shared" si="126"/>
        <v/>
      </c>
      <c r="AD1307" s="890" t="str">
        <f t="shared" si="127"/>
        <v/>
      </c>
      <c r="AE1307" s="890" t="str">
        <f t="shared" si="128"/>
        <v/>
      </c>
      <c r="AF1307" s="890" t="str">
        <f t="shared" si="129"/>
        <v/>
      </c>
      <c r="AG1307" s="192">
        <f t="shared" si="125"/>
        <v>0</v>
      </c>
    </row>
    <row r="1308" spans="27:33" x14ac:dyDescent="0.25">
      <c r="AA1308" s="640" t="str">
        <f t="shared" si="124"/>
        <v/>
      </c>
      <c r="AB1308" s="640" t="str">
        <f t="shared" si="126"/>
        <v/>
      </c>
      <c r="AD1308" s="890" t="str">
        <f t="shared" si="127"/>
        <v/>
      </c>
      <c r="AE1308" s="890" t="str">
        <f t="shared" si="128"/>
        <v/>
      </c>
      <c r="AF1308" s="890" t="str">
        <f t="shared" si="129"/>
        <v/>
      </c>
      <c r="AG1308" s="192">
        <f t="shared" si="125"/>
        <v>0</v>
      </c>
    </row>
    <row r="1309" spans="27:33" x14ac:dyDescent="0.25">
      <c r="AA1309" s="640" t="str">
        <f t="shared" si="124"/>
        <v/>
      </c>
      <c r="AB1309" s="640" t="str">
        <f t="shared" si="126"/>
        <v/>
      </c>
      <c r="AD1309" s="890" t="str">
        <f t="shared" si="127"/>
        <v/>
      </c>
      <c r="AE1309" s="890" t="str">
        <f t="shared" si="128"/>
        <v/>
      </c>
      <c r="AF1309" s="890" t="str">
        <f t="shared" si="129"/>
        <v/>
      </c>
      <c r="AG1309" s="192">
        <f t="shared" si="125"/>
        <v>0</v>
      </c>
    </row>
    <row r="1310" spans="27:33" x14ac:dyDescent="0.25">
      <c r="AA1310" s="640" t="str">
        <f t="shared" si="124"/>
        <v/>
      </c>
      <c r="AB1310" s="640" t="str">
        <f t="shared" si="126"/>
        <v/>
      </c>
      <c r="AD1310" s="890" t="str">
        <f t="shared" si="127"/>
        <v/>
      </c>
      <c r="AE1310" s="890" t="str">
        <f t="shared" si="128"/>
        <v/>
      </c>
      <c r="AF1310" s="890" t="str">
        <f t="shared" si="129"/>
        <v/>
      </c>
      <c r="AG1310" s="192">
        <f t="shared" si="125"/>
        <v>0</v>
      </c>
    </row>
    <row r="1311" spans="27:33" x14ac:dyDescent="0.25">
      <c r="AA1311" s="640" t="str">
        <f t="shared" si="124"/>
        <v/>
      </c>
      <c r="AB1311" s="640" t="str">
        <f t="shared" si="126"/>
        <v/>
      </c>
      <c r="AD1311" s="890" t="str">
        <f t="shared" si="127"/>
        <v/>
      </c>
      <c r="AE1311" s="890" t="str">
        <f t="shared" si="128"/>
        <v/>
      </c>
      <c r="AF1311" s="890" t="str">
        <f t="shared" si="129"/>
        <v/>
      </c>
      <c r="AG1311" s="192">
        <f t="shared" si="125"/>
        <v>0</v>
      </c>
    </row>
    <row r="1312" spans="27:33" x14ac:dyDescent="0.25">
      <c r="AA1312" s="640" t="str">
        <f t="shared" si="124"/>
        <v/>
      </c>
      <c r="AB1312" s="640" t="str">
        <f t="shared" si="126"/>
        <v/>
      </c>
      <c r="AD1312" s="890" t="str">
        <f t="shared" si="127"/>
        <v/>
      </c>
      <c r="AE1312" s="890" t="str">
        <f t="shared" si="128"/>
        <v/>
      </c>
      <c r="AF1312" s="890" t="str">
        <f t="shared" si="129"/>
        <v/>
      </c>
      <c r="AG1312" s="192">
        <f t="shared" si="125"/>
        <v>0</v>
      </c>
    </row>
    <row r="1313" spans="27:33" x14ac:dyDescent="0.25">
      <c r="AA1313" s="640" t="str">
        <f t="shared" si="124"/>
        <v/>
      </c>
      <c r="AB1313" s="640" t="str">
        <f t="shared" si="126"/>
        <v/>
      </c>
      <c r="AD1313" s="890" t="str">
        <f t="shared" si="127"/>
        <v/>
      </c>
      <c r="AE1313" s="890" t="str">
        <f t="shared" si="128"/>
        <v/>
      </c>
      <c r="AF1313" s="890" t="str">
        <f t="shared" si="129"/>
        <v/>
      </c>
      <c r="AG1313" s="192">
        <f t="shared" si="125"/>
        <v>0</v>
      </c>
    </row>
    <row r="1314" spans="27:33" x14ac:dyDescent="0.25">
      <c r="AA1314" s="640" t="str">
        <f t="shared" si="124"/>
        <v/>
      </c>
      <c r="AB1314" s="640" t="str">
        <f t="shared" si="126"/>
        <v/>
      </c>
      <c r="AD1314" s="890" t="str">
        <f t="shared" si="127"/>
        <v/>
      </c>
      <c r="AE1314" s="890" t="str">
        <f t="shared" si="128"/>
        <v/>
      </c>
      <c r="AF1314" s="890" t="str">
        <f t="shared" si="129"/>
        <v/>
      </c>
      <c r="AG1314" s="192">
        <f t="shared" si="125"/>
        <v>0</v>
      </c>
    </row>
    <row r="1315" spans="27:33" x14ac:dyDescent="0.25">
      <c r="AA1315" s="640" t="str">
        <f t="shared" si="124"/>
        <v/>
      </c>
      <c r="AB1315" s="640" t="str">
        <f t="shared" si="126"/>
        <v/>
      </c>
      <c r="AD1315" s="890" t="str">
        <f t="shared" si="127"/>
        <v/>
      </c>
      <c r="AE1315" s="890" t="str">
        <f t="shared" si="128"/>
        <v/>
      </c>
      <c r="AF1315" s="890" t="str">
        <f t="shared" si="129"/>
        <v/>
      </c>
      <c r="AG1315" s="192">
        <f t="shared" si="125"/>
        <v>0</v>
      </c>
    </row>
    <row r="1316" spans="27:33" x14ac:dyDescent="0.25">
      <c r="AA1316" s="640" t="str">
        <f t="shared" si="124"/>
        <v/>
      </c>
      <c r="AB1316" s="640" t="str">
        <f t="shared" si="126"/>
        <v/>
      </c>
      <c r="AD1316" s="890" t="str">
        <f t="shared" si="127"/>
        <v/>
      </c>
      <c r="AE1316" s="890" t="str">
        <f t="shared" si="128"/>
        <v/>
      </c>
      <c r="AF1316" s="890" t="str">
        <f t="shared" si="129"/>
        <v/>
      </c>
      <c r="AG1316" s="192">
        <f t="shared" si="125"/>
        <v>0</v>
      </c>
    </row>
    <row r="1317" spans="27:33" x14ac:dyDescent="0.25">
      <c r="AA1317" s="640" t="str">
        <f t="shared" si="124"/>
        <v/>
      </c>
      <c r="AB1317" s="640" t="str">
        <f t="shared" si="126"/>
        <v/>
      </c>
      <c r="AD1317" s="890" t="str">
        <f t="shared" si="127"/>
        <v/>
      </c>
      <c r="AE1317" s="890" t="str">
        <f t="shared" si="128"/>
        <v/>
      </c>
      <c r="AF1317" s="890" t="str">
        <f t="shared" si="129"/>
        <v/>
      </c>
      <c r="AG1317" s="192">
        <f t="shared" si="125"/>
        <v>0</v>
      </c>
    </row>
    <row r="1318" spans="27:33" x14ac:dyDescent="0.25">
      <c r="AA1318" s="640" t="str">
        <f t="shared" si="124"/>
        <v/>
      </c>
      <c r="AB1318" s="640" t="str">
        <f t="shared" si="126"/>
        <v/>
      </c>
      <c r="AD1318" s="890" t="str">
        <f t="shared" si="127"/>
        <v/>
      </c>
      <c r="AE1318" s="890" t="str">
        <f t="shared" si="128"/>
        <v/>
      </c>
      <c r="AF1318" s="890" t="str">
        <f t="shared" si="129"/>
        <v/>
      </c>
      <c r="AG1318" s="192">
        <f t="shared" si="125"/>
        <v>0</v>
      </c>
    </row>
    <row r="1319" spans="27:33" x14ac:dyDescent="0.25">
      <c r="AA1319" s="640" t="str">
        <f t="shared" si="124"/>
        <v/>
      </c>
      <c r="AB1319" s="640" t="str">
        <f t="shared" si="126"/>
        <v/>
      </c>
      <c r="AD1319" s="890" t="str">
        <f t="shared" si="127"/>
        <v/>
      </c>
      <c r="AE1319" s="890" t="str">
        <f t="shared" si="128"/>
        <v/>
      </c>
      <c r="AF1319" s="890" t="str">
        <f t="shared" si="129"/>
        <v/>
      </c>
      <c r="AG1319" s="192">
        <f t="shared" si="125"/>
        <v>0</v>
      </c>
    </row>
    <row r="1320" spans="27:33" x14ac:dyDescent="0.25">
      <c r="AA1320" s="640" t="str">
        <f t="shared" si="124"/>
        <v/>
      </c>
      <c r="AB1320" s="640" t="str">
        <f t="shared" si="126"/>
        <v/>
      </c>
      <c r="AD1320" s="890" t="str">
        <f t="shared" si="127"/>
        <v/>
      </c>
      <c r="AE1320" s="890" t="str">
        <f t="shared" si="128"/>
        <v/>
      </c>
      <c r="AF1320" s="890" t="str">
        <f t="shared" si="129"/>
        <v/>
      </c>
      <c r="AG1320" s="192">
        <f t="shared" si="125"/>
        <v>0</v>
      </c>
    </row>
    <row r="1321" spans="27:33" x14ac:dyDescent="0.25">
      <c r="AA1321" s="640" t="str">
        <f t="shared" si="124"/>
        <v/>
      </c>
      <c r="AB1321" s="640" t="str">
        <f t="shared" si="126"/>
        <v/>
      </c>
      <c r="AD1321" s="890" t="str">
        <f t="shared" si="127"/>
        <v/>
      </c>
      <c r="AE1321" s="890" t="str">
        <f t="shared" si="128"/>
        <v/>
      </c>
      <c r="AF1321" s="890" t="str">
        <f t="shared" si="129"/>
        <v/>
      </c>
      <c r="AG1321" s="192">
        <f t="shared" si="125"/>
        <v>0</v>
      </c>
    </row>
    <row r="1322" spans="27:33" x14ac:dyDescent="0.25">
      <c r="AA1322" s="640" t="str">
        <f t="shared" si="124"/>
        <v/>
      </c>
      <c r="AB1322" s="640" t="str">
        <f t="shared" si="126"/>
        <v/>
      </c>
      <c r="AD1322" s="890" t="str">
        <f t="shared" si="127"/>
        <v/>
      </c>
      <c r="AE1322" s="890" t="str">
        <f t="shared" si="128"/>
        <v/>
      </c>
      <c r="AF1322" s="890" t="str">
        <f t="shared" si="129"/>
        <v/>
      </c>
      <c r="AG1322" s="192">
        <f t="shared" si="125"/>
        <v>0</v>
      </c>
    </row>
    <row r="1323" spans="27:33" x14ac:dyDescent="0.25">
      <c r="AA1323" s="640" t="str">
        <f t="shared" si="124"/>
        <v/>
      </c>
      <c r="AB1323" s="640" t="str">
        <f t="shared" si="126"/>
        <v/>
      </c>
      <c r="AD1323" s="890" t="str">
        <f t="shared" si="127"/>
        <v/>
      </c>
      <c r="AE1323" s="890" t="str">
        <f t="shared" si="128"/>
        <v/>
      </c>
      <c r="AF1323" s="890" t="str">
        <f t="shared" si="129"/>
        <v/>
      </c>
      <c r="AG1323" s="192">
        <f t="shared" si="125"/>
        <v>0</v>
      </c>
    </row>
    <row r="1324" spans="27:33" x14ac:dyDescent="0.25">
      <c r="AA1324" s="640" t="str">
        <f t="shared" si="124"/>
        <v/>
      </c>
      <c r="AB1324" s="640" t="str">
        <f t="shared" si="126"/>
        <v/>
      </c>
      <c r="AD1324" s="890" t="str">
        <f t="shared" si="127"/>
        <v/>
      </c>
      <c r="AE1324" s="890" t="str">
        <f t="shared" si="128"/>
        <v/>
      </c>
      <c r="AF1324" s="890" t="str">
        <f t="shared" si="129"/>
        <v/>
      </c>
      <c r="AG1324" s="192">
        <f t="shared" si="125"/>
        <v>0</v>
      </c>
    </row>
    <row r="1325" spans="27:33" x14ac:dyDescent="0.25">
      <c r="AA1325" s="640" t="str">
        <f t="shared" si="124"/>
        <v/>
      </c>
      <c r="AB1325" s="640" t="str">
        <f t="shared" si="126"/>
        <v/>
      </c>
      <c r="AD1325" s="890" t="str">
        <f t="shared" si="127"/>
        <v/>
      </c>
      <c r="AE1325" s="890" t="str">
        <f t="shared" si="128"/>
        <v/>
      </c>
      <c r="AF1325" s="890" t="str">
        <f t="shared" si="129"/>
        <v/>
      </c>
      <c r="AG1325" s="192">
        <f t="shared" si="125"/>
        <v>0</v>
      </c>
    </row>
    <row r="1326" spans="27:33" x14ac:dyDescent="0.25">
      <c r="AA1326" s="640" t="str">
        <f t="shared" si="124"/>
        <v/>
      </c>
      <c r="AB1326" s="640" t="str">
        <f t="shared" si="126"/>
        <v/>
      </c>
      <c r="AD1326" s="890" t="str">
        <f t="shared" si="127"/>
        <v/>
      </c>
      <c r="AE1326" s="890" t="str">
        <f t="shared" si="128"/>
        <v/>
      </c>
      <c r="AF1326" s="890" t="str">
        <f t="shared" si="129"/>
        <v/>
      </c>
      <c r="AG1326" s="192">
        <f t="shared" si="125"/>
        <v>0</v>
      </c>
    </row>
    <row r="1327" spans="27:33" x14ac:dyDescent="0.25">
      <c r="AA1327" s="640" t="str">
        <f t="shared" si="124"/>
        <v/>
      </c>
      <c r="AB1327" s="640" t="str">
        <f t="shared" si="126"/>
        <v/>
      </c>
      <c r="AD1327" s="890" t="str">
        <f t="shared" si="127"/>
        <v/>
      </c>
      <c r="AE1327" s="890" t="str">
        <f t="shared" si="128"/>
        <v/>
      </c>
      <c r="AF1327" s="890" t="str">
        <f t="shared" si="129"/>
        <v/>
      </c>
      <c r="AG1327" s="192">
        <f t="shared" si="125"/>
        <v>0</v>
      </c>
    </row>
    <row r="1328" spans="27:33" x14ac:dyDescent="0.25">
      <c r="AA1328" s="640" t="str">
        <f t="shared" si="124"/>
        <v/>
      </c>
      <c r="AB1328" s="640" t="str">
        <f t="shared" si="126"/>
        <v/>
      </c>
      <c r="AD1328" s="890" t="str">
        <f t="shared" si="127"/>
        <v/>
      </c>
      <c r="AE1328" s="890" t="str">
        <f t="shared" si="128"/>
        <v/>
      </c>
      <c r="AF1328" s="890" t="str">
        <f t="shared" si="129"/>
        <v/>
      </c>
      <c r="AG1328" s="192">
        <f t="shared" si="125"/>
        <v>0</v>
      </c>
    </row>
    <row r="1329" spans="27:33" x14ac:dyDescent="0.25">
      <c r="AA1329" s="640" t="str">
        <f t="shared" si="124"/>
        <v/>
      </c>
      <c r="AB1329" s="640" t="str">
        <f t="shared" si="126"/>
        <v/>
      </c>
      <c r="AD1329" s="890" t="str">
        <f t="shared" si="127"/>
        <v/>
      </c>
      <c r="AE1329" s="890" t="str">
        <f t="shared" si="128"/>
        <v/>
      </c>
      <c r="AF1329" s="890" t="str">
        <f t="shared" si="129"/>
        <v/>
      </c>
      <c r="AG1329" s="192">
        <f t="shared" si="125"/>
        <v>0</v>
      </c>
    </row>
    <row r="1330" spans="27:33" x14ac:dyDescent="0.25">
      <c r="AA1330" s="640" t="str">
        <f t="shared" si="124"/>
        <v/>
      </c>
      <c r="AB1330" s="640" t="str">
        <f t="shared" si="126"/>
        <v/>
      </c>
      <c r="AD1330" s="890" t="str">
        <f t="shared" si="127"/>
        <v/>
      </c>
      <c r="AE1330" s="890" t="str">
        <f t="shared" si="128"/>
        <v/>
      </c>
      <c r="AF1330" s="890" t="str">
        <f t="shared" si="129"/>
        <v/>
      </c>
      <c r="AG1330" s="192">
        <f t="shared" si="125"/>
        <v>0</v>
      </c>
    </row>
    <row r="1331" spans="27:33" x14ac:dyDescent="0.25">
      <c r="AA1331" s="640" t="str">
        <f t="shared" si="124"/>
        <v/>
      </c>
      <c r="AB1331" s="640" t="str">
        <f t="shared" si="126"/>
        <v/>
      </c>
      <c r="AD1331" s="890" t="str">
        <f t="shared" si="127"/>
        <v/>
      </c>
      <c r="AE1331" s="890" t="str">
        <f t="shared" si="128"/>
        <v/>
      </c>
      <c r="AF1331" s="890" t="str">
        <f t="shared" si="129"/>
        <v/>
      </c>
      <c r="AG1331" s="192">
        <f t="shared" si="125"/>
        <v>0</v>
      </c>
    </row>
    <row r="1332" spans="27:33" x14ac:dyDescent="0.25">
      <c r="AA1332" s="640" t="str">
        <f t="shared" si="124"/>
        <v/>
      </c>
      <c r="AB1332" s="640" t="str">
        <f t="shared" si="126"/>
        <v/>
      </c>
      <c r="AD1332" s="890" t="str">
        <f t="shared" si="127"/>
        <v/>
      </c>
      <c r="AE1332" s="890" t="str">
        <f t="shared" si="128"/>
        <v/>
      </c>
      <c r="AF1332" s="890" t="str">
        <f t="shared" si="129"/>
        <v/>
      </c>
      <c r="AG1332" s="192">
        <f t="shared" si="125"/>
        <v>0</v>
      </c>
    </row>
    <row r="1333" spans="27:33" x14ac:dyDescent="0.25">
      <c r="AA1333" s="640" t="str">
        <f t="shared" si="124"/>
        <v/>
      </c>
      <c r="AB1333" s="640" t="str">
        <f t="shared" si="126"/>
        <v/>
      </c>
      <c r="AD1333" s="890" t="str">
        <f t="shared" si="127"/>
        <v/>
      </c>
      <c r="AE1333" s="890" t="str">
        <f t="shared" si="128"/>
        <v/>
      </c>
      <c r="AF1333" s="890" t="str">
        <f t="shared" si="129"/>
        <v/>
      </c>
      <c r="AG1333" s="192">
        <f t="shared" si="125"/>
        <v>0</v>
      </c>
    </row>
    <row r="1334" spans="27:33" x14ac:dyDescent="0.25">
      <c r="AA1334" s="640" t="str">
        <f t="shared" si="124"/>
        <v/>
      </c>
      <c r="AB1334" s="640" t="str">
        <f t="shared" si="126"/>
        <v/>
      </c>
      <c r="AD1334" s="890" t="str">
        <f t="shared" si="127"/>
        <v/>
      </c>
      <c r="AE1334" s="890" t="str">
        <f t="shared" si="128"/>
        <v/>
      </c>
      <c r="AF1334" s="890" t="str">
        <f t="shared" si="129"/>
        <v/>
      </c>
      <c r="AG1334" s="192">
        <f t="shared" si="125"/>
        <v>0</v>
      </c>
    </row>
    <row r="1335" spans="27:33" x14ac:dyDescent="0.25">
      <c r="AA1335" s="640" t="str">
        <f t="shared" si="124"/>
        <v/>
      </c>
      <c r="AB1335" s="640" t="str">
        <f t="shared" si="126"/>
        <v/>
      </c>
      <c r="AD1335" s="890" t="str">
        <f t="shared" si="127"/>
        <v/>
      </c>
      <c r="AE1335" s="890" t="str">
        <f t="shared" si="128"/>
        <v/>
      </c>
      <c r="AF1335" s="890" t="str">
        <f t="shared" si="129"/>
        <v/>
      </c>
      <c r="AG1335" s="192">
        <f t="shared" si="125"/>
        <v>0</v>
      </c>
    </row>
    <row r="1336" spans="27:33" x14ac:dyDescent="0.25">
      <c r="AA1336" s="640" t="str">
        <f t="shared" si="124"/>
        <v/>
      </c>
      <c r="AB1336" s="640" t="str">
        <f t="shared" si="126"/>
        <v/>
      </c>
      <c r="AD1336" s="890" t="str">
        <f t="shared" si="127"/>
        <v/>
      </c>
      <c r="AE1336" s="890" t="str">
        <f t="shared" si="128"/>
        <v/>
      </c>
      <c r="AF1336" s="890" t="str">
        <f t="shared" si="129"/>
        <v/>
      </c>
      <c r="AG1336" s="192">
        <f t="shared" si="125"/>
        <v>0</v>
      </c>
    </row>
    <row r="1337" spans="27:33" x14ac:dyDescent="0.25">
      <c r="AA1337" s="640" t="str">
        <f t="shared" si="124"/>
        <v/>
      </c>
      <c r="AB1337" s="640" t="str">
        <f t="shared" si="126"/>
        <v/>
      </c>
      <c r="AD1337" s="890" t="str">
        <f t="shared" si="127"/>
        <v/>
      </c>
      <c r="AE1337" s="890" t="str">
        <f t="shared" si="128"/>
        <v/>
      </c>
      <c r="AF1337" s="890" t="str">
        <f t="shared" si="129"/>
        <v/>
      </c>
      <c r="AG1337" s="192">
        <f t="shared" si="125"/>
        <v>0</v>
      </c>
    </row>
    <row r="1338" spans="27:33" x14ac:dyDescent="0.25">
      <c r="AA1338" s="640" t="str">
        <f t="shared" si="124"/>
        <v/>
      </c>
      <c r="AB1338" s="640" t="str">
        <f t="shared" si="126"/>
        <v/>
      </c>
      <c r="AD1338" s="890" t="str">
        <f t="shared" si="127"/>
        <v/>
      </c>
      <c r="AE1338" s="890" t="str">
        <f t="shared" si="128"/>
        <v/>
      </c>
      <c r="AF1338" s="890" t="str">
        <f t="shared" si="129"/>
        <v/>
      </c>
      <c r="AG1338" s="192">
        <f t="shared" si="125"/>
        <v>0</v>
      </c>
    </row>
    <row r="1339" spans="27:33" x14ac:dyDescent="0.25">
      <c r="AA1339" s="640" t="str">
        <f t="shared" si="124"/>
        <v/>
      </c>
      <c r="AB1339" s="640" t="str">
        <f t="shared" si="126"/>
        <v/>
      </c>
      <c r="AD1339" s="890" t="str">
        <f t="shared" si="127"/>
        <v/>
      </c>
      <c r="AE1339" s="890" t="str">
        <f t="shared" si="128"/>
        <v/>
      </c>
      <c r="AF1339" s="890" t="str">
        <f t="shared" si="129"/>
        <v/>
      </c>
      <c r="AG1339" s="192">
        <f t="shared" si="125"/>
        <v>0</v>
      </c>
    </row>
    <row r="1340" spans="27:33" x14ac:dyDescent="0.25">
      <c r="AA1340" s="640" t="str">
        <f t="shared" si="124"/>
        <v/>
      </c>
      <c r="AB1340" s="640" t="str">
        <f t="shared" si="126"/>
        <v/>
      </c>
      <c r="AD1340" s="890" t="str">
        <f t="shared" si="127"/>
        <v/>
      </c>
      <c r="AE1340" s="890" t="str">
        <f t="shared" si="128"/>
        <v/>
      </c>
      <c r="AF1340" s="890" t="str">
        <f t="shared" si="129"/>
        <v/>
      </c>
      <c r="AG1340" s="192">
        <f t="shared" si="125"/>
        <v>0</v>
      </c>
    </row>
    <row r="1341" spans="27:33" x14ac:dyDescent="0.25">
      <c r="AA1341" s="640" t="str">
        <f t="shared" si="124"/>
        <v/>
      </c>
      <c r="AB1341" s="640" t="str">
        <f t="shared" si="126"/>
        <v/>
      </c>
      <c r="AD1341" s="890" t="str">
        <f t="shared" si="127"/>
        <v/>
      </c>
      <c r="AE1341" s="890" t="str">
        <f t="shared" si="128"/>
        <v/>
      </c>
      <c r="AF1341" s="890" t="str">
        <f t="shared" si="129"/>
        <v/>
      </c>
      <c r="AG1341" s="192">
        <f t="shared" si="125"/>
        <v>0</v>
      </c>
    </row>
    <row r="1342" spans="27:33" x14ac:dyDescent="0.25">
      <c r="AA1342" s="640" t="str">
        <f t="shared" si="124"/>
        <v/>
      </c>
      <c r="AB1342" s="640" t="str">
        <f t="shared" si="126"/>
        <v/>
      </c>
      <c r="AD1342" s="890" t="str">
        <f t="shared" si="127"/>
        <v/>
      </c>
      <c r="AE1342" s="890" t="str">
        <f t="shared" si="128"/>
        <v/>
      </c>
      <c r="AF1342" s="890" t="str">
        <f t="shared" si="129"/>
        <v/>
      </c>
      <c r="AG1342" s="192">
        <f t="shared" si="125"/>
        <v>0</v>
      </c>
    </row>
    <row r="1343" spans="27:33" x14ac:dyDescent="0.25">
      <c r="AB1343" s="640" t="str">
        <f t="shared" si="126"/>
        <v/>
      </c>
      <c r="AD1343" s="890" t="str">
        <f t="shared" si="127"/>
        <v/>
      </c>
      <c r="AE1343" s="890" t="str">
        <f t="shared" si="128"/>
        <v/>
      </c>
      <c r="AF1343" s="890" t="str">
        <f t="shared" si="129"/>
        <v/>
      </c>
      <c r="AG1343" s="192">
        <f t="shared" si="125"/>
        <v>0</v>
      </c>
    </row>
    <row r="1344" spans="27:33" x14ac:dyDescent="0.25">
      <c r="AB1344" s="640" t="str">
        <f t="shared" si="126"/>
        <v/>
      </c>
      <c r="AD1344" s="890" t="str">
        <f t="shared" si="127"/>
        <v/>
      </c>
      <c r="AE1344" s="890" t="str">
        <f t="shared" si="128"/>
        <v/>
      </c>
      <c r="AF1344" s="890" t="str">
        <f t="shared" si="129"/>
        <v/>
      </c>
      <c r="AG1344" s="192">
        <f t="shared" si="125"/>
        <v>0</v>
      </c>
    </row>
    <row r="1345" spans="28:33" x14ac:dyDescent="0.25">
      <c r="AB1345" s="640" t="str">
        <f t="shared" si="126"/>
        <v/>
      </c>
      <c r="AD1345" s="890" t="str">
        <f t="shared" si="127"/>
        <v/>
      </c>
      <c r="AE1345" s="890" t="str">
        <f t="shared" si="128"/>
        <v/>
      </c>
      <c r="AF1345" s="890" t="str">
        <f t="shared" si="129"/>
        <v/>
      </c>
      <c r="AG1345" s="192">
        <f t="shared" si="125"/>
        <v>0</v>
      </c>
    </row>
    <row r="1346" spans="28:33" x14ac:dyDescent="0.25">
      <c r="AB1346" s="640" t="str">
        <f t="shared" si="126"/>
        <v/>
      </c>
      <c r="AD1346" s="890" t="str">
        <f t="shared" si="127"/>
        <v/>
      </c>
      <c r="AE1346" s="890" t="str">
        <f t="shared" si="128"/>
        <v/>
      </c>
      <c r="AF1346" s="890" t="str">
        <f t="shared" si="129"/>
        <v/>
      </c>
      <c r="AG1346" s="192">
        <f t="shared" si="125"/>
        <v>0</v>
      </c>
    </row>
    <row r="1347" spans="28:33" x14ac:dyDescent="0.25">
      <c r="AB1347" s="640" t="str">
        <f t="shared" si="126"/>
        <v/>
      </c>
      <c r="AD1347" s="890" t="str">
        <f t="shared" si="127"/>
        <v/>
      </c>
      <c r="AE1347" s="890" t="str">
        <f t="shared" si="128"/>
        <v/>
      </c>
      <c r="AF1347" s="890" t="str">
        <f t="shared" si="129"/>
        <v/>
      </c>
      <c r="AG1347" s="192">
        <f t="shared" si="125"/>
        <v>0</v>
      </c>
    </row>
    <row r="1348" spans="28:33" x14ac:dyDescent="0.25">
      <c r="AB1348" s="640" t="str">
        <f t="shared" si="126"/>
        <v/>
      </c>
      <c r="AD1348" s="890" t="str">
        <f t="shared" si="127"/>
        <v/>
      </c>
      <c r="AE1348" s="890" t="str">
        <f t="shared" si="128"/>
        <v/>
      </c>
      <c r="AF1348" s="890" t="str">
        <f t="shared" si="129"/>
        <v/>
      </c>
      <c r="AG1348" s="192">
        <f t="shared" si="125"/>
        <v>0</v>
      </c>
    </row>
    <row r="1349" spans="28:33" x14ac:dyDescent="0.25">
      <c r="AB1349" s="640" t="str">
        <f t="shared" si="126"/>
        <v/>
      </c>
      <c r="AD1349" s="890" t="str">
        <f t="shared" si="127"/>
        <v/>
      </c>
      <c r="AE1349" s="890" t="str">
        <f t="shared" si="128"/>
        <v/>
      </c>
      <c r="AF1349" s="890" t="str">
        <f t="shared" si="129"/>
        <v/>
      </c>
      <c r="AG1349" s="192">
        <f t="shared" si="125"/>
        <v>0</v>
      </c>
    </row>
    <row r="1350" spans="28:33" x14ac:dyDescent="0.25">
      <c r="AB1350" s="640" t="str">
        <f t="shared" si="126"/>
        <v/>
      </c>
      <c r="AD1350" s="890" t="str">
        <f t="shared" si="127"/>
        <v/>
      </c>
      <c r="AE1350" s="890" t="str">
        <f t="shared" si="128"/>
        <v/>
      </c>
      <c r="AF1350" s="890" t="str">
        <f t="shared" si="129"/>
        <v/>
      </c>
      <c r="AG1350" s="192">
        <f t="shared" si="125"/>
        <v>0</v>
      </c>
    </row>
    <row r="1351" spans="28:33" x14ac:dyDescent="0.25">
      <c r="AB1351" s="640" t="str">
        <f t="shared" si="126"/>
        <v/>
      </c>
      <c r="AD1351" s="890" t="str">
        <f t="shared" si="127"/>
        <v/>
      </c>
      <c r="AE1351" s="890" t="str">
        <f t="shared" si="128"/>
        <v/>
      </c>
      <c r="AF1351" s="890" t="str">
        <f t="shared" si="129"/>
        <v/>
      </c>
      <c r="AG1351" s="192">
        <f t="shared" ref="AG1351:AG1383" si="130">(C1351*G1351)+(C1351*H1351)+(C1351*I1351)</f>
        <v>0</v>
      </c>
    </row>
    <row r="1352" spans="28:33" x14ac:dyDescent="0.25">
      <c r="AB1352" s="640" t="str">
        <f t="shared" ref="AB1352:AB1381" si="131">IF(G1352&gt;=1,IF(F1352&gt;1,C1352*(F1352-2),""),"")</f>
        <v/>
      </c>
      <c r="AD1352" s="890" t="str">
        <f t="shared" ref="AD1352:AD1391" si="132">IF(E1352="YES",IF(G1352=1,"",""),IF(G1352=1,C1352,IF(G1352=2,C1352,IF(G1352=0,"",""))))</f>
        <v/>
      </c>
      <c r="AE1352" s="890" t="str">
        <f t="shared" ref="AE1352:AE1391" si="133">IF(E1352="YES",IF(G1352=1,"",IF(H1352=1,C1352,"")),IF(H1352=1,C1352,IF(H1352=2,C1352,IF(H1352=0,"",""))))</f>
        <v/>
      </c>
      <c r="AF1352" s="890" t="str">
        <f t="shared" ref="AF1352:AF1391" si="134">IF(E1352="YES",IF(I1352=1,C1352,""),IF(I1352=1,C1352,IF(I1352=2,C1352,IF(I1352=0,"",""))))</f>
        <v/>
      </c>
      <c r="AG1352" s="192">
        <f t="shared" si="130"/>
        <v>0</v>
      </c>
    </row>
    <row r="1353" spans="28:33" x14ac:dyDescent="0.25">
      <c r="AB1353" s="640" t="str">
        <f t="shared" si="131"/>
        <v/>
      </c>
      <c r="AD1353" s="890" t="str">
        <f t="shared" si="132"/>
        <v/>
      </c>
      <c r="AE1353" s="890" t="str">
        <f t="shared" si="133"/>
        <v/>
      </c>
      <c r="AF1353" s="890" t="str">
        <f t="shared" si="134"/>
        <v/>
      </c>
      <c r="AG1353" s="192">
        <f t="shared" si="130"/>
        <v>0</v>
      </c>
    </row>
    <row r="1354" spans="28:33" x14ac:dyDescent="0.25">
      <c r="AB1354" s="640" t="str">
        <f t="shared" si="131"/>
        <v/>
      </c>
      <c r="AD1354" s="890" t="str">
        <f t="shared" si="132"/>
        <v/>
      </c>
      <c r="AE1354" s="890" t="str">
        <f t="shared" si="133"/>
        <v/>
      </c>
      <c r="AF1354" s="890" t="str">
        <f t="shared" si="134"/>
        <v/>
      </c>
      <c r="AG1354" s="192">
        <f t="shared" si="130"/>
        <v>0</v>
      </c>
    </row>
    <row r="1355" spans="28:33" x14ac:dyDescent="0.25">
      <c r="AB1355" s="640" t="str">
        <f t="shared" si="131"/>
        <v/>
      </c>
      <c r="AD1355" s="890" t="str">
        <f t="shared" si="132"/>
        <v/>
      </c>
      <c r="AE1355" s="890" t="str">
        <f t="shared" si="133"/>
        <v/>
      </c>
      <c r="AF1355" s="890" t="str">
        <f t="shared" si="134"/>
        <v/>
      </c>
      <c r="AG1355" s="192">
        <f t="shared" si="130"/>
        <v>0</v>
      </c>
    </row>
    <row r="1356" spans="28:33" x14ac:dyDescent="0.25">
      <c r="AB1356" s="640" t="str">
        <f t="shared" si="131"/>
        <v/>
      </c>
      <c r="AD1356" s="890" t="str">
        <f t="shared" si="132"/>
        <v/>
      </c>
      <c r="AE1356" s="890" t="str">
        <f t="shared" si="133"/>
        <v/>
      </c>
      <c r="AF1356" s="890" t="str">
        <f t="shared" si="134"/>
        <v/>
      </c>
      <c r="AG1356" s="192">
        <f t="shared" si="130"/>
        <v>0</v>
      </c>
    </row>
    <row r="1357" spans="28:33" x14ac:dyDescent="0.25">
      <c r="AB1357" s="640" t="str">
        <f t="shared" si="131"/>
        <v/>
      </c>
      <c r="AD1357" s="890" t="str">
        <f t="shared" si="132"/>
        <v/>
      </c>
      <c r="AE1357" s="890" t="str">
        <f t="shared" si="133"/>
        <v/>
      </c>
      <c r="AF1357" s="890" t="str">
        <f t="shared" si="134"/>
        <v/>
      </c>
      <c r="AG1357" s="192">
        <f t="shared" si="130"/>
        <v>0</v>
      </c>
    </row>
    <row r="1358" spans="28:33" x14ac:dyDescent="0.25">
      <c r="AB1358" s="640" t="str">
        <f t="shared" si="131"/>
        <v/>
      </c>
      <c r="AD1358" s="890" t="str">
        <f t="shared" si="132"/>
        <v/>
      </c>
      <c r="AE1358" s="890" t="str">
        <f t="shared" si="133"/>
        <v/>
      </c>
      <c r="AF1358" s="890" t="str">
        <f t="shared" si="134"/>
        <v/>
      </c>
      <c r="AG1358" s="192">
        <f t="shared" si="130"/>
        <v>0</v>
      </c>
    </row>
    <row r="1359" spans="28:33" x14ac:dyDescent="0.25">
      <c r="AB1359" s="640" t="str">
        <f t="shared" si="131"/>
        <v/>
      </c>
      <c r="AD1359" s="890" t="str">
        <f t="shared" si="132"/>
        <v/>
      </c>
      <c r="AE1359" s="890" t="str">
        <f t="shared" si="133"/>
        <v/>
      </c>
      <c r="AF1359" s="890" t="str">
        <f t="shared" si="134"/>
        <v/>
      </c>
      <c r="AG1359" s="192">
        <f t="shared" si="130"/>
        <v>0</v>
      </c>
    </row>
    <row r="1360" spans="28:33" x14ac:dyDescent="0.25">
      <c r="AB1360" s="640" t="str">
        <f t="shared" si="131"/>
        <v/>
      </c>
      <c r="AD1360" s="890" t="str">
        <f t="shared" si="132"/>
        <v/>
      </c>
      <c r="AE1360" s="890" t="str">
        <f t="shared" si="133"/>
        <v/>
      </c>
      <c r="AF1360" s="890" t="str">
        <f t="shared" si="134"/>
        <v/>
      </c>
      <c r="AG1360" s="192">
        <f t="shared" si="130"/>
        <v>0</v>
      </c>
    </row>
    <row r="1361" spans="28:33" x14ac:dyDescent="0.25">
      <c r="AB1361" s="640" t="str">
        <f t="shared" si="131"/>
        <v/>
      </c>
      <c r="AD1361" s="890" t="str">
        <f t="shared" si="132"/>
        <v/>
      </c>
      <c r="AE1361" s="890" t="str">
        <f t="shared" si="133"/>
        <v/>
      </c>
      <c r="AF1361" s="890" t="str">
        <f t="shared" si="134"/>
        <v/>
      </c>
      <c r="AG1361" s="192">
        <f t="shared" si="130"/>
        <v>0</v>
      </c>
    </row>
    <row r="1362" spans="28:33" x14ac:dyDescent="0.25">
      <c r="AB1362" s="640" t="str">
        <f t="shared" si="131"/>
        <v/>
      </c>
      <c r="AD1362" s="890" t="str">
        <f t="shared" si="132"/>
        <v/>
      </c>
      <c r="AE1362" s="890" t="str">
        <f t="shared" si="133"/>
        <v/>
      </c>
      <c r="AF1362" s="890" t="str">
        <f t="shared" si="134"/>
        <v/>
      </c>
      <c r="AG1362" s="192">
        <f t="shared" si="130"/>
        <v>0</v>
      </c>
    </row>
    <row r="1363" spans="28:33" x14ac:dyDescent="0.25">
      <c r="AB1363" s="640" t="str">
        <f t="shared" si="131"/>
        <v/>
      </c>
      <c r="AD1363" s="890" t="str">
        <f t="shared" si="132"/>
        <v/>
      </c>
      <c r="AE1363" s="890" t="str">
        <f t="shared" si="133"/>
        <v/>
      </c>
      <c r="AF1363" s="890" t="str">
        <f t="shared" si="134"/>
        <v/>
      </c>
      <c r="AG1363" s="192">
        <f t="shared" si="130"/>
        <v>0</v>
      </c>
    </row>
    <row r="1364" spans="28:33" x14ac:dyDescent="0.25">
      <c r="AB1364" s="640" t="str">
        <f t="shared" si="131"/>
        <v/>
      </c>
      <c r="AD1364" s="890" t="str">
        <f t="shared" si="132"/>
        <v/>
      </c>
      <c r="AE1364" s="890" t="str">
        <f t="shared" si="133"/>
        <v/>
      </c>
      <c r="AF1364" s="890" t="str">
        <f t="shared" si="134"/>
        <v/>
      </c>
      <c r="AG1364" s="192">
        <f t="shared" si="130"/>
        <v>0</v>
      </c>
    </row>
    <row r="1365" spans="28:33" x14ac:dyDescent="0.25">
      <c r="AB1365" s="640" t="str">
        <f t="shared" si="131"/>
        <v/>
      </c>
      <c r="AD1365" s="890" t="str">
        <f t="shared" si="132"/>
        <v/>
      </c>
      <c r="AE1365" s="890" t="str">
        <f t="shared" si="133"/>
        <v/>
      </c>
      <c r="AF1365" s="890" t="str">
        <f t="shared" si="134"/>
        <v/>
      </c>
      <c r="AG1365" s="192">
        <f t="shared" si="130"/>
        <v>0</v>
      </c>
    </row>
    <row r="1366" spans="28:33" x14ac:dyDescent="0.25">
      <c r="AB1366" s="640" t="str">
        <f t="shared" si="131"/>
        <v/>
      </c>
      <c r="AD1366" s="890" t="str">
        <f t="shared" si="132"/>
        <v/>
      </c>
      <c r="AE1366" s="890" t="str">
        <f t="shared" si="133"/>
        <v/>
      </c>
      <c r="AF1366" s="890" t="str">
        <f t="shared" si="134"/>
        <v/>
      </c>
      <c r="AG1366" s="192">
        <f t="shared" si="130"/>
        <v>0</v>
      </c>
    </row>
    <row r="1367" spans="28:33" x14ac:dyDescent="0.25">
      <c r="AB1367" s="640" t="str">
        <f t="shared" si="131"/>
        <v/>
      </c>
      <c r="AD1367" s="890" t="str">
        <f t="shared" si="132"/>
        <v/>
      </c>
      <c r="AE1367" s="890" t="str">
        <f t="shared" si="133"/>
        <v/>
      </c>
      <c r="AF1367" s="890" t="str">
        <f t="shared" si="134"/>
        <v/>
      </c>
      <c r="AG1367" s="192">
        <f t="shared" si="130"/>
        <v>0</v>
      </c>
    </row>
    <row r="1368" spans="28:33" x14ac:dyDescent="0.25">
      <c r="AB1368" s="640" t="str">
        <f t="shared" si="131"/>
        <v/>
      </c>
      <c r="AD1368" s="890" t="str">
        <f t="shared" si="132"/>
        <v/>
      </c>
      <c r="AE1368" s="890" t="str">
        <f t="shared" si="133"/>
        <v/>
      </c>
      <c r="AF1368" s="890" t="str">
        <f t="shared" si="134"/>
        <v/>
      </c>
      <c r="AG1368" s="192">
        <f t="shared" si="130"/>
        <v>0</v>
      </c>
    </row>
    <row r="1369" spans="28:33" x14ac:dyDescent="0.25">
      <c r="AB1369" s="640" t="str">
        <f t="shared" si="131"/>
        <v/>
      </c>
      <c r="AD1369" s="890" t="str">
        <f t="shared" si="132"/>
        <v/>
      </c>
      <c r="AE1369" s="890" t="str">
        <f t="shared" si="133"/>
        <v/>
      </c>
      <c r="AF1369" s="890" t="str">
        <f t="shared" si="134"/>
        <v/>
      </c>
      <c r="AG1369" s="192">
        <f t="shared" si="130"/>
        <v>0</v>
      </c>
    </row>
    <row r="1370" spans="28:33" x14ac:dyDescent="0.25">
      <c r="AB1370" s="640" t="str">
        <f t="shared" si="131"/>
        <v/>
      </c>
      <c r="AD1370" s="890" t="str">
        <f t="shared" si="132"/>
        <v/>
      </c>
      <c r="AE1370" s="890" t="str">
        <f t="shared" si="133"/>
        <v/>
      </c>
      <c r="AF1370" s="890" t="str">
        <f t="shared" si="134"/>
        <v/>
      </c>
      <c r="AG1370" s="192">
        <f t="shared" si="130"/>
        <v>0</v>
      </c>
    </row>
    <row r="1371" spans="28:33" x14ac:dyDescent="0.25">
      <c r="AB1371" s="640" t="str">
        <f t="shared" si="131"/>
        <v/>
      </c>
      <c r="AD1371" s="890" t="str">
        <f t="shared" si="132"/>
        <v/>
      </c>
      <c r="AE1371" s="890" t="str">
        <f t="shared" si="133"/>
        <v/>
      </c>
      <c r="AF1371" s="890" t="str">
        <f t="shared" si="134"/>
        <v/>
      </c>
      <c r="AG1371" s="192">
        <f t="shared" si="130"/>
        <v>0</v>
      </c>
    </row>
    <row r="1372" spans="28:33" x14ac:dyDescent="0.25">
      <c r="AB1372" s="640" t="str">
        <f t="shared" si="131"/>
        <v/>
      </c>
      <c r="AD1372" s="890" t="str">
        <f t="shared" si="132"/>
        <v/>
      </c>
      <c r="AE1372" s="890" t="str">
        <f t="shared" si="133"/>
        <v/>
      </c>
      <c r="AF1372" s="890" t="str">
        <f t="shared" si="134"/>
        <v/>
      </c>
      <c r="AG1372" s="192">
        <f t="shared" si="130"/>
        <v>0</v>
      </c>
    </row>
    <row r="1373" spans="28:33" x14ac:dyDescent="0.25">
      <c r="AB1373" s="640" t="str">
        <f t="shared" si="131"/>
        <v/>
      </c>
      <c r="AD1373" s="890" t="str">
        <f t="shared" si="132"/>
        <v/>
      </c>
      <c r="AE1373" s="890" t="str">
        <f t="shared" si="133"/>
        <v/>
      </c>
      <c r="AF1373" s="890" t="str">
        <f t="shared" si="134"/>
        <v/>
      </c>
      <c r="AG1373" s="192">
        <f t="shared" si="130"/>
        <v>0</v>
      </c>
    </row>
    <row r="1374" spans="28:33" x14ac:dyDescent="0.25">
      <c r="AB1374" s="640" t="str">
        <f t="shared" si="131"/>
        <v/>
      </c>
      <c r="AD1374" s="890" t="str">
        <f t="shared" si="132"/>
        <v/>
      </c>
      <c r="AE1374" s="890" t="str">
        <f t="shared" si="133"/>
        <v/>
      </c>
      <c r="AF1374" s="890" t="str">
        <f t="shared" si="134"/>
        <v/>
      </c>
      <c r="AG1374" s="192">
        <f t="shared" si="130"/>
        <v>0</v>
      </c>
    </row>
    <row r="1375" spans="28:33" x14ac:dyDescent="0.25">
      <c r="AB1375" s="640" t="str">
        <f t="shared" si="131"/>
        <v/>
      </c>
      <c r="AD1375" s="890" t="str">
        <f t="shared" si="132"/>
        <v/>
      </c>
      <c r="AE1375" s="890" t="str">
        <f t="shared" si="133"/>
        <v/>
      </c>
      <c r="AF1375" s="890" t="str">
        <f t="shared" si="134"/>
        <v/>
      </c>
      <c r="AG1375" s="192">
        <f t="shared" si="130"/>
        <v>0</v>
      </c>
    </row>
    <row r="1376" spans="28:33" x14ac:dyDescent="0.25">
      <c r="AB1376" s="640" t="str">
        <f t="shared" si="131"/>
        <v/>
      </c>
      <c r="AD1376" s="890" t="str">
        <f t="shared" si="132"/>
        <v/>
      </c>
      <c r="AE1376" s="890" t="str">
        <f t="shared" si="133"/>
        <v/>
      </c>
      <c r="AF1376" s="890" t="str">
        <f t="shared" si="134"/>
        <v/>
      </c>
      <c r="AG1376" s="192">
        <f t="shared" si="130"/>
        <v>0</v>
      </c>
    </row>
    <row r="1377" spans="28:33" x14ac:dyDescent="0.25">
      <c r="AB1377" s="640" t="str">
        <f t="shared" si="131"/>
        <v/>
      </c>
      <c r="AD1377" s="890" t="str">
        <f t="shared" si="132"/>
        <v/>
      </c>
      <c r="AE1377" s="890" t="str">
        <f t="shared" si="133"/>
        <v/>
      </c>
      <c r="AF1377" s="890" t="str">
        <f t="shared" si="134"/>
        <v/>
      </c>
      <c r="AG1377" s="192">
        <f t="shared" si="130"/>
        <v>0</v>
      </c>
    </row>
    <row r="1378" spans="28:33" x14ac:dyDescent="0.25">
      <c r="AB1378" s="640" t="str">
        <f t="shared" si="131"/>
        <v/>
      </c>
      <c r="AD1378" s="890" t="str">
        <f t="shared" si="132"/>
        <v/>
      </c>
      <c r="AE1378" s="890" t="str">
        <f t="shared" si="133"/>
        <v/>
      </c>
      <c r="AF1378" s="890" t="str">
        <f t="shared" si="134"/>
        <v/>
      </c>
      <c r="AG1378" s="192">
        <f t="shared" si="130"/>
        <v>0</v>
      </c>
    </row>
    <row r="1379" spans="28:33" x14ac:dyDescent="0.25">
      <c r="AB1379" s="640" t="str">
        <f t="shared" si="131"/>
        <v/>
      </c>
      <c r="AD1379" s="890" t="str">
        <f t="shared" si="132"/>
        <v/>
      </c>
      <c r="AE1379" s="890" t="str">
        <f t="shared" si="133"/>
        <v/>
      </c>
      <c r="AF1379" s="890" t="str">
        <f t="shared" si="134"/>
        <v/>
      </c>
      <c r="AG1379" s="192">
        <f t="shared" si="130"/>
        <v>0</v>
      </c>
    </row>
    <row r="1380" spans="28:33" x14ac:dyDescent="0.25">
      <c r="AB1380" s="640" t="str">
        <f t="shared" si="131"/>
        <v/>
      </c>
      <c r="AD1380" s="890" t="str">
        <f t="shared" si="132"/>
        <v/>
      </c>
      <c r="AE1380" s="890" t="str">
        <f t="shared" si="133"/>
        <v/>
      </c>
      <c r="AF1380" s="890" t="str">
        <f t="shared" si="134"/>
        <v/>
      </c>
      <c r="AG1380" s="192">
        <f t="shared" si="130"/>
        <v>0</v>
      </c>
    </row>
    <row r="1381" spans="28:33" x14ac:dyDescent="0.25">
      <c r="AB1381" s="640" t="str">
        <f t="shared" si="131"/>
        <v/>
      </c>
      <c r="AD1381" s="890" t="str">
        <f t="shared" si="132"/>
        <v/>
      </c>
      <c r="AE1381" s="890" t="str">
        <f t="shared" si="133"/>
        <v/>
      </c>
      <c r="AF1381" s="890" t="str">
        <f t="shared" si="134"/>
        <v/>
      </c>
      <c r="AG1381" s="192">
        <f t="shared" si="130"/>
        <v>0</v>
      </c>
    </row>
    <row r="1382" spans="28:33" x14ac:dyDescent="0.25">
      <c r="AD1382" s="890" t="str">
        <f t="shared" si="132"/>
        <v/>
      </c>
      <c r="AE1382" s="890" t="str">
        <f t="shared" si="133"/>
        <v/>
      </c>
      <c r="AF1382" s="890" t="str">
        <f t="shared" si="134"/>
        <v/>
      </c>
      <c r="AG1382" s="192">
        <f t="shared" si="130"/>
        <v>0</v>
      </c>
    </row>
    <row r="1383" spans="28:33" x14ac:dyDescent="0.25">
      <c r="AD1383" s="890" t="str">
        <f t="shared" si="132"/>
        <v/>
      </c>
      <c r="AE1383" s="890" t="str">
        <f t="shared" si="133"/>
        <v/>
      </c>
      <c r="AF1383" s="890" t="str">
        <f t="shared" si="134"/>
        <v/>
      </c>
      <c r="AG1383" s="192">
        <f t="shared" si="130"/>
        <v>0</v>
      </c>
    </row>
    <row r="1384" spans="28:33" x14ac:dyDescent="0.25">
      <c r="AD1384" s="890" t="str">
        <f t="shared" si="132"/>
        <v/>
      </c>
      <c r="AE1384" s="890" t="str">
        <f t="shared" si="133"/>
        <v/>
      </c>
      <c r="AF1384" s="890" t="str">
        <f t="shared" si="134"/>
        <v/>
      </c>
    </row>
    <row r="1385" spans="28:33" x14ac:dyDescent="0.25">
      <c r="AD1385" s="890" t="str">
        <f t="shared" si="132"/>
        <v/>
      </c>
      <c r="AE1385" s="890" t="str">
        <f t="shared" si="133"/>
        <v/>
      </c>
      <c r="AF1385" s="890" t="str">
        <f t="shared" si="134"/>
        <v/>
      </c>
    </row>
    <row r="1386" spans="28:33" x14ac:dyDescent="0.25">
      <c r="AD1386" s="890" t="str">
        <f t="shared" si="132"/>
        <v/>
      </c>
      <c r="AE1386" s="890" t="str">
        <f t="shared" si="133"/>
        <v/>
      </c>
      <c r="AF1386" s="890" t="str">
        <f t="shared" si="134"/>
        <v/>
      </c>
    </row>
    <row r="1387" spans="28:33" x14ac:dyDescent="0.25">
      <c r="AD1387" s="890" t="str">
        <f t="shared" si="132"/>
        <v/>
      </c>
      <c r="AE1387" s="890" t="str">
        <f t="shared" si="133"/>
        <v/>
      </c>
      <c r="AF1387" s="890" t="str">
        <f t="shared" si="134"/>
        <v/>
      </c>
    </row>
    <row r="1388" spans="28:33" x14ac:dyDescent="0.25">
      <c r="AD1388" s="890" t="str">
        <f t="shared" si="132"/>
        <v/>
      </c>
      <c r="AE1388" s="890" t="str">
        <f t="shared" si="133"/>
        <v/>
      </c>
      <c r="AF1388" s="890" t="str">
        <f t="shared" si="134"/>
        <v/>
      </c>
    </row>
    <row r="1389" spans="28:33" x14ac:dyDescent="0.25">
      <c r="AD1389" s="890" t="str">
        <f t="shared" si="132"/>
        <v/>
      </c>
      <c r="AE1389" s="890" t="str">
        <f t="shared" si="133"/>
        <v/>
      </c>
      <c r="AF1389" s="890" t="str">
        <f t="shared" si="134"/>
        <v/>
      </c>
    </row>
    <row r="1390" spans="28:33" x14ac:dyDescent="0.25">
      <c r="AD1390" s="890" t="str">
        <f t="shared" si="132"/>
        <v/>
      </c>
      <c r="AE1390" s="890" t="str">
        <f t="shared" si="133"/>
        <v/>
      </c>
      <c r="AF1390" s="890" t="str">
        <f t="shared" si="134"/>
        <v/>
      </c>
    </row>
    <row r="1391" spans="28:33" x14ac:dyDescent="0.25">
      <c r="AD1391" s="890" t="str">
        <f t="shared" si="132"/>
        <v/>
      </c>
      <c r="AE1391" s="890" t="str">
        <f t="shared" si="133"/>
        <v/>
      </c>
      <c r="AF1391" s="890" t="str">
        <f t="shared" si="134"/>
        <v/>
      </c>
    </row>
  </sheetData>
  <sheetProtection formatCells="0" formatColumns="0" formatRows="0" insertRows="0"/>
  <mergeCells count="3">
    <mergeCell ref="Q1:R1"/>
    <mergeCell ref="Q5:Y5"/>
    <mergeCell ref="C2:D2"/>
  </mergeCells>
  <dataValidations count="7">
    <dataValidation type="list" allowBlank="1" showInputMessage="1" showErrorMessage="1" sqref="G273:H1398" xr:uid="{B29C4AD9-E4A8-4738-8F4A-E20C687E19BA}">
      <formula1>"0,1,2"</formula1>
    </dataValidation>
    <dataValidation type="list" allowBlank="1" showInputMessage="1" showErrorMessage="1" sqref="I7:I1398" xr:uid="{FE3A8029-30A2-4CD8-9835-4CCC4F65C0F5}">
      <formula1>"0,1"</formula1>
    </dataValidation>
    <dataValidation type="list" allowBlank="1" showInputMessage="1" showErrorMessage="1" sqref="E59:E1261" xr:uid="{EC3DF340-FC38-45E9-86BA-741EF9948CF8}">
      <formula1>"yes, no"</formula1>
    </dataValidation>
    <dataValidation type="list" allowBlank="1" showInputMessage="1" showErrorMessage="1" sqref="D59:D1315" xr:uid="{9E3581C7-52F3-46A9-A5C2-C301AA542657}">
      <formula1>"2"",4"""</formula1>
    </dataValidation>
    <dataValidation type="custom" errorStyle="warning" allowBlank="1" showInputMessage="1" showErrorMessage="1" errorTitle="SP-" error="SP- IS MISSING" sqref="A59:A115" xr:uid="{0B222A22-E7E6-4F74-84D5-95965EC771D7}">
      <formula1>ISNUMBER(FIND("SP-",A59))</formula1>
    </dataValidation>
    <dataValidation type="list" allowBlank="1" showInputMessage="1" showErrorMessage="1" sqref="G59:G115" xr:uid="{D7C4A888-41BA-47AD-A609-1C3FE2DCE1DF}">
      <formula1>"0,1,2,3,4"</formula1>
    </dataValidation>
    <dataValidation type="list" allowBlank="1" showInputMessage="1" showErrorMessage="1" sqref="G136:H272" xr:uid="{DB423A3E-DDB1-44FC-A5C0-9F59127F4984}">
      <formula1>$CA$2:$CA$4</formula1>
    </dataValidation>
  </dataValidation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pageSetUpPr fitToPage="1"/>
  </sheetPr>
  <dimension ref="A1:K1514"/>
  <sheetViews>
    <sheetView zoomScale="80" zoomScaleNormal="80" workbookViewId="0">
      <pane ySplit="1" topLeftCell="A2" activePane="bottomLeft" state="frozen"/>
      <selection pane="bottomLeft" activeCell="H24" sqref="H24"/>
    </sheetView>
  </sheetViews>
  <sheetFormatPr defaultColWidth="9.140625" defaultRowHeight="15" x14ac:dyDescent="0.25"/>
  <cols>
    <col min="1" max="1" width="31.140625" style="192" customWidth="1"/>
    <col min="2" max="2" width="11.42578125" style="192" bestFit="1" customWidth="1"/>
    <col min="3" max="3" width="13.140625" style="192" bestFit="1" customWidth="1"/>
    <col min="4" max="4" width="15.7109375" style="192" bestFit="1" customWidth="1"/>
    <col min="5" max="5" width="14.42578125" style="192" customWidth="1"/>
    <col min="6" max="6" width="11.28515625" style="192" customWidth="1"/>
    <col min="7" max="7" width="11.7109375" style="192" customWidth="1"/>
    <col min="8" max="8" width="14.28515625" style="547" customWidth="1"/>
    <col min="9" max="9" width="26.5703125" style="558" customWidth="1"/>
  </cols>
  <sheetData>
    <row r="1" spans="1:11" ht="73.5" customHeight="1" thickTop="1" thickBot="1" x14ac:dyDescent="0.3">
      <c r="A1" s="544" t="s">
        <v>919</v>
      </c>
      <c r="B1" s="544" t="s">
        <v>920</v>
      </c>
      <c r="C1" s="544" t="s">
        <v>921</v>
      </c>
      <c r="D1" s="544" t="s">
        <v>922</v>
      </c>
      <c r="E1" s="544" t="s">
        <v>923</v>
      </c>
      <c r="F1" s="544" t="s">
        <v>924</v>
      </c>
      <c r="G1" s="544" t="s">
        <v>925</v>
      </c>
      <c r="H1" s="563" t="s">
        <v>926</v>
      </c>
      <c r="I1" s="563" t="s">
        <v>927</v>
      </c>
      <c r="J1" s="192" t="s">
        <v>928</v>
      </c>
      <c r="K1" s="192" t="s">
        <v>929</v>
      </c>
    </row>
    <row r="2" spans="1:11" ht="15.75" thickTop="1" x14ac:dyDescent="0.25">
      <c r="A2" s="109" t="s">
        <v>1153</v>
      </c>
      <c r="B2" s="109" t="s">
        <v>1279</v>
      </c>
      <c r="C2" s="109" t="s">
        <v>1093</v>
      </c>
      <c r="D2" s="109">
        <v>23836</v>
      </c>
      <c r="E2" s="109"/>
      <c r="F2" s="109" t="s">
        <v>1280</v>
      </c>
      <c r="G2" s="109" t="s">
        <v>1281</v>
      </c>
      <c r="H2" s="109" t="s">
        <v>1282</v>
      </c>
      <c r="I2" s="68"/>
      <c r="J2">
        <f>IF('House Count'!H2="Y",IF('House Count'!F2="RES-SFU",1,IF('House Count'!F2="RES-MDU",1,IF('House Count'!F2="RES-HOA",1,0))),0)</f>
        <v>1</v>
      </c>
      <c r="K2">
        <f>IF('House Count'!H2="Y",IF('House Count'!F2="COMM-SU",1,IF('House Count'!F2="COM-MTU",1,IF('House Count'!F2="ENT",1,0))),0)</f>
        <v>0</v>
      </c>
    </row>
    <row r="3" spans="1:11" x14ac:dyDescent="0.25">
      <c r="A3" s="109" t="s">
        <v>1160</v>
      </c>
      <c r="B3" s="109" t="s">
        <v>1279</v>
      </c>
      <c r="C3" s="109" t="s">
        <v>1093</v>
      </c>
      <c r="D3" s="109">
        <v>23836</v>
      </c>
      <c r="E3" s="109"/>
      <c r="F3" s="109" t="s">
        <v>1280</v>
      </c>
      <c r="G3" s="109" t="s">
        <v>1281</v>
      </c>
      <c r="H3" s="109" t="s">
        <v>1282</v>
      </c>
      <c r="I3" s="68"/>
      <c r="J3">
        <f>IF('House Count'!H3="Y",IF('House Count'!F3="RES-SFU",1,IF('House Count'!F3="RES-MDU",1,IF('House Count'!F3="RES-HOA",1,0))),0)</f>
        <v>1</v>
      </c>
      <c r="K3">
        <f>IF('House Count'!H3="Y",IF('House Count'!F3="COMM-SU",1,IF('House Count'!F3="COM-MTU",1,IF('House Count'!F3="ENT",1,0))),0)</f>
        <v>0</v>
      </c>
    </row>
    <row r="4" spans="1:11" x14ac:dyDescent="0.25">
      <c r="A4" s="109" t="s">
        <v>1176</v>
      </c>
      <c r="B4" s="109" t="s">
        <v>1279</v>
      </c>
      <c r="C4" s="109" t="s">
        <v>1093</v>
      </c>
      <c r="D4" s="109">
        <v>23836</v>
      </c>
      <c r="E4" s="109"/>
      <c r="F4" s="109" t="s">
        <v>1280</v>
      </c>
      <c r="G4" s="109" t="s">
        <v>1281</v>
      </c>
      <c r="H4" s="109" t="s">
        <v>1282</v>
      </c>
      <c r="I4" s="68"/>
      <c r="J4">
        <f>IF('House Count'!H4="Y",IF('House Count'!F4="RES-SFU",1,IF('House Count'!F4="RES-MDU",1,IF('House Count'!F4="RES-HOA",1,0))),0)</f>
        <v>1</v>
      </c>
      <c r="K4">
        <f>IF('House Count'!H4="Y",IF('House Count'!F4="COMM-SU",1,IF('House Count'!F4="COM-MTU",1,IF('House Count'!F4="ENT",1,0))),0)</f>
        <v>0</v>
      </c>
    </row>
    <row r="5" spans="1:11" x14ac:dyDescent="0.25">
      <c r="A5" s="109" t="s">
        <v>1188</v>
      </c>
      <c r="B5" s="109" t="s">
        <v>1279</v>
      </c>
      <c r="C5" s="109" t="s">
        <v>1093</v>
      </c>
      <c r="D5" s="109">
        <v>23836</v>
      </c>
      <c r="E5" s="109"/>
      <c r="F5" s="109" t="s">
        <v>1283</v>
      </c>
      <c r="G5" s="109" t="s">
        <v>1281</v>
      </c>
      <c r="H5" s="109" t="s">
        <v>1282</v>
      </c>
      <c r="I5" s="68"/>
      <c r="J5">
        <f>IF('House Count'!H5="Y",IF('House Count'!F5="RES-SFU",1,IF('House Count'!F5="RES-MDU",1,IF('House Count'!F5="RES-HOA",1,0))),0)</f>
        <v>0</v>
      </c>
      <c r="K5">
        <f>IF('House Count'!H5="Y",IF('House Count'!F5="COMM-SU",1,IF('House Count'!F5="COM-MTU",1,IF('House Count'!F5="ENT",1,0))),0)</f>
        <v>1</v>
      </c>
    </row>
    <row r="6" spans="1:11" x14ac:dyDescent="0.25">
      <c r="A6" s="109" t="s">
        <v>1194</v>
      </c>
      <c r="B6" s="109" t="s">
        <v>1279</v>
      </c>
      <c r="C6" s="109" t="s">
        <v>1093</v>
      </c>
      <c r="D6" s="109">
        <v>23836</v>
      </c>
      <c r="E6" s="109"/>
      <c r="F6" s="109" t="s">
        <v>1285</v>
      </c>
      <c r="G6" s="109" t="s">
        <v>1281</v>
      </c>
      <c r="H6" s="109" t="s">
        <v>1286</v>
      </c>
      <c r="I6" s="68"/>
      <c r="J6">
        <f>IF('House Count'!H6="Y",IF('House Count'!F6="RES-SFU",1,IF('House Count'!F6="RES-MDU",1,IF('House Count'!F6="RES-HOA",1,0))),0)</f>
        <v>0</v>
      </c>
      <c r="K6">
        <f>IF('House Count'!H6="Y",IF('House Count'!F6="COMM-SU",1,IF('House Count'!F6="COM-MTU",1,IF('House Count'!F6="ENT",1,0))),0)</f>
        <v>0</v>
      </c>
    </row>
    <row r="7" spans="1:11" x14ac:dyDescent="0.25">
      <c r="A7" s="109" t="s">
        <v>1103</v>
      </c>
      <c r="B7" s="109" t="s">
        <v>1279</v>
      </c>
      <c r="C7" s="109" t="s">
        <v>1093</v>
      </c>
      <c r="D7" s="109">
        <v>23836</v>
      </c>
      <c r="E7" s="109"/>
      <c r="F7" s="109" t="s">
        <v>1285</v>
      </c>
      <c r="G7" s="109" t="s">
        <v>1281</v>
      </c>
      <c r="H7" s="109" t="s">
        <v>1286</v>
      </c>
      <c r="I7" s="68"/>
      <c r="J7">
        <f>IF('House Count'!H7="Y",IF('House Count'!F7="RES-SFU",1,IF('House Count'!F7="RES-MDU",1,IF('House Count'!F7="RES-HOA",1,0))),0)</f>
        <v>0</v>
      </c>
      <c r="K7">
        <f>IF('House Count'!H7="Y",IF('House Count'!F7="COMM-SU",1,IF('House Count'!F7="COM-MTU",1,IF('House Count'!F7="ENT",1,0))),0)</f>
        <v>0</v>
      </c>
    </row>
    <row r="8" spans="1:11" x14ac:dyDescent="0.25">
      <c r="A8" s="109" t="s">
        <v>1206</v>
      </c>
      <c r="B8" s="109" t="s">
        <v>1279</v>
      </c>
      <c r="C8" s="109" t="s">
        <v>1093</v>
      </c>
      <c r="D8" s="109">
        <v>23836</v>
      </c>
      <c r="E8" s="109"/>
      <c r="F8" s="109" t="s">
        <v>1283</v>
      </c>
      <c r="G8" s="109" t="s">
        <v>1281</v>
      </c>
      <c r="H8" s="109" t="s">
        <v>1282</v>
      </c>
      <c r="I8" s="68"/>
      <c r="J8">
        <f>IF('House Count'!H8="Y",IF('House Count'!F8="RES-SFU",1,IF('House Count'!F8="RES-MDU",1,IF('House Count'!F8="RES-HOA",1,0))),0)</f>
        <v>0</v>
      </c>
      <c r="K8">
        <f>IF('House Count'!H8="Y",IF('House Count'!F8="COMM-SU",1,IF('House Count'!F8="COM-MTU",1,IF('House Count'!F8="ENT",1,0))),0)</f>
        <v>1</v>
      </c>
    </row>
    <row r="9" spans="1:11" x14ac:dyDescent="0.25">
      <c r="A9" s="109" t="s">
        <v>1212</v>
      </c>
      <c r="B9" s="109" t="s">
        <v>1279</v>
      </c>
      <c r="C9" s="109" t="s">
        <v>1093</v>
      </c>
      <c r="D9" s="109">
        <v>23836</v>
      </c>
      <c r="E9" s="109"/>
      <c r="F9" s="109" t="s">
        <v>1283</v>
      </c>
      <c r="G9" s="109" t="s">
        <v>1281</v>
      </c>
      <c r="H9" s="109" t="s">
        <v>1282</v>
      </c>
      <c r="I9" s="68"/>
      <c r="J9">
        <f>IF('House Count'!H9="Y",IF('House Count'!F9="RES-SFU",1,IF('House Count'!F9="RES-MDU",1,IF('House Count'!F9="RES-HOA",1,0))),0)</f>
        <v>0</v>
      </c>
      <c r="K9">
        <f>IF('House Count'!H9="Y",IF('House Count'!F9="COMM-SU",1,IF('House Count'!F9="COM-MTU",1,IF('House Count'!F9="ENT",1,0))),0)</f>
        <v>1</v>
      </c>
    </row>
    <row r="10" spans="1:11" x14ac:dyDescent="0.25">
      <c r="A10" s="109" t="s">
        <v>1230</v>
      </c>
      <c r="B10" s="109" t="s">
        <v>1279</v>
      </c>
      <c r="C10" s="109" t="s">
        <v>1093</v>
      </c>
      <c r="D10" s="109">
        <v>23836</v>
      </c>
      <c r="E10" s="109"/>
      <c r="F10" s="109" t="s">
        <v>1283</v>
      </c>
      <c r="G10" s="109" t="s">
        <v>1281</v>
      </c>
      <c r="H10" s="109" t="s">
        <v>1282</v>
      </c>
      <c r="I10" s="68"/>
      <c r="J10">
        <f>IF('House Count'!H10="Y",IF('House Count'!F10="RES-SFU",1,IF('House Count'!F10="RES-MDU",1,IF('House Count'!F10="RES-HOA",1,0))),0)</f>
        <v>0</v>
      </c>
      <c r="K10">
        <f>IF('House Count'!H10="Y",IF('House Count'!F10="COMM-SU",1,IF('House Count'!F10="COM-MTU",1,IF('House Count'!F10="ENT",1,0))),0)</f>
        <v>1</v>
      </c>
    </row>
    <row r="11" spans="1:11" x14ac:dyDescent="0.25">
      <c r="A11" s="109" t="s">
        <v>1237</v>
      </c>
      <c r="B11" s="109" t="s">
        <v>1279</v>
      </c>
      <c r="C11" s="109" t="s">
        <v>1093</v>
      </c>
      <c r="D11" s="109">
        <v>23836</v>
      </c>
      <c r="E11" s="109"/>
      <c r="F11" s="109" t="s">
        <v>1285</v>
      </c>
      <c r="G11" s="109" t="s">
        <v>1281</v>
      </c>
      <c r="H11" s="109" t="s">
        <v>1286</v>
      </c>
      <c r="I11" s="68"/>
      <c r="J11">
        <f>IF('House Count'!H11="Y",IF('House Count'!F11="RES-SFU",1,IF('House Count'!F11="RES-MDU",1,IF('House Count'!F11="RES-HOA",1,0))),0)</f>
        <v>0</v>
      </c>
      <c r="K11">
        <f>IF('House Count'!H11="Y",IF('House Count'!F11="COMM-SU",1,IF('House Count'!F11="COM-MTU",1,IF('House Count'!F11="ENT",1,0))),0)</f>
        <v>0</v>
      </c>
    </row>
    <row r="12" spans="1:11" x14ac:dyDescent="0.25">
      <c r="A12" s="109" t="s">
        <v>1115</v>
      </c>
      <c r="B12" s="109" t="s">
        <v>1279</v>
      </c>
      <c r="C12" s="109" t="s">
        <v>1093</v>
      </c>
      <c r="D12" s="109">
        <v>23836</v>
      </c>
      <c r="E12" s="109"/>
      <c r="F12" s="109" t="s">
        <v>1285</v>
      </c>
      <c r="G12" s="109" t="s">
        <v>1281</v>
      </c>
      <c r="H12" s="109" t="s">
        <v>1286</v>
      </c>
      <c r="I12" s="68"/>
      <c r="J12">
        <f>IF('House Count'!H12="Y",IF('House Count'!F12="RES-SFU",1,IF('House Count'!F12="RES-MDU",1,IF('House Count'!F12="RES-HOA",1,0))),0)</f>
        <v>0</v>
      </c>
      <c r="K12">
        <f>IF('House Count'!H12="Y",IF('House Count'!F12="COMM-SU",1,IF('House Count'!F12="COM-MTU",1,IF('House Count'!F12="ENT",1,0))),0)</f>
        <v>0</v>
      </c>
    </row>
    <row r="13" spans="1:11" ht="15.75" thickBot="1" x14ac:dyDescent="0.3">
      <c r="A13" s="545" t="s">
        <v>1102</v>
      </c>
      <c r="B13" s="545" t="s">
        <v>1279</v>
      </c>
      <c r="C13" s="545" t="s">
        <v>1093</v>
      </c>
      <c r="D13" s="545">
        <v>23836</v>
      </c>
      <c r="E13" s="545"/>
      <c r="F13" s="545" t="s">
        <v>1280</v>
      </c>
      <c r="G13" s="545" t="s">
        <v>1281</v>
      </c>
      <c r="H13" s="545" t="s">
        <v>1282</v>
      </c>
      <c r="I13" s="546"/>
      <c r="J13">
        <f>IF('House Count'!H13="Y",IF('House Count'!F13="RES-SFU",1,IF('House Count'!F13="RES-MDU",1,IF('House Count'!F13="RES-HOA",1,0))),0)</f>
        <v>1</v>
      </c>
      <c r="K13">
        <f>IF('House Count'!H13="Y",IF('House Count'!F13="COMM-SU",1,IF('House Count'!F13="COM-MTU",1,IF('House Count'!F13="ENT",1,0))),0)</f>
        <v>0</v>
      </c>
    </row>
    <row r="14" spans="1:11" ht="15.75" thickTop="1" x14ac:dyDescent="0.25">
      <c r="A14" s="109" t="s">
        <v>1161</v>
      </c>
      <c r="B14" s="109" t="s">
        <v>1279</v>
      </c>
      <c r="C14" s="109" t="s">
        <v>1093</v>
      </c>
      <c r="D14" s="109">
        <v>23836</v>
      </c>
      <c r="E14" s="109"/>
      <c r="F14" s="109" t="s">
        <v>1280</v>
      </c>
      <c r="G14" s="109" t="s">
        <v>1281</v>
      </c>
      <c r="H14" s="109" t="s">
        <v>1282</v>
      </c>
      <c r="I14" s="68"/>
      <c r="J14">
        <f>IF('House Count'!H14="Y",IF('House Count'!F14="RES-SFU",1,IF('House Count'!F14="RES-MDU",1,IF('House Count'!F14="RES-HOA",1,0))),0)</f>
        <v>1</v>
      </c>
      <c r="K14">
        <f>IF('House Count'!H14="Y",IF('House Count'!F14="COMM-SU",1,IF('House Count'!F14="COM-MTU",1,IF('House Count'!F14="ENT",1,0))),0)</f>
        <v>0</v>
      </c>
    </row>
    <row r="15" spans="1:11" x14ac:dyDescent="0.25">
      <c r="A15" s="109" t="s">
        <v>1177</v>
      </c>
      <c r="B15" s="109" t="s">
        <v>1279</v>
      </c>
      <c r="C15" s="109" t="s">
        <v>1093</v>
      </c>
      <c r="D15" s="109">
        <v>23836</v>
      </c>
      <c r="E15" s="109"/>
      <c r="F15" s="109" t="s">
        <v>1283</v>
      </c>
      <c r="G15" s="109" t="s">
        <v>1281</v>
      </c>
      <c r="H15" s="109" t="s">
        <v>1282</v>
      </c>
      <c r="I15" s="68"/>
      <c r="J15">
        <f>IF('House Count'!H15="Y",IF('House Count'!F15="RES-SFU",1,IF('House Count'!F15="RES-MDU",1,IF('House Count'!F15="RES-HOA",1,0))),0)</f>
        <v>0</v>
      </c>
      <c r="K15">
        <f>IF('House Count'!H15="Y",IF('House Count'!F15="COMM-SU",1,IF('House Count'!F15="COM-MTU",1,IF('House Count'!F15="ENT",1,0))),0)</f>
        <v>1</v>
      </c>
    </row>
    <row r="16" spans="1:11" x14ac:dyDescent="0.25">
      <c r="A16" s="109" t="s">
        <v>1189</v>
      </c>
      <c r="B16" s="109" t="s">
        <v>1279</v>
      </c>
      <c r="C16" s="109" t="s">
        <v>1093</v>
      </c>
      <c r="D16" s="109">
        <v>23836</v>
      </c>
      <c r="E16" s="109"/>
      <c r="F16" s="109" t="s">
        <v>1285</v>
      </c>
      <c r="G16" s="109" t="s">
        <v>1281</v>
      </c>
      <c r="H16" s="109" t="s">
        <v>1286</v>
      </c>
      <c r="I16" s="68"/>
      <c r="J16">
        <f>IF('House Count'!H16="Y",IF('House Count'!F16="RES-SFU",1,IF('House Count'!F16="RES-MDU",1,IF('House Count'!F16="RES-HOA",1,0))),0)</f>
        <v>0</v>
      </c>
      <c r="K16">
        <f>IF('House Count'!H16="Y",IF('House Count'!F16="COMM-SU",1,IF('House Count'!F16="COM-MTU",1,IF('House Count'!F16="ENT",1,0))),0)</f>
        <v>0</v>
      </c>
    </row>
    <row r="17" spans="1:11" x14ac:dyDescent="0.25">
      <c r="A17" s="109" t="s">
        <v>1195</v>
      </c>
      <c r="B17" s="109" t="s">
        <v>1279</v>
      </c>
      <c r="C17" s="109" t="s">
        <v>1093</v>
      </c>
      <c r="D17" s="109">
        <v>23836</v>
      </c>
      <c r="E17" s="109"/>
      <c r="F17" s="109" t="s">
        <v>1285</v>
      </c>
      <c r="G17" s="109" t="s">
        <v>1281</v>
      </c>
      <c r="H17" s="109" t="s">
        <v>1286</v>
      </c>
      <c r="I17" s="68"/>
      <c r="J17">
        <f>IF('House Count'!H17="Y",IF('House Count'!F17="RES-SFU",1,IF('House Count'!F17="RES-MDU",1,IF('House Count'!F17="RES-HOA",1,0))),0)</f>
        <v>0</v>
      </c>
      <c r="K17">
        <f>IF('House Count'!H17="Y",IF('House Count'!F17="COMM-SU",1,IF('House Count'!F17="COM-MTU",1,IF('House Count'!F17="ENT",1,0))),0)</f>
        <v>0</v>
      </c>
    </row>
    <row r="18" spans="1:11" x14ac:dyDescent="0.25">
      <c r="A18" s="109" t="s">
        <v>1200</v>
      </c>
      <c r="B18" s="109" t="s">
        <v>1279</v>
      </c>
      <c r="C18" s="109" t="s">
        <v>1093</v>
      </c>
      <c r="D18" s="109">
        <v>23836</v>
      </c>
      <c r="E18" s="109"/>
      <c r="F18" s="109" t="s">
        <v>1285</v>
      </c>
      <c r="G18" s="109" t="s">
        <v>1281</v>
      </c>
      <c r="H18" s="109" t="s">
        <v>1286</v>
      </c>
      <c r="I18" s="68"/>
      <c r="J18">
        <f>IF('House Count'!H18="Y",IF('House Count'!F18="RES-SFU",1,IF('House Count'!F18="RES-MDU",1,IF('House Count'!F18="RES-HOA",1,0))),0)</f>
        <v>0</v>
      </c>
      <c r="K18">
        <f>IF('House Count'!H18="Y",IF('House Count'!F18="COMM-SU",1,IF('House Count'!F18="COM-MTU",1,IF('House Count'!F18="ENT",1,0))),0)</f>
        <v>0</v>
      </c>
    </row>
    <row r="19" spans="1:11" x14ac:dyDescent="0.25">
      <c r="A19" s="109" t="s">
        <v>1207</v>
      </c>
      <c r="B19" s="109" t="s">
        <v>1279</v>
      </c>
      <c r="C19" s="109" t="s">
        <v>1093</v>
      </c>
      <c r="D19" s="109">
        <v>23836</v>
      </c>
      <c r="E19" s="109"/>
      <c r="F19" s="109" t="s">
        <v>1283</v>
      </c>
      <c r="G19" s="109" t="s">
        <v>1281</v>
      </c>
      <c r="H19" s="109" t="s">
        <v>1282</v>
      </c>
      <c r="I19" s="68"/>
      <c r="J19">
        <f>IF('House Count'!H19="Y",IF('House Count'!F19="RES-SFU",1,IF('House Count'!F19="RES-MDU",1,IF('House Count'!F19="RES-HOA",1,0))),0)</f>
        <v>0</v>
      </c>
      <c r="K19">
        <f>IF('House Count'!H19="Y",IF('House Count'!F19="COMM-SU",1,IF('House Count'!F19="COM-MTU",1,IF('House Count'!F19="ENT",1,0))),0)</f>
        <v>1</v>
      </c>
    </row>
    <row r="20" spans="1:11" x14ac:dyDescent="0.25">
      <c r="A20" s="109" t="s">
        <v>1213</v>
      </c>
      <c r="B20" s="109" t="s">
        <v>1279</v>
      </c>
      <c r="C20" s="109" t="s">
        <v>1093</v>
      </c>
      <c r="D20" s="109">
        <v>23836</v>
      </c>
      <c r="E20" s="109"/>
      <c r="F20" s="109" t="s">
        <v>1283</v>
      </c>
      <c r="G20" s="109" t="s">
        <v>1281</v>
      </c>
      <c r="H20" s="109" t="s">
        <v>1282</v>
      </c>
      <c r="I20" s="68"/>
      <c r="J20">
        <f>IF('House Count'!H20="Y",IF('House Count'!F20="RES-SFU",1,IF('House Count'!F20="RES-MDU",1,IF('House Count'!F20="RES-HOA",1,0))),0)</f>
        <v>0</v>
      </c>
      <c r="K20">
        <f>IF('House Count'!H20="Y",IF('House Count'!F20="COMM-SU",1,IF('House Count'!F20="COM-MTU",1,IF('House Count'!F20="ENT",1,0))),0)</f>
        <v>1</v>
      </c>
    </row>
    <row r="21" spans="1:11" x14ac:dyDescent="0.25">
      <c r="A21" s="109" t="s">
        <v>1224</v>
      </c>
      <c r="B21" s="109" t="s">
        <v>1279</v>
      </c>
      <c r="C21" s="109" t="s">
        <v>1093</v>
      </c>
      <c r="D21" s="109">
        <v>23836</v>
      </c>
      <c r="E21" s="109"/>
      <c r="F21" s="109" t="s">
        <v>1285</v>
      </c>
      <c r="G21" s="109" t="s">
        <v>1281</v>
      </c>
      <c r="H21" s="109" t="s">
        <v>1286</v>
      </c>
      <c r="I21" s="68"/>
      <c r="J21">
        <f>IF('House Count'!H21="Y",IF('House Count'!F21="RES-SFU",1,IF('House Count'!F21="RES-MDU",1,IF('House Count'!F21="RES-HOA",1,0))),0)</f>
        <v>0</v>
      </c>
      <c r="K21">
        <f>IF('House Count'!H21="Y",IF('House Count'!F21="COMM-SU",1,IF('House Count'!F21="COM-MTU",1,IF('House Count'!F21="ENT",1,0))),0)</f>
        <v>0</v>
      </c>
    </row>
    <row r="22" spans="1:11" x14ac:dyDescent="0.25">
      <c r="A22" s="109" t="s">
        <v>1231</v>
      </c>
      <c r="B22" s="109" t="s">
        <v>1279</v>
      </c>
      <c r="C22" s="109" t="s">
        <v>1093</v>
      </c>
      <c r="D22" s="109">
        <v>23836</v>
      </c>
      <c r="E22" s="109"/>
      <c r="F22" s="109" t="s">
        <v>1285</v>
      </c>
      <c r="G22" s="109" t="s">
        <v>1281</v>
      </c>
      <c r="H22" s="109" t="s">
        <v>1286</v>
      </c>
      <c r="I22" s="68"/>
      <c r="J22">
        <f>IF('House Count'!H22="Y",IF('House Count'!F22="RES-SFU",1,IF('House Count'!F22="RES-MDU",1,IF('House Count'!F22="RES-HOA",1,0))),0)</f>
        <v>0</v>
      </c>
      <c r="K22">
        <f>IF('House Count'!H22="Y",IF('House Count'!F22="COMM-SU",1,IF('House Count'!F22="COM-MTU",1,IF('House Count'!F22="ENT",1,0))),0)</f>
        <v>0</v>
      </c>
    </row>
    <row r="23" spans="1:11" x14ac:dyDescent="0.25">
      <c r="A23" s="109" t="s">
        <v>1238</v>
      </c>
      <c r="B23" s="109" t="s">
        <v>1279</v>
      </c>
      <c r="C23" s="109" t="s">
        <v>1093</v>
      </c>
      <c r="D23" s="109">
        <v>23836</v>
      </c>
      <c r="E23" s="109"/>
      <c r="F23" s="109" t="s">
        <v>1285</v>
      </c>
      <c r="G23" s="109" t="s">
        <v>1281</v>
      </c>
      <c r="H23" s="109" t="s">
        <v>1286</v>
      </c>
      <c r="I23" s="68"/>
      <c r="J23">
        <f>IF('House Count'!H23="Y",IF('House Count'!F23="RES-SFU",1,IF('House Count'!F23="RES-MDU",1,IF('House Count'!F23="RES-HOA",1,0))),0)</f>
        <v>0</v>
      </c>
      <c r="K23">
        <f>IF('House Count'!H23="Y",IF('House Count'!F23="COMM-SU",1,IF('House Count'!F23="COM-MTU",1,IF('House Count'!F23="ENT",1,0))),0)</f>
        <v>0</v>
      </c>
    </row>
    <row r="24" spans="1:11" x14ac:dyDescent="0.25">
      <c r="A24" s="109" t="s">
        <v>1244</v>
      </c>
      <c r="B24" s="109" t="s">
        <v>1279</v>
      </c>
      <c r="C24" s="109" t="s">
        <v>1093</v>
      </c>
      <c r="D24" s="109">
        <v>23836</v>
      </c>
      <c r="E24" s="109"/>
      <c r="F24" s="109" t="s">
        <v>1280</v>
      </c>
      <c r="G24" s="109" t="s">
        <v>1281</v>
      </c>
      <c r="H24" s="109" t="s">
        <v>1282</v>
      </c>
      <c r="I24" s="68"/>
      <c r="J24">
        <f>IF('House Count'!H24="Y",IF('House Count'!F24="RES-SFU",1,IF('House Count'!F24="RES-MDU",1,IF('House Count'!F24="RES-HOA",1,0))),0)</f>
        <v>1</v>
      </c>
      <c r="K24">
        <f>IF('House Count'!H24="Y",IF('House Count'!F24="COMM-SU",1,IF('House Count'!F24="COM-MTU",1,IF('House Count'!F24="ENT",1,0))),0)</f>
        <v>0</v>
      </c>
    </row>
    <row r="25" spans="1:11" ht="15.75" thickBot="1" x14ac:dyDescent="0.3">
      <c r="A25" s="545" t="s">
        <v>1250</v>
      </c>
      <c r="B25" s="545" t="s">
        <v>1279</v>
      </c>
      <c r="C25" s="545" t="s">
        <v>1093</v>
      </c>
      <c r="D25" s="545">
        <v>23836</v>
      </c>
      <c r="E25" s="545"/>
      <c r="F25" s="545" t="s">
        <v>1283</v>
      </c>
      <c r="G25" s="545" t="s">
        <v>1281</v>
      </c>
      <c r="H25" s="545" t="s">
        <v>1282</v>
      </c>
      <c r="I25" s="546"/>
      <c r="J25">
        <f>IF('House Count'!H25="Y",IF('House Count'!F25="RES-SFU",1,IF('House Count'!F25="RES-MDU",1,IF('House Count'!F25="RES-HOA",1,0))),0)</f>
        <v>0</v>
      </c>
      <c r="K25">
        <f>IF('House Count'!H25="Y",IF('House Count'!F25="COMM-SU",1,IF('House Count'!F25="COM-MTU",1,IF('House Count'!F25="ENT",1,0))),0)</f>
        <v>1</v>
      </c>
    </row>
    <row r="26" spans="1:11" ht="15.75" thickTop="1" x14ac:dyDescent="0.25">
      <c r="A26" s="109" t="s">
        <v>1116</v>
      </c>
      <c r="B26" s="109" t="s">
        <v>1279</v>
      </c>
      <c r="C26" s="109" t="s">
        <v>1093</v>
      </c>
      <c r="D26" s="109">
        <v>23836</v>
      </c>
      <c r="E26" s="109"/>
      <c r="F26" s="109" t="s">
        <v>1283</v>
      </c>
      <c r="G26" s="109" t="s">
        <v>1281</v>
      </c>
      <c r="H26" s="109" t="s">
        <v>1282</v>
      </c>
      <c r="I26" s="68"/>
      <c r="J26">
        <f>IF('House Count'!H26="Y",IF('House Count'!F26="RES-SFU",1,IF('House Count'!F26="RES-MDU",1,IF('House Count'!F26="RES-HOA",1,0))),0)</f>
        <v>0</v>
      </c>
      <c r="K26">
        <f>IF('House Count'!H26="Y",IF('House Count'!F26="COMM-SU",1,IF('House Count'!F26="COM-MTU",1,IF('House Count'!F26="ENT",1,0))),0)</f>
        <v>1</v>
      </c>
    </row>
    <row r="27" spans="1:11" x14ac:dyDescent="0.25">
      <c r="A27" s="109" t="s">
        <v>1126</v>
      </c>
      <c r="B27" s="109" t="s">
        <v>1279</v>
      </c>
      <c r="C27" s="109" t="s">
        <v>1093</v>
      </c>
      <c r="D27" s="109">
        <v>23836</v>
      </c>
      <c r="E27" s="109"/>
      <c r="F27" s="109" t="s">
        <v>1285</v>
      </c>
      <c r="G27" s="109" t="s">
        <v>1281</v>
      </c>
      <c r="H27" s="109" t="s">
        <v>1286</v>
      </c>
      <c r="I27" s="68"/>
      <c r="J27">
        <f>IF('House Count'!H27="Y",IF('House Count'!F27="RES-SFU",1,IF('House Count'!F27="RES-MDU",1,IF('House Count'!F27="RES-HOA",1,0))),0)</f>
        <v>0</v>
      </c>
      <c r="K27">
        <f>IF('House Count'!H27="Y",IF('House Count'!F27="COMM-SU",1,IF('House Count'!F27="COM-MTU",1,IF('House Count'!F27="ENT",1,0))),0)</f>
        <v>0</v>
      </c>
    </row>
    <row r="28" spans="1:11" x14ac:dyDescent="0.25">
      <c r="A28" s="109" t="s">
        <v>1132</v>
      </c>
      <c r="B28" s="109" t="s">
        <v>1279</v>
      </c>
      <c r="C28" s="109" t="s">
        <v>1093</v>
      </c>
      <c r="D28" s="109">
        <v>23836</v>
      </c>
      <c r="E28" s="109"/>
      <c r="F28" s="109" t="s">
        <v>1283</v>
      </c>
      <c r="G28" s="109" t="s">
        <v>1281</v>
      </c>
      <c r="H28" s="109" t="s">
        <v>1282</v>
      </c>
      <c r="I28" s="68"/>
      <c r="J28">
        <f>IF('House Count'!H28="Y",IF('House Count'!F28="RES-SFU",1,IF('House Count'!F28="RES-MDU",1,IF('House Count'!F28="RES-HOA",1,0))),0)</f>
        <v>0</v>
      </c>
      <c r="K28">
        <f>IF('House Count'!H28="Y",IF('House Count'!F28="COMM-SU",1,IF('House Count'!F28="COM-MTU",1,IF('House Count'!F28="ENT",1,0))),0)</f>
        <v>1</v>
      </c>
    </row>
    <row r="29" spans="1:11" x14ac:dyDescent="0.25">
      <c r="A29" s="109" t="s">
        <v>1137</v>
      </c>
      <c r="B29" s="109" t="s">
        <v>1279</v>
      </c>
      <c r="C29" s="109" t="s">
        <v>1093</v>
      </c>
      <c r="D29" s="109">
        <v>23836</v>
      </c>
      <c r="E29" s="109"/>
      <c r="F29" s="109" t="s">
        <v>1285</v>
      </c>
      <c r="G29" s="109" t="s">
        <v>1281</v>
      </c>
      <c r="H29" s="109" t="s">
        <v>1286</v>
      </c>
      <c r="I29" s="68"/>
      <c r="J29">
        <f>IF('House Count'!H29="Y",IF('House Count'!F29="RES-SFU",1,IF('House Count'!F29="RES-MDU",1,IF('House Count'!F29="RES-HOA",1,0))),0)</f>
        <v>0</v>
      </c>
      <c r="K29">
        <f>IF('House Count'!H29="Y",IF('House Count'!F29="COMM-SU",1,IF('House Count'!F29="COM-MTU",1,IF('House Count'!F29="ENT",1,0))),0)</f>
        <v>0</v>
      </c>
    </row>
    <row r="30" spans="1:11" x14ac:dyDescent="0.25">
      <c r="A30" s="109" t="s">
        <v>1143</v>
      </c>
      <c r="B30" s="109" t="s">
        <v>1279</v>
      </c>
      <c r="C30" s="109" t="s">
        <v>1093</v>
      </c>
      <c r="D30" s="109">
        <v>23836</v>
      </c>
      <c r="E30" s="109"/>
      <c r="F30" s="109" t="s">
        <v>1285</v>
      </c>
      <c r="G30" s="109" t="s">
        <v>1281</v>
      </c>
      <c r="H30" s="109" t="s">
        <v>1286</v>
      </c>
      <c r="I30" s="68"/>
      <c r="J30">
        <f>IF('House Count'!H30="Y",IF('House Count'!F30="RES-SFU",1,IF('House Count'!F30="RES-MDU",1,IF('House Count'!F30="RES-HOA",1,0))),0)</f>
        <v>0</v>
      </c>
      <c r="K30">
        <f>IF('House Count'!H30="Y",IF('House Count'!F30="COMM-SU",1,IF('House Count'!F30="COM-MTU",1,IF('House Count'!F30="ENT",1,0))),0)</f>
        <v>0</v>
      </c>
    </row>
    <row r="31" spans="1:11" x14ac:dyDescent="0.25">
      <c r="A31" s="109" t="s">
        <v>1154</v>
      </c>
      <c r="B31" s="109" t="s">
        <v>1279</v>
      </c>
      <c r="C31" s="109" t="s">
        <v>1093</v>
      </c>
      <c r="D31" s="109">
        <v>23836</v>
      </c>
      <c r="E31" s="109"/>
      <c r="F31" s="109" t="s">
        <v>1280</v>
      </c>
      <c r="G31" s="109" t="s">
        <v>1281</v>
      </c>
      <c r="H31" s="109" t="s">
        <v>1282</v>
      </c>
      <c r="I31" s="68"/>
      <c r="J31">
        <f>IF('House Count'!H31="Y",IF('House Count'!F31="RES-SFU",1,IF('House Count'!F31="RES-MDU",1,IF('House Count'!F31="RES-HOA",1,0))),0)</f>
        <v>1</v>
      </c>
      <c r="K31">
        <f>IF('House Count'!H31="Y",IF('House Count'!F31="COMM-SU",1,IF('House Count'!F31="COM-MTU",1,IF('House Count'!F31="ENT",1,0))),0)</f>
        <v>0</v>
      </c>
    </row>
    <row r="32" spans="1:11" x14ac:dyDescent="0.25">
      <c r="A32" s="109" t="s">
        <v>1108</v>
      </c>
      <c r="B32" s="109" t="s">
        <v>1279</v>
      </c>
      <c r="C32" s="109" t="s">
        <v>1093</v>
      </c>
      <c r="D32" s="109">
        <v>23836</v>
      </c>
      <c r="E32" s="109"/>
      <c r="F32" s="109" t="s">
        <v>1285</v>
      </c>
      <c r="G32" s="109" t="s">
        <v>1281</v>
      </c>
      <c r="H32" s="109" t="s">
        <v>1286</v>
      </c>
      <c r="I32" s="68"/>
      <c r="J32">
        <f>IF('House Count'!H32="Y",IF('House Count'!F32="RES-SFU",1,IF('House Count'!F32="RES-MDU",1,IF('House Count'!F32="RES-HOA",1,0))),0)</f>
        <v>0</v>
      </c>
      <c r="K32">
        <f>IF('House Count'!H32="Y",IF('House Count'!F32="COMM-SU",1,IF('House Count'!F32="COM-MTU",1,IF('House Count'!F32="ENT",1,0))),0)</f>
        <v>0</v>
      </c>
    </row>
    <row r="33" spans="1:11" x14ac:dyDescent="0.25">
      <c r="A33" s="109" t="s">
        <v>1166</v>
      </c>
      <c r="B33" s="109" t="s">
        <v>1279</v>
      </c>
      <c r="C33" s="109" t="s">
        <v>1093</v>
      </c>
      <c r="D33" s="109">
        <v>23836</v>
      </c>
      <c r="E33" s="109"/>
      <c r="F33" s="109" t="s">
        <v>1283</v>
      </c>
      <c r="G33" s="109" t="s">
        <v>1281</v>
      </c>
      <c r="H33" s="109" t="s">
        <v>1282</v>
      </c>
      <c r="I33" s="68"/>
      <c r="J33">
        <f>IF('House Count'!H33="Y",IF('House Count'!F33="RES-SFU",1,IF('House Count'!F33="RES-MDU",1,IF('House Count'!F33="RES-HOA",1,0))),0)</f>
        <v>0</v>
      </c>
      <c r="K33">
        <f>IF('House Count'!H33="Y",IF('House Count'!F33="COMM-SU",1,IF('House Count'!F33="COM-MTU",1,IF('House Count'!F33="ENT",1,0))),0)</f>
        <v>1</v>
      </c>
    </row>
    <row r="34" spans="1:11" x14ac:dyDescent="0.25">
      <c r="A34" s="109" t="s">
        <v>1171</v>
      </c>
      <c r="B34" s="109" t="s">
        <v>1279</v>
      </c>
      <c r="C34" s="109" t="s">
        <v>1093</v>
      </c>
      <c r="D34" s="109">
        <v>23836</v>
      </c>
      <c r="E34" s="109"/>
      <c r="F34" s="109" t="s">
        <v>1283</v>
      </c>
      <c r="G34" s="109" t="s">
        <v>1281</v>
      </c>
      <c r="H34" s="109" t="s">
        <v>1282</v>
      </c>
      <c r="I34" s="68"/>
      <c r="J34">
        <f>IF('House Count'!H34="Y",IF('House Count'!F34="RES-SFU",1,IF('House Count'!F34="RES-MDU",1,IF('House Count'!F34="RES-HOA",1,0))),0)</f>
        <v>0</v>
      </c>
      <c r="K34">
        <f>IF('House Count'!H34="Y",IF('House Count'!F34="COMM-SU",1,IF('House Count'!F34="COM-MTU",1,IF('House Count'!F34="ENT",1,0))),0)</f>
        <v>1</v>
      </c>
    </row>
    <row r="35" spans="1:11" x14ac:dyDescent="0.25">
      <c r="A35" s="109" t="s">
        <v>1178</v>
      </c>
      <c r="B35" s="109" t="s">
        <v>1279</v>
      </c>
      <c r="C35" s="109" t="s">
        <v>1093</v>
      </c>
      <c r="D35" s="109">
        <v>23836</v>
      </c>
      <c r="E35" s="109"/>
      <c r="F35" s="109" t="s">
        <v>1280</v>
      </c>
      <c r="G35" s="109" t="s">
        <v>1281</v>
      </c>
      <c r="H35" s="109" t="s">
        <v>1282</v>
      </c>
      <c r="I35" s="68"/>
      <c r="J35">
        <f>IF('House Count'!H35="Y",IF('House Count'!F35="RES-SFU",1,IF('House Count'!F35="RES-MDU",1,IF('House Count'!F35="RES-HOA",1,0))),0)</f>
        <v>1</v>
      </c>
      <c r="K35">
        <f>IF('House Count'!H35="Y",IF('House Count'!F35="COMM-SU",1,IF('House Count'!F35="COM-MTU",1,IF('House Count'!F35="ENT",1,0))),0)</f>
        <v>0</v>
      </c>
    </row>
    <row r="36" spans="1:11" x14ac:dyDescent="0.25">
      <c r="A36" s="109" t="s">
        <v>1183</v>
      </c>
      <c r="B36" s="109" t="s">
        <v>1279</v>
      </c>
      <c r="C36" s="109" t="s">
        <v>1093</v>
      </c>
      <c r="D36" s="109">
        <v>23836</v>
      </c>
      <c r="E36" s="109"/>
      <c r="F36" s="109" t="s">
        <v>1285</v>
      </c>
      <c r="G36" s="109" t="s">
        <v>1281</v>
      </c>
      <c r="H36" s="109" t="s">
        <v>1286</v>
      </c>
      <c r="I36" s="68"/>
      <c r="J36">
        <f>IF('House Count'!H36="Y",IF('House Count'!F36="RES-SFU",1,IF('House Count'!F36="RES-MDU",1,IF('House Count'!F36="RES-HOA",1,0))),0)</f>
        <v>0</v>
      </c>
      <c r="K36">
        <f>IF('House Count'!H36="Y",IF('House Count'!F36="COMM-SU",1,IF('House Count'!F36="COM-MTU",1,IF('House Count'!F36="ENT",1,0))),0)</f>
        <v>0</v>
      </c>
    </row>
    <row r="37" spans="1:11" ht="15.75" thickBot="1" x14ac:dyDescent="0.3">
      <c r="A37" s="545" t="s">
        <v>1190</v>
      </c>
      <c r="B37" s="545" t="s">
        <v>1279</v>
      </c>
      <c r="C37" s="545" t="s">
        <v>1093</v>
      </c>
      <c r="D37" s="545">
        <v>23836</v>
      </c>
      <c r="E37" s="545"/>
      <c r="F37" s="545" t="s">
        <v>1285</v>
      </c>
      <c r="G37" s="545" t="s">
        <v>1281</v>
      </c>
      <c r="H37" s="545" t="s">
        <v>1286</v>
      </c>
      <c r="I37" s="546"/>
      <c r="J37">
        <f>IF('House Count'!H37="Y",IF('House Count'!F37="RES-SFU",1,IF('House Count'!F37="RES-MDU",1,IF('House Count'!F37="RES-HOA",1,0))),0)</f>
        <v>0</v>
      </c>
      <c r="K37">
        <f>IF('House Count'!H37="Y",IF('House Count'!F37="COMM-SU",1,IF('House Count'!F37="COM-MTU",1,IF('House Count'!F37="ENT",1,0))),0)</f>
        <v>0</v>
      </c>
    </row>
    <row r="38" spans="1:11" ht="15.75" thickTop="1" x14ac:dyDescent="0.25">
      <c r="A38" s="109" t="s">
        <v>1196</v>
      </c>
      <c r="B38" s="109" t="s">
        <v>1279</v>
      </c>
      <c r="C38" s="109" t="s">
        <v>1093</v>
      </c>
      <c r="D38" s="109">
        <v>23836</v>
      </c>
      <c r="E38" s="109"/>
      <c r="F38" s="109" t="s">
        <v>1280</v>
      </c>
      <c r="G38" s="109" t="s">
        <v>1281</v>
      </c>
      <c r="H38" s="109" t="s">
        <v>1282</v>
      </c>
      <c r="I38" s="68"/>
      <c r="J38">
        <f>IF('House Count'!H38="Y",IF('House Count'!F38="RES-SFU",1,IF('House Count'!F38="RES-MDU",1,IF('House Count'!F38="RES-HOA",1,0))),0)</f>
        <v>1</v>
      </c>
      <c r="K38">
        <f>IF('House Count'!H38="Y",IF('House Count'!F38="COMM-SU",1,IF('House Count'!F38="COM-MTU",1,IF('House Count'!F38="ENT",1,0))),0)</f>
        <v>0</v>
      </c>
    </row>
    <row r="39" spans="1:11" x14ac:dyDescent="0.25">
      <c r="A39" s="109" t="s">
        <v>1109</v>
      </c>
      <c r="B39" s="109" t="s">
        <v>1279</v>
      </c>
      <c r="C39" s="109" t="s">
        <v>1093</v>
      </c>
      <c r="D39" s="109">
        <v>23836</v>
      </c>
      <c r="E39" s="109"/>
      <c r="F39" s="109" t="s">
        <v>1283</v>
      </c>
      <c r="G39" s="109" t="s">
        <v>1281</v>
      </c>
      <c r="H39" s="109" t="s">
        <v>1282</v>
      </c>
      <c r="I39" s="68"/>
      <c r="J39">
        <f>IF('House Count'!H39="Y",IF('House Count'!F39="RES-SFU",1,IF('House Count'!F39="RES-MDU",1,IF('House Count'!F39="RES-HOA",1,0))),0)</f>
        <v>0</v>
      </c>
      <c r="K39">
        <f>IF('House Count'!H39="Y",IF('House Count'!F39="COMM-SU",1,IF('House Count'!F39="COM-MTU",1,IF('House Count'!F39="ENT",1,0))),0)</f>
        <v>1</v>
      </c>
    </row>
    <row r="40" spans="1:11" x14ac:dyDescent="0.25">
      <c r="A40" s="109" t="s">
        <v>1107</v>
      </c>
      <c r="B40" s="109" t="s">
        <v>1279</v>
      </c>
      <c r="C40" s="109" t="s">
        <v>1093</v>
      </c>
      <c r="D40" s="109">
        <v>23836</v>
      </c>
      <c r="E40" s="109"/>
      <c r="F40" s="109" t="s">
        <v>1283</v>
      </c>
      <c r="G40" s="109" t="s">
        <v>1281</v>
      </c>
      <c r="H40" s="109" t="s">
        <v>1282</v>
      </c>
      <c r="I40" s="68"/>
      <c r="J40">
        <f>IF('House Count'!H40="Y",IF('House Count'!F40="RES-SFU",1,IF('House Count'!F40="RES-MDU",1,IF('House Count'!F40="RES-HOA",1,0))),0)</f>
        <v>0</v>
      </c>
      <c r="K40">
        <f>IF('House Count'!H40="Y",IF('House Count'!F40="COMM-SU",1,IF('House Count'!F40="COM-MTU",1,IF('House Count'!F40="ENT",1,0))),0)</f>
        <v>1</v>
      </c>
    </row>
    <row r="41" spans="1:11" x14ac:dyDescent="0.25">
      <c r="A41" s="109" t="s">
        <v>1214</v>
      </c>
      <c r="B41" s="109" t="s">
        <v>1279</v>
      </c>
      <c r="C41" s="109" t="s">
        <v>1093</v>
      </c>
      <c r="D41" s="109">
        <v>23836</v>
      </c>
      <c r="E41" s="109"/>
      <c r="F41" s="109" t="s">
        <v>1280</v>
      </c>
      <c r="G41" s="109" t="s">
        <v>1281</v>
      </c>
      <c r="H41" s="109" t="s">
        <v>1282</v>
      </c>
      <c r="I41" s="68"/>
      <c r="J41">
        <f>IF('House Count'!H41="Y",IF('House Count'!F41="RES-SFU",1,IF('House Count'!F41="RES-MDU",1,IF('House Count'!F41="RES-HOA",1,0))),0)</f>
        <v>1</v>
      </c>
      <c r="K41">
        <f>IF('House Count'!H41="Y",IF('House Count'!F41="COMM-SU",1,IF('House Count'!F41="COM-MTU",1,IF('House Count'!F41="ENT",1,0))),0)</f>
        <v>0</v>
      </c>
    </row>
    <row r="42" spans="1:11" x14ac:dyDescent="0.25">
      <c r="A42" s="109" t="s">
        <v>1219</v>
      </c>
      <c r="B42" s="109" t="s">
        <v>1279</v>
      </c>
      <c r="C42" s="109" t="s">
        <v>1093</v>
      </c>
      <c r="D42" s="109">
        <v>23836</v>
      </c>
      <c r="E42" s="109"/>
      <c r="F42" s="109" t="s">
        <v>1280</v>
      </c>
      <c r="G42" s="109" t="s">
        <v>1281</v>
      </c>
      <c r="H42" s="109" t="s">
        <v>1282</v>
      </c>
      <c r="I42" s="68"/>
      <c r="J42">
        <f>IF('House Count'!H42="Y",IF('House Count'!F42="RES-SFU",1,IF('House Count'!F42="RES-MDU",1,IF('House Count'!F42="RES-HOA",1,0))),0)</f>
        <v>1</v>
      </c>
      <c r="K42">
        <f>IF('House Count'!H42="Y",IF('House Count'!F42="COMM-SU",1,IF('House Count'!F42="COM-MTU",1,IF('House Count'!F42="ENT",1,0))),0)</f>
        <v>0</v>
      </c>
    </row>
    <row r="43" spans="1:11" x14ac:dyDescent="0.25">
      <c r="A43" s="109" t="s">
        <v>1225</v>
      </c>
      <c r="B43" s="109" t="s">
        <v>1279</v>
      </c>
      <c r="C43" s="109" t="s">
        <v>1093</v>
      </c>
      <c r="D43" s="109">
        <v>23836</v>
      </c>
      <c r="E43" s="109"/>
      <c r="F43" s="109" t="s">
        <v>1285</v>
      </c>
      <c r="G43" s="109" t="s">
        <v>1281</v>
      </c>
      <c r="H43" s="109" t="s">
        <v>1286</v>
      </c>
      <c r="I43" s="68"/>
      <c r="J43">
        <f>IF('House Count'!H43="Y",IF('House Count'!F43="RES-SFU",1,IF('House Count'!F43="RES-MDU",1,IF('House Count'!F43="RES-HOA",1,0))),0)</f>
        <v>0</v>
      </c>
      <c r="K43">
        <f>IF('House Count'!H43="Y",IF('House Count'!F43="COMM-SU",1,IF('House Count'!F43="COM-MTU",1,IF('House Count'!F43="ENT",1,0))),0)</f>
        <v>0</v>
      </c>
    </row>
    <row r="44" spans="1:11" x14ac:dyDescent="0.25">
      <c r="A44" s="109" t="s">
        <v>1232</v>
      </c>
      <c r="B44" s="109" t="s">
        <v>1279</v>
      </c>
      <c r="C44" s="109" t="s">
        <v>1093</v>
      </c>
      <c r="D44" s="109">
        <v>23836</v>
      </c>
      <c r="E44" s="109"/>
      <c r="F44" s="109" t="s">
        <v>1285</v>
      </c>
      <c r="G44" s="109" t="s">
        <v>1281</v>
      </c>
      <c r="H44" s="109" t="s">
        <v>1286</v>
      </c>
      <c r="I44" s="68"/>
      <c r="J44">
        <f>IF('House Count'!H44="Y",IF('House Count'!F44="RES-SFU",1,IF('House Count'!F44="RES-MDU",1,IF('House Count'!F44="RES-HOA",1,0))),0)</f>
        <v>0</v>
      </c>
      <c r="K44">
        <f>IF('House Count'!H44="Y",IF('House Count'!F44="COMM-SU",1,IF('House Count'!F44="COM-MTU",1,IF('House Count'!F44="ENT",1,0))),0)</f>
        <v>0</v>
      </c>
    </row>
    <row r="45" spans="1:11" x14ac:dyDescent="0.25">
      <c r="A45" s="109" t="s">
        <v>1239</v>
      </c>
      <c r="B45" s="109" t="s">
        <v>1279</v>
      </c>
      <c r="C45" s="109" t="s">
        <v>1093</v>
      </c>
      <c r="D45" s="109">
        <v>23836</v>
      </c>
      <c r="E45" s="109"/>
      <c r="F45" s="109" t="s">
        <v>1287</v>
      </c>
      <c r="G45" s="109" t="s">
        <v>1281</v>
      </c>
      <c r="H45" s="109" t="s">
        <v>1282</v>
      </c>
      <c r="I45" s="68"/>
      <c r="J45">
        <f>IF('House Count'!H45="Y",IF('House Count'!F45="RES-SFU",1,IF('House Count'!F45="RES-MDU",1,IF('House Count'!F45="RES-HOA",1,0))),0)</f>
        <v>0</v>
      </c>
      <c r="K45">
        <f>IF('House Count'!H45="Y",IF('House Count'!F45="COMM-SU",1,IF('House Count'!F45="COM-MTU",1,IF('House Count'!F45="ENT",1,0))),0)</f>
        <v>1</v>
      </c>
    </row>
    <row r="46" spans="1:11" x14ac:dyDescent="0.25">
      <c r="A46" s="109" t="s">
        <v>1245</v>
      </c>
      <c r="B46" s="109" t="s">
        <v>1279</v>
      </c>
      <c r="C46" s="109" t="s">
        <v>1093</v>
      </c>
      <c r="D46" s="109">
        <v>23836</v>
      </c>
      <c r="E46" s="109"/>
      <c r="F46" s="109" t="s">
        <v>1287</v>
      </c>
      <c r="G46" s="109" t="s">
        <v>1281</v>
      </c>
      <c r="H46" s="109" t="s">
        <v>1282</v>
      </c>
      <c r="I46" s="68"/>
      <c r="J46">
        <f>IF('House Count'!H46="Y",IF('House Count'!F46="RES-SFU",1,IF('House Count'!F46="RES-MDU",1,IF('House Count'!F46="RES-HOA",1,0))),0)</f>
        <v>0</v>
      </c>
      <c r="K46">
        <f>IF('House Count'!H46="Y",IF('House Count'!F46="COMM-SU",1,IF('House Count'!F46="COM-MTU",1,IF('House Count'!F46="ENT",1,0))),0)</f>
        <v>1</v>
      </c>
    </row>
    <row r="47" spans="1:11" x14ac:dyDescent="0.25">
      <c r="A47" s="109" t="s">
        <v>1251</v>
      </c>
      <c r="B47" s="109" t="s">
        <v>1279</v>
      </c>
      <c r="C47" s="109" t="s">
        <v>1093</v>
      </c>
      <c r="D47" s="109">
        <v>23836</v>
      </c>
      <c r="E47" s="109"/>
      <c r="F47" s="109" t="s">
        <v>1283</v>
      </c>
      <c r="G47" s="109" t="s">
        <v>1281</v>
      </c>
      <c r="H47" s="109" t="s">
        <v>1282</v>
      </c>
      <c r="I47" s="68"/>
      <c r="J47">
        <f>IF('House Count'!H47="Y",IF('House Count'!F47="RES-SFU",1,IF('House Count'!F47="RES-MDU",1,IF('House Count'!F47="RES-HOA",1,0))),0)</f>
        <v>0</v>
      </c>
      <c r="K47">
        <f>IF('House Count'!H47="Y",IF('House Count'!F47="COMM-SU",1,IF('House Count'!F47="COM-MTU",1,IF('House Count'!F47="ENT",1,0))),0)</f>
        <v>1</v>
      </c>
    </row>
    <row r="48" spans="1:11" x14ac:dyDescent="0.25">
      <c r="A48" s="109" t="s">
        <v>1104</v>
      </c>
      <c r="B48" s="109" t="s">
        <v>1279</v>
      </c>
      <c r="C48" s="109" t="s">
        <v>1093</v>
      </c>
      <c r="D48" s="109">
        <v>23836</v>
      </c>
      <c r="E48" s="109"/>
      <c r="F48" s="109" t="s">
        <v>1283</v>
      </c>
      <c r="G48" s="109" t="s">
        <v>1281</v>
      </c>
      <c r="H48" s="109" t="s">
        <v>1282</v>
      </c>
      <c r="I48" s="68"/>
      <c r="J48">
        <f>IF('House Count'!H48="Y",IF('House Count'!F48="RES-SFU",1,IF('House Count'!F48="RES-MDU",1,IF('House Count'!F48="RES-HOA",1,0))),0)</f>
        <v>0</v>
      </c>
      <c r="K48">
        <f>IF('House Count'!H48="Y",IF('House Count'!F48="COMM-SU",1,IF('House Count'!F48="COM-MTU",1,IF('House Count'!F48="ENT",1,0))),0)</f>
        <v>1</v>
      </c>
    </row>
    <row r="49" spans="1:11" ht="15.75" thickBot="1" x14ac:dyDescent="0.3">
      <c r="A49" s="545" t="s">
        <v>1121</v>
      </c>
      <c r="B49" s="545" t="s">
        <v>1279</v>
      </c>
      <c r="C49" s="545" t="s">
        <v>1093</v>
      </c>
      <c r="D49" s="545">
        <v>23836</v>
      </c>
      <c r="E49" s="545"/>
      <c r="F49" s="545" t="s">
        <v>1283</v>
      </c>
      <c r="G49" s="545" t="s">
        <v>1281</v>
      </c>
      <c r="H49" s="545" t="s">
        <v>1282</v>
      </c>
      <c r="I49" s="546"/>
      <c r="J49">
        <f>IF('House Count'!H49="Y",IF('House Count'!F49="RES-SFU",1,IF('House Count'!F49="RES-MDU",1,IF('House Count'!F49="RES-HOA",1,0))),0)</f>
        <v>0</v>
      </c>
      <c r="K49">
        <f>IF('House Count'!H49="Y",IF('House Count'!F49="COMM-SU",1,IF('House Count'!F49="COM-MTU",1,IF('House Count'!F49="ENT",1,0))),0)</f>
        <v>1</v>
      </c>
    </row>
    <row r="50" spans="1:11" ht="15.75" thickTop="1" x14ac:dyDescent="0.25">
      <c r="A50" s="109" t="s">
        <v>1127</v>
      </c>
      <c r="B50" s="109" t="s">
        <v>1279</v>
      </c>
      <c r="C50" s="109" t="s">
        <v>1093</v>
      </c>
      <c r="D50" s="109">
        <v>23836</v>
      </c>
      <c r="E50" s="109"/>
      <c r="F50" s="109" t="s">
        <v>1283</v>
      </c>
      <c r="G50" s="109" t="s">
        <v>1281</v>
      </c>
      <c r="H50" s="109" t="s">
        <v>1282</v>
      </c>
      <c r="I50" s="68"/>
      <c r="J50">
        <f>IF('House Count'!H50="Y",IF('House Count'!F50="RES-SFU",1,IF('House Count'!F50="RES-MDU",1,IF('House Count'!F50="RES-HOA",1,0))),0)</f>
        <v>0</v>
      </c>
      <c r="K50">
        <f>IF('House Count'!H50="Y",IF('House Count'!F50="COMM-SU",1,IF('House Count'!F50="COM-MTU",1,IF('House Count'!F50="ENT",1,0))),0)</f>
        <v>1</v>
      </c>
    </row>
    <row r="51" spans="1:11" x14ac:dyDescent="0.25">
      <c r="A51" s="109" t="s">
        <v>1100</v>
      </c>
      <c r="B51" s="109" t="s">
        <v>1279</v>
      </c>
      <c r="C51" s="109" t="s">
        <v>1093</v>
      </c>
      <c r="D51" s="109">
        <v>23836</v>
      </c>
      <c r="E51" s="109"/>
      <c r="F51" s="109" t="s">
        <v>1283</v>
      </c>
      <c r="G51" s="109" t="s">
        <v>1281</v>
      </c>
      <c r="H51" s="109" t="s">
        <v>1282</v>
      </c>
      <c r="I51" s="68"/>
      <c r="J51">
        <f>IF('House Count'!H51="Y",IF('House Count'!F51="RES-SFU",1,IF('House Count'!F51="RES-MDU",1,IF('House Count'!F51="RES-HOA",1,0))),0)</f>
        <v>0</v>
      </c>
      <c r="K51">
        <f>IF('House Count'!H51="Y",IF('House Count'!F51="COMM-SU",1,IF('House Count'!F51="COM-MTU",1,IF('House Count'!F51="ENT",1,0))),0)</f>
        <v>1</v>
      </c>
    </row>
    <row r="52" spans="1:11" x14ac:dyDescent="0.25">
      <c r="A52" s="109" t="s">
        <v>1138</v>
      </c>
      <c r="B52" s="109" t="s">
        <v>1279</v>
      </c>
      <c r="C52" s="109" t="s">
        <v>1093</v>
      </c>
      <c r="D52" s="109">
        <v>23836</v>
      </c>
      <c r="E52" s="109"/>
      <c r="F52" s="109" t="s">
        <v>1283</v>
      </c>
      <c r="G52" s="109" t="s">
        <v>1281</v>
      </c>
      <c r="H52" s="109" t="s">
        <v>1282</v>
      </c>
      <c r="I52" s="68"/>
      <c r="J52">
        <f>IF('House Count'!H52="Y",IF('House Count'!F52="RES-SFU",1,IF('House Count'!F52="RES-MDU",1,IF('House Count'!F52="RES-HOA",1,0))),0)</f>
        <v>0</v>
      </c>
      <c r="K52">
        <f>IF('House Count'!H52="Y",IF('House Count'!F52="COMM-SU",1,IF('House Count'!F52="COM-MTU",1,IF('House Count'!F52="ENT",1,0))),0)</f>
        <v>1</v>
      </c>
    </row>
    <row r="53" spans="1:11" x14ac:dyDescent="0.25">
      <c r="A53" s="109" t="s">
        <v>1144</v>
      </c>
      <c r="B53" s="109" t="s">
        <v>1279</v>
      </c>
      <c r="C53" s="109" t="s">
        <v>1093</v>
      </c>
      <c r="D53" s="109">
        <v>23836</v>
      </c>
      <c r="E53" s="109"/>
      <c r="F53" s="109" t="s">
        <v>1285</v>
      </c>
      <c r="G53" s="109" t="s">
        <v>1281</v>
      </c>
      <c r="H53" s="109" t="s">
        <v>1286</v>
      </c>
      <c r="I53" s="68"/>
      <c r="J53">
        <f>IF('House Count'!H53="Y",IF('House Count'!F53="RES-SFU",1,IF('House Count'!F53="RES-MDU",1,IF('House Count'!F53="RES-HOA",1,0))),0)</f>
        <v>0</v>
      </c>
      <c r="K53">
        <f>IF('House Count'!H53="Y",IF('House Count'!F53="COMM-SU",1,IF('House Count'!F53="COM-MTU",1,IF('House Count'!F53="ENT",1,0))),0)</f>
        <v>0</v>
      </c>
    </row>
    <row r="54" spans="1:11" x14ac:dyDescent="0.25">
      <c r="A54" s="109" t="s">
        <v>1149</v>
      </c>
      <c r="B54" s="109" t="s">
        <v>1279</v>
      </c>
      <c r="C54" s="109" t="s">
        <v>1093</v>
      </c>
      <c r="D54" s="109">
        <v>23836</v>
      </c>
      <c r="E54" s="109"/>
      <c r="F54" s="109" t="s">
        <v>1285</v>
      </c>
      <c r="G54" s="109" t="s">
        <v>1281</v>
      </c>
      <c r="H54" s="109" t="s">
        <v>1286</v>
      </c>
      <c r="I54" s="68"/>
      <c r="J54">
        <f>IF('House Count'!H54="Y",IF('House Count'!F54="RES-SFU",1,IF('House Count'!F54="RES-MDU",1,IF('House Count'!F54="RES-HOA",1,0))),0)</f>
        <v>0</v>
      </c>
      <c r="K54">
        <f>IF('House Count'!H54="Y",IF('House Count'!F54="COMM-SU",1,IF('House Count'!F54="COM-MTU",1,IF('House Count'!F54="ENT",1,0))),0)</f>
        <v>0</v>
      </c>
    </row>
    <row r="55" spans="1:11" x14ac:dyDescent="0.25">
      <c r="A55" s="109" t="s">
        <v>1155</v>
      </c>
      <c r="B55" s="109" t="s">
        <v>1279</v>
      </c>
      <c r="C55" s="109" t="s">
        <v>1093</v>
      </c>
      <c r="D55" s="109">
        <v>23836</v>
      </c>
      <c r="E55" s="109"/>
      <c r="F55" s="109" t="s">
        <v>1280</v>
      </c>
      <c r="G55" s="109" t="s">
        <v>1281</v>
      </c>
      <c r="H55" s="109" t="s">
        <v>1282</v>
      </c>
      <c r="I55" s="68"/>
      <c r="J55">
        <f>IF('House Count'!H55="Y",IF('House Count'!F55="RES-SFU",1,IF('House Count'!F55="RES-MDU",1,IF('House Count'!F55="RES-HOA",1,0))),0)</f>
        <v>1</v>
      </c>
      <c r="K55">
        <f>IF('House Count'!H55="Y",IF('House Count'!F55="COMM-SU",1,IF('House Count'!F55="COM-MTU",1,IF('House Count'!F55="ENT",1,0))),0)</f>
        <v>0</v>
      </c>
    </row>
    <row r="56" spans="1:11" x14ac:dyDescent="0.25">
      <c r="A56" s="109" t="s">
        <v>1162</v>
      </c>
      <c r="B56" s="109" t="s">
        <v>1279</v>
      </c>
      <c r="C56" s="109" t="s">
        <v>1093</v>
      </c>
      <c r="D56" s="109">
        <v>23836</v>
      </c>
      <c r="E56" s="109"/>
      <c r="F56" s="109" t="s">
        <v>1283</v>
      </c>
      <c r="G56" s="109" t="s">
        <v>1281</v>
      </c>
      <c r="H56" s="109" t="s">
        <v>1282</v>
      </c>
      <c r="I56" s="68"/>
      <c r="J56">
        <f>IF('House Count'!H56="Y",IF('House Count'!F56="RES-SFU",1,IF('House Count'!F56="RES-MDU",1,IF('House Count'!F56="RES-HOA",1,0))),0)</f>
        <v>0</v>
      </c>
      <c r="K56">
        <f>IF('House Count'!H56="Y",IF('House Count'!F56="COMM-SU",1,IF('House Count'!F56="COM-MTU",1,IF('House Count'!F56="ENT",1,0))),0)</f>
        <v>1</v>
      </c>
    </row>
    <row r="57" spans="1:11" x14ac:dyDescent="0.25">
      <c r="A57" s="109" t="s">
        <v>1167</v>
      </c>
      <c r="B57" s="109" t="s">
        <v>1279</v>
      </c>
      <c r="C57" s="109" t="s">
        <v>1093</v>
      </c>
      <c r="D57" s="109">
        <v>23836</v>
      </c>
      <c r="E57" s="109"/>
      <c r="F57" s="109" t="s">
        <v>1280</v>
      </c>
      <c r="G57" s="109" t="s">
        <v>1281</v>
      </c>
      <c r="H57" s="109" t="s">
        <v>1282</v>
      </c>
      <c r="I57" s="68"/>
      <c r="J57">
        <f>IF('House Count'!H57="Y",IF('House Count'!F57="RES-SFU",1,IF('House Count'!F57="RES-MDU",1,IF('House Count'!F57="RES-HOA",1,0))),0)</f>
        <v>1</v>
      </c>
      <c r="K57">
        <f>IF('House Count'!H57="Y",IF('House Count'!F57="COMM-SU",1,IF('House Count'!F57="COM-MTU",1,IF('House Count'!F57="ENT",1,0))),0)</f>
        <v>0</v>
      </c>
    </row>
    <row r="58" spans="1:11" x14ac:dyDescent="0.25">
      <c r="A58" s="109" t="s">
        <v>1288</v>
      </c>
      <c r="B58" s="109" t="s">
        <v>1279</v>
      </c>
      <c r="C58" s="109" t="s">
        <v>1093</v>
      </c>
      <c r="D58" s="109">
        <v>23836</v>
      </c>
      <c r="E58" s="109"/>
      <c r="F58" s="109" t="s">
        <v>1283</v>
      </c>
      <c r="G58" s="109" t="s">
        <v>1281</v>
      </c>
      <c r="H58" s="109" t="s">
        <v>1282</v>
      </c>
      <c r="I58" s="68"/>
      <c r="J58">
        <f>IF('House Count'!H58="Y",IF('House Count'!F58="RES-SFU",1,IF('House Count'!F58="RES-MDU",1,IF('House Count'!F58="RES-HOA",1,0))),0)</f>
        <v>0</v>
      </c>
      <c r="K58">
        <f>IF('House Count'!H58="Y",IF('House Count'!F58="COMM-SU",1,IF('House Count'!F58="COM-MTU",1,IF('House Count'!F58="ENT",1,0))),0)</f>
        <v>1</v>
      </c>
    </row>
    <row r="59" spans="1:11" x14ac:dyDescent="0.25">
      <c r="A59" s="109" t="s">
        <v>1179</v>
      </c>
      <c r="B59" s="109" t="s">
        <v>1279</v>
      </c>
      <c r="C59" s="109" t="s">
        <v>1093</v>
      </c>
      <c r="D59" s="109">
        <v>23836</v>
      </c>
      <c r="E59" s="109"/>
      <c r="F59" s="109" t="s">
        <v>1280</v>
      </c>
      <c r="G59" s="109" t="s">
        <v>1281</v>
      </c>
      <c r="H59" s="109" t="s">
        <v>1282</v>
      </c>
      <c r="I59" s="68"/>
      <c r="J59">
        <f>IF('House Count'!H59="Y",IF('House Count'!F59="RES-SFU",1,IF('House Count'!F59="RES-MDU",1,IF('House Count'!F59="RES-HOA",1,0))),0)</f>
        <v>1</v>
      </c>
      <c r="K59">
        <f>IF('House Count'!H59="Y",IF('House Count'!F59="COMM-SU",1,IF('House Count'!F59="COM-MTU",1,IF('House Count'!F59="ENT",1,0))),0)</f>
        <v>0</v>
      </c>
    </row>
    <row r="60" spans="1:11" x14ac:dyDescent="0.25">
      <c r="A60" s="109" t="s">
        <v>1184</v>
      </c>
      <c r="B60" s="109" t="s">
        <v>1279</v>
      </c>
      <c r="C60" s="109" t="s">
        <v>1093</v>
      </c>
      <c r="D60" s="109">
        <v>23836</v>
      </c>
      <c r="E60" s="109"/>
      <c r="F60" s="109" t="s">
        <v>1283</v>
      </c>
      <c r="G60" s="109" t="s">
        <v>1281</v>
      </c>
      <c r="H60" s="109" t="s">
        <v>1282</v>
      </c>
      <c r="I60" s="68"/>
      <c r="J60">
        <f>IF('House Count'!H60="Y",IF('House Count'!F60="RES-SFU",1,IF('House Count'!F60="RES-MDU",1,IF('House Count'!F60="RES-HOA",1,0))),0)</f>
        <v>0</v>
      </c>
      <c r="K60">
        <f>IF('House Count'!H60="Y",IF('House Count'!F60="COMM-SU",1,IF('House Count'!F60="COM-MTU",1,IF('House Count'!F60="ENT",1,0))),0)</f>
        <v>1</v>
      </c>
    </row>
    <row r="61" spans="1:11" ht="15.75" thickBot="1" x14ac:dyDescent="0.3">
      <c r="A61" s="545" t="s">
        <v>1099</v>
      </c>
      <c r="B61" s="545" t="s">
        <v>1279</v>
      </c>
      <c r="C61" s="545" t="s">
        <v>1093</v>
      </c>
      <c r="D61" s="545">
        <v>23836</v>
      </c>
      <c r="E61" s="545"/>
      <c r="F61" s="545" t="s">
        <v>1283</v>
      </c>
      <c r="G61" s="545" t="s">
        <v>1281</v>
      </c>
      <c r="H61" s="545" t="s">
        <v>1282</v>
      </c>
      <c r="I61" s="546"/>
      <c r="J61">
        <f>IF('House Count'!H61="Y",IF('House Count'!F61="RES-SFU",1,IF('House Count'!F61="RES-MDU",1,IF('House Count'!F61="RES-HOA",1,0))),0)</f>
        <v>0</v>
      </c>
      <c r="K61">
        <f>IF('House Count'!H61="Y",IF('House Count'!F61="COMM-SU",1,IF('House Count'!F61="COM-MTU",1,IF('House Count'!F61="ENT",1,0))),0)</f>
        <v>1</v>
      </c>
    </row>
    <row r="62" spans="1:11" ht="15.75" thickTop="1" x14ac:dyDescent="0.25">
      <c r="A62" s="109" t="s">
        <v>1197</v>
      </c>
      <c r="B62" s="109" t="s">
        <v>1279</v>
      </c>
      <c r="C62" s="109" t="s">
        <v>1093</v>
      </c>
      <c r="D62" s="109">
        <v>23836</v>
      </c>
      <c r="E62" s="109"/>
      <c r="F62" s="109" t="s">
        <v>1285</v>
      </c>
      <c r="G62" s="109" t="s">
        <v>1281</v>
      </c>
      <c r="H62" s="109" t="s">
        <v>1286</v>
      </c>
      <c r="I62" s="68"/>
      <c r="J62">
        <f>IF('House Count'!H62="Y",IF('House Count'!F62="RES-SFU",1,IF('House Count'!F62="RES-MDU",1,IF('House Count'!F62="RES-HOA",1,0))),0)</f>
        <v>0</v>
      </c>
      <c r="K62">
        <f>IF('House Count'!H62="Y",IF('House Count'!F62="COMM-SU",1,IF('House Count'!F62="COM-MTU",1,IF('House Count'!F62="ENT",1,0))),0)</f>
        <v>0</v>
      </c>
    </row>
    <row r="63" spans="1:11" x14ac:dyDescent="0.25">
      <c r="A63" s="109" t="s">
        <v>1201</v>
      </c>
      <c r="B63" s="109" t="s">
        <v>1279</v>
      </c>
      <c r="C63" s="109" t="s">
        <v>1093</v>
      </c>
      <c r="D63" s="109">
        <v>23836</v>
      </c>
      <c r="E63" s="109"/>
      <c r="F63" s="109" t="s">
        <v>1280</v>
      </c>
      <c r="G63" s="109" t="s">
        <v>1281</v>
      </c>
      <c r="H63" s="109" t="s">
        <v>1282</v>
      </c>
      <c r="I63" s="68"/>
      <c r="J63">
        <f>IF('House Count'!H63="Y",IF('House Count'!F63="RES-SFU",1,IF('House Count'!F63="RES-MDU",1,IF('House Count'!F63="RES-HOA",1,0))),0)</f>
        <v>1</v>
      </c>
      <c r="K63">
        <f>IF('House Count'!H63="Y",IF('House Count'!F63="COMM-SU",1,IF('House Count'!F63="COM-MTU",1,IF('House Count'!F63="ENT",1,0))),0)</f>
        <v>0</v>
      </c>
    </row>
    <row r="64" spans="1:11" x14ac:dyDescent="0.25">
      <c r="A64" s="109" t="s">
        <v>1208</v>
      </c>
      <c r="B64" s="109" t="s">
        <v>1279</v>
      </c>
      <c r="C64" s="109" t="s">
        <v>1093</v>
      </c>
      <c r="D64" s="109">
        <v>23836</v>
      </c>
      <c r="E64" s="109"/>
      <c r="F64" s="109" t="s">
        <v>1285</v>
      </c>
      <c r="G64" s="109" t="s">
        <v>1281</v>
      </c>
      <c r="H64" s="109" t="s">
        <v>1286</v>
      </c>
      <c r="I64" s="68"/>
      <c r="J64">
        <f>IF('House Count'!H64="Y",IF('House Count'!F64="RES-SFU",1,IF('House Count'!F64="RES-MDU",1,IF('House Count'!F64="RES-HOA",1,0))),0)</f>
        <v>0</v>
      </c>
      <c r="K64">
        <f>IF('House Count'!H64="Y",IF('House Count'!F64="COMM-SU",1,IF('House Count'!F64="COM-MTU",1,IF('House Count'!F64="ENT",1,0))),0)</f>
        <v>0</v>
      </c>
    </row>
    <row r="65" spans="1:11" x14ac:dyDescent="0.25">
      <c r="A65" s="109" t="s">
        <v>1215</v>
      </c>
      <c r="B65" s="109" t="s">
        <v>1279</v>
      </c>
      <c r="C65" s="109" t="s">
        <v>1093</v>
      </c>
      <c r="D65" s="109">
        <v>23836</v>
      </c>
      <c r="E65" s="109"/>
      <c r="F65" s="109" t="s">
        <v>1280</v>
      </c>
      <c r="G65" s="109" t="s">
        <v>1281</v>
      </c>
      <c r="H65" s="109" t="s">
        <v>1282</v>
      </c>
      <c r="I65" s="68"/>
      <c r="J65">
        <f>IF('House Count'!H65="Y",IF('House Count'!F65="RES-SFU",1,IF('House Count'!F65="RES-MDU",1,IF('House Count'!F65="RES-HOA",1,0))),0)</f>
        <v>1</v>
      </c>
      <c r="K65">
        <f>IF('House Count'!H65="Y",IF('House Count'!F65="COMM-SU",1,IF('House Count'!F65="COM-MTU",1,IF('House Count'!F65="ENT",1,0))),0)</f>
        <v>0</v>
      </c>
    </row>
    <row r="66" spans="1:11" x14ac:dyDescent="0.25">
      <c r="A66" s="109" t="s">
        <v>1220</v>
      </c>
      <c r="B66" s="109" t="s">
        <v>1279</v>
      </c>
      <c r="C66" s="109" t="s">
        <v>1093</v>
      </c>
      <c r="D66" s="109">
        <v>23836</v>
      </c>
      <c r="E66" s="109"/>
      <c r="F66" s="109" t="s">
        <v>1280</v>
      </c>
      <c r="G66" s="109" t="s">
        <v>1281</v>
      </c>
      <c r="H66" s="109" t="s">
        <v>1282</v>
      </c>
      <c r="I66" s="68"/>
      <c r="J66">
        <f>IF('House Count'!H66="Y",IF('House Count'!F66="RES-SFU",1,IF('House Count'!F66="RES-MDU",1,IF('House Count'!F66="RES-HOA",1,0))),0)</f>
        <v>1</v>
      </c>
      <c r="K66">
        <f>IF('House Count'!H66="Y",IF('House Count'!F66="COMM-SU",1,IF('House Count'!F66="COM-MTU",1,IF('House Count'!F66="ENT",1,0))),0)</f>
        <v>0</v>
      </c>
    </row>
    <row r="67" spans="1:11" x14ac:dyDescent="0.25">
      <c r="A67" s="109" t="s">
        <v>1226</v>
      </c>
      <c r="B67" s="109" t="s">
        <v>1279</v>
      </c>
      <c r="C67" s="109" t="s">
        <v>1093</v>
      </c>
      <c r="D67" s="109">
        <v>23836</v>
      </c>
      <c r="E67" s="109"/>
      <c r="F67" s="109" t="s">
        <v>1283</v>
      </c>
      <c r="G67" s="109" t="s">
        <v>1281</v>
      </c>
      <c r="H67" s="109" t="s">
        <v>1282</v>
      </c>
      <c r="I67" s="68"/>
      <c r="J67">
        <f>IF('House Count'!H67="Y",IF('House Count'!F67="RES-SFU",1,IF('House Count'!F67="RES-MDU",1,IF('House Count'!F67="RES-HOA",1,0))),0)</f>
        <v>0</v>
      </c>
      <c r="K67">
        <f>IF('House Count'!H67="Y",IF('House Count'!F67="COMM-SU",1,IF('House Count'!F67="COM-MTU",1,IF('House Count'!F67="ENT",1,0))),0)</f>
        <v>1</v>
      </c>
    </row>
    <row r="68" spans="1:11" x14ac:dyDescent="0.25">
      <c r="A68" s="109" t="s">
        <v>1233</v>
      </c>
      <c r="B68" s="109" t="s">
        <v>1279</v>
      </c>
      <c r="C68" s="109" t="s">
        <v>1093</v>
      </c>
      <c r="D68" s="109">
        <v>23836</v>
      </c>
      <c r="E68" s="109"/>
      <c r="F68" s="109" t="s">
        <v>1287</v>
      </c>
      <c r="G68" s="109" t="s">
        <v>1281</v>
      </c>
      <c r="H68" s="109" t="s">
        <v>1282</v>
      </c>
      <c r="I68" s="68"/>
      <c r="J68">
        <f>IF('House Count'!H68="Y",IF('House Count'!F68="RES-SFU",1,IF('House Count'!F68="RES-MDU",1,IF('House Count'!F68="RES-HOA",1,0))),0)</f>
        <v>0</v>
      </c>
      <c r="K68">
        <f>IF('House Count'!H68="Y",IF('House Count'!F68="COMM-SU",1,IF('House Count'!F68="COM-MTU",1,IF('House Count'!F68="ENT",1,0))),0)</f>
        <v>1</v>
      </c>
    </row>
    <row r="69" spans="1:11" x14ac:dyDescent="0.25">
      <c r="A69" s="109" t="s">
        <v>1240</v>
      </c>
      <c r="B69" s="109" t="s">
        <v>1279</v>
      </c>
      <c r="C69" s="109" t="s">
        <v>1093</v>
      </c>
      <c r="D69" s="109">
        <v>23836</v>
      </c>
      <c r="E69" s="109"/>
      <c r="F69" s="109" t="s">
        <v>1283</v>
      </c>
      <c r="G69" s="109" t="s">
        <v>1281</v>
      </c>
      <c r="H69" s="109" t="s">
        <v>1282</v>
      </c>
      <c r="I69" s="68"/>
      <c r="J69">
        <f>IF('House Count'!H69="Y",IF('House Count'!F69="RES-SFU",1,IF('House Count'!F69="RES-MDU",1,IF('House Count'!F69="RES-HOA",1,0))),0)</f>
        <v>0</v>
      </c>
      <c r="K69">
        <f>IF('House Count'!H69="Y",IF('House Count'!F69="COMM-SU",1,IF('House Count'!F69="COM-MTU",1,IF('House Count'!F69="ENT",1,0))),0)</f>
        <v>1</v>
      </c>
    </row>
    <row r="70" spans="1:11" x14ac:dyDescent="0.25">
      <c r="A70" s="109" t="s">
        <v>1246</v>
      </c>
      <c r="B70" s="109" t="s">
        <v>1279</v>
      </c>
      <c r="C70" s="109" t="s">
        <v>1093</v>
      </c>
      <c r="D70" s="109">
        <v>23836</v>
      </c>
      <c r="E70" s="109"/>
      <c r="F70" s="109" t="s">
        <v>1285</v>
      </c>
      <c r="G70" s="109" t="s">
        <v>1281</v>
      </c>
      <c r="H70" s="109" t="s">
        <v>1286</v>
      </c>
      <c r="I70" s="68"/>
      <c r="J70">
        <f>IF('House Count'!H70="Y",IF('House Count'!F70="RES-SFU",1,IF('House Count'!F70="RES-MDU",1,IF('House Count'!F70="RES-HOA",1,0))),0)</f>
        <v>0</v>
      </c>
      <c r="K70">
        <f>IF('House Count'!H70="Y",IF('House Count'!F70="COMM-SU",1,IF('House Count'!F70="COM-MTU",1,IF('House Count'!F70="ENT",1,0))),0)</f>
        <v>0</v>
      </c>
    </row>
    <row r="71" spans="1:11" x14ac:dyDescent="0.25">
      <c r="A71" s="109" t="s">
        <v>1105</v>
      </c>
      <c r="B71" s="109" t="s">
        <v>1279</v>
      </c>
      <c r="C71" s="109" t="s">
        <v>1093</v>
      </c>
      <c r="D71" s="109">
        <v>23836</v>
      </c>
      <c r="E71" s="109"/>
      <c r="F71" s="109" t="s">
        <v>1283</v>
      </c>
      <c r="G71" s="109" t="s">
        <v>1281</v>
      </c>
      <c r="H71" s="109" t="s">
        <v>1282</v>
      </c>
      <c r="I71" s="68"/>
      <c r="J71">
        <f>IF('House Count'!H71="Y",IF('House Count'!F71="RES-SFU",1,IF('House Count'!F71="RES-MDU",1,IF('House Count'!F71="RES-HOA",1,0))),0)</f>
        <v>0</v>
      </c>
      <c r="K71">
        <f>IF('House Count'!H71="Y",IF('House Count'!F71="COMM-SU",1,IF('House Count'!F71="COM-MTU",1,IF('House Count'!F71="ENT",1,0))),0)</f>
        <v>1</v>
      </c>
    </row>
    <row r="72" spans="1:11" x14ac:dyDescent="0.25">
      <c r="A72" s="109"/>
      <c r="B72" s="109"/>
      <c r="C72" s="109"/>
      <c r="D72" s="109"/>
      <c r="E72" s="109"/>
      <c r="F72" s="109"/>
      <c r="G72" s="109"/>
      <c r="H72" s="109"/>
      <c r="I72" s="68"/>
      <c r="J72">
        <f>IF('House Count'!H72="Y",IF('House Count'!F72="RES-SFU",1,IF('House Count'!F72="RES-MDU",1,IF('House Count'!F72="RES-HOA",1,0))),0)</f>
        <v>0</v>
      </c>
      <c r="K72">
        <f>IF('House Count'!H72="Y",IF('House Count'!F72="COMM-SU",1,IF('House Count'!F72="COM-MTU",1,IF('House Count'!F72="ENT",1,0))),0)</f>
        <v>0</v>
      </c>
    </row>
    <row r="73" spans="1:11" ht="15.75" thickBot="1" x14ac:dyDescent="0.3">
      <c r="A73" s="545"/>
      <c r="B73" s="545"/>
      <c r="C73" s="545"/>
      <c r="D73" s="545"/>
      <c r="E73" s="545"/>
      <c r="F73" s="545"/>
      <c r="G73" s="545"/>
      <c r="H73" s="545"/>
      <c r="I73" s="546"/>
      <c r="J73">
        <f>IF('House Count'!H73="Y",IF('House Count'!F73="RES-SFU",1,IF('House Count'!F73="RES-MDU",1,IF('House Count'!F73="RES-HOA",1,0))),0)</f>
        <v>0</v>
      </c>
      <c r="K73">
        <f>IF('House Count'!H73="Y",IF('House Count'!F73="COMM-SU",1,IF('House Count'!F73="COM-MTU",1,IF('House Count'!F73="ENT",1,0))),0)</f>
        <v>0</v>
      </c>
    </row>
    <row r="74" spans="1:11" ht="15.75" thickTop="1" x14ac:dyDescent="0.25">
      <c r="A74" s="109"/>
      <c r="B74" s="109"/>
      <c r="C74" s="109"/>
      <c r="D74" s="109"/>
      <c r="E74" s="109"/>
      <c r="F74" s="109"/>
      <c r="G74" s="109"/>
      <c r="H74" s="109"/>
      <c r="I74" s="68"/>
      <c r="J74">
        <f>IF('House Count'!H74="Y",IF('House Count'!F74="RES-SFU",1,IF('House Count'!F74="RES-MDU",1,IF('House Count'!F74="RES-HOA",1,0))),0)</f>
        <v>0</v>
      </c>
      <c r="K74">
        <f>IF('House Count'!H74="Y",IF('House Count'!F74="COMM-SU",1,IF('House Count'!F74="COM-MTU",1,IF('House Count'!F74="ENT",1,0))),0)</f>
        <v>0</v>
      </c>
    </row>
    <row r="75" spans="1:11" x14ac:dyDescent="0.25">
      <c r="A75" s="109"/>
      <c r="B75" s="109"/>
      <c r="C75" s="109"/>
      <c r="D75" s="109"/>
      <c r="E75" s="109"/>
      <c r="F75" s="109"/>
      <c r="G75" s="109"/>
      <c r="H75" s="109"/>
      <c r="I75" s="68"/>
      <c r="J75">
        <f>IF('House Count'!H75="Y",IF('House Count'!F75="RES-SFU",1,IF('House Count'!F75="RES-MDU",1,IF('House Count'!F75="RES-HOA",1,0))),0)</f>
        <v>0</v>
      </c>
      <c r="K75">
        <f>IF('House Count'!H75="Y",IF('House Count'!F75="COMM-SU",1,IF('House Count'!F75="COM-MTU",1,IF('House Count'!F75="ENT",1,0))),0)</f>
        <v>0</v>
      </c>
    </row>
    <row r="76" spans="1:11" x14ac:dyDescent="0.25">
      <c r="A76" s="109"/>
      <c r="B76" s="109"/>
      <c r="C76" s="109"/>
      <c r="D76" s="109"/>
      <c r="E76" s="109"/>
      <c r="F76" s="109"/>
      <c r="G76" s="109"/>
      <c r="H76" s="109"/>
      <c r="I76" s="68"/>
      <c r="J76">
        <f>IF('House Count'!H76="Y",IF('House Count'!F76="RES-SFU",1,IF('House Count'!F76="RES-MDU",1,IF('House Count'!F76="RES-HOA",1,0))),0)</f>
        <v>0</v>
      </c>
      <c r="K76">
        <f>IF('House Count'!H76="Y",IF('House Count'!F76="COMM-SU",1,IF('House Count'!F76="COM-MTU",1,IF('House Count'!F76="ENT",1,0))),0)</f>
        <v>0</v>
      </c>
    </row>
    <row r="77" spans="1:11" x14ac:dyDescent="0.25">
      <c r="A77" s="109"/>
      <c r="B77" s="109"/>
      <c r="C77" s="109"/>
      <c r="D77" s="109"/>
      <c r="E77" s="109"/>
      <c r="F77" s="109"/>
      <c r="G77" s="109"/>
      <c r="H77" s="109"/>
      <c r="I77" s="68"/>
      <c r="J77">
        <f>IF('House Count'!H77="Y",IF('House Count'!F77="RES-SFU",1,IF('House Count'!F77="RES-MDU",1,IF('House Count'!F77="RES-HOA",1,0))),0)</f>
        <v>0</v>
      </c>
      <c r="K77">
        <f>IF('House Count'!H77="Y",IF('House Count'!F77="COMM-SU",1,IF('House Count'!F77="COM-MTU",1,IF('House Count'!F77="ENT",1,0))),0)</f>
        <v>0</v>
      </c>
    </row>
    <row r="78" spans="1:11" x14ac:dyDescent="0.25">
      <c r="A78" s="109"/>
      <c r="B78" s="109"/>
      <c r="C78" s="109"/>
      <c r="D78" s="109"/>
      <c r="E78" s="109"/>
      <c r="F78" s="109"/>
      <c r="G78" s="109"/>
      <c r="H78" s="109"/>
      <c r="I78" s="68"/>
      <c r="J78">
        <f>IF('House Count'!H78="Y",IF('House Count'!F78="RES-SFU",1,IF('House Count'!F78="RES-MDU",1,IF('House Count'!F78="RES-HOA",1,0))),0)</f>
        <v>0</v>
      </c>
      <c r="K78">
        <f>IF('House Count'!H78="Y",IF('House Count'!F78="COMM-SU",1,IF('House Count'!F78="COM-MTU",1,IF('House Count'!F78="ENT",1,0))),0)</f>
        <v>0</v>
      </c>
    </row>
    <row r="79" spans="1:11" x14ac:dyDescent="0.25">
      <c r="A79" s="109"/>
      <c r="B79" s="109"/>
      <c r="C79" s="109"/>
      <c r="D79" s="109"/>
      <c r="E79" s="109"/>
      <c r="F79" s="109"/>
      <c r="G79" s="109"/>
      <c r="H79" s="109"/>
      <c r="I79" s="68"/>
      <c r="J79">
        <f>IF('House Count'!H79="Y",IF('House Count'!F79="RES-SFU",1,IF('House Count'!F79="RES-MDU",1,IF('House Count'!F79="RES-HOA",1,0))),0)</f>
        <v>0</v>
      </c>
      <c r="K79">
        <f>IF('House Count'!H79="Y",IF('House Count'!F79="COMM-SU",1,IF('House Count'!F79="COM-MTU",1,IF('House Count'!F79="ENT",1,0))),0)</f>
        <v>0</v>
      </c>
    </row>
    <row r="80" spans="1:11" x14ac:dyDescent="0.25">
      <c r="A80" s="109"/>
      <c r="B80" s="109"/>
      <c r="C80" s="109"/>
      <c r="D80" s="109"/>
      <c r="E80" s="109"/>
      <c r="F80" s="109"/>
      <c r="G80" s="109"/>
      <c r="H80" s="109"/>
      <c r="I80" s="68"/>
      <c r="J80">
        <f>IF('House Count'!H80="Y",IF('House Count'!F80="RES-SFU",1,IF('House Count'!F80="RES-MDU",1,IF('House Count'!F80="RES-HOA",1,0))),0)</f>
        <v>0</v>
      </c>
      <c r="K80">
        <f>IF('House Count'!H80="Y",IF('House Count'!F80="COMM-SU",1,IF('House Count'!F80="COM-MTU",1,IF('House Count'!F80="ENT",1,0))),0)</f>
        <v>0</v>
      </c>
    </row>
    <row r="81" spans="1:11" x14ac:dyDescent="0.25">
      <c r="A81" s="109"/>
      <c r="B81" s="109"/>
      <c r="C81" s="109"/>
      <c r="D81" s="109"/>
      <c r="E81" s="109"/>
      <c r="F81" s="109"/>
      <c r="G81" s="109"/>
      <c r="H81" s="109"/>
      <c r="I81" s="68"/>
      <c r="J81">
        <f>IF('House Count'!H81="Y",IF('House Count'!F81="RES-SFU",1,IF('House Count'!F81="RES-MDU",1,IF('House Count'!F81="RES-HOA",1,0))),0)</f>
        <v>0</v>
      </c>
      <c r="K81">
        <f>IF('House Count'!H81="Y",IF('House Count'!F81="COMM-SU",1,IF('House Count'!F81="COM-MTU",1,IF('House Count'!F81="ENT",1,0))),0)</f>
        <v>0</v>
      </c>
    </row>
    <row r="82" spans="1:11" x14ac:dyDescent="0.25">
      <c r="A82" s="109"/>
      <c r="B82" s="109"/>
      <c r="C82" s="109"/>
      <c r="D82" s="109"/>
      <c r="E82" s="109"/>
      <c r="F82" s="109"/>
      <c r="G82" s="109"/>
      <c r="H82" s="109"/>
      <c r="I82" s="68"/>
      <c r="J82">
        <f>IF('House Count'!H82="Y",IF('House Count'!F82="RES-SFU",1,IF('House Count'!F82="RES-MDU",1,IF('House Count'!F82="RES-HOA",1,0))),0)</f>
        <v>0</v>
      </c>
      <c r="K82">
        <f>IF('House Count'!H82="Y",IF('House Count'!F82="COMM-SU",1,IF('House Count'!F82="COM-MTU",1,IF('House Count'!F82="ENT",1,0))),0)</f>
        <v>0</v>
      </c>
    </row>
    <row r="83" spans="1:11" x14ac:dyDescent="0.25">
      <c r="A83" s="109"/>
      <c r="B83" s="109"/>
      <c r="C83" s="109"/>
      <c r="D83" s="109"/>
      <c r="E83" s="109"/>
      <c r="F83" s="109"/>
      <c r="G83" s="109"/>
      <c r="H83" s="109"/>
      <c r="I83" s="68"/>
      <c r="J83">
        <f>IF('House Count'!H83="Y",IF('House Count'!F83="RES-SFU",1,IF('House Count'!F83="RES-MDU",1,IF('House Count'!F83="RES-HOA",1,0))),0)</f>
        <v>0</v>
      </c>
      <c r="K83">
        <f>IF('House Count'!H83="Y",IF('House Count'!F83="COMM-SU",1,IF('House Count'!F83="COM-MTU",1,IF('House Count'!F83="ENT",1,0))),0)</f>
        <v>0</v>
      </c>
    </row>
    <row r="84" spans="1:11" x14ac:dyDescent="0.25">
      <c r="A84" s="109"/>
      <c r="B84" s="109"/>
      <c r="C84" s="109"/>
      <c r="D84" s="109"/>
      <c r="E84" s="109"/>
      <c r="F84" s="109"/>
      <c r="G84" s="109"/>
      <c r="H84" s="109"/>
      <c r="I84" s="68"/>
      <c r="J84">
        <f>IF('House Count'!H84="Y",IF('House Count'!F84="RES-SFU",1,IF('House Count'!F84="RES-MDU",1,IF('House Count'!F84="RES-HOA",1,0))),0)</f>
        <v>0</v>
      </c>
      <c r="K84">
        <f>IF('House Count'!H84="Y",IF('House Count'!F84="COMM-SU",1,IF('House Count'!F84="COM-MTU",1,IF('House Count'!F84="ENT",1,0))),0)</f>
        <v>0</v>
      </c>
    </row>
    <row r="85" spans="1:11" ht="15.75" thickBot="1" x14ac:dyDescent="0.3">
      <c r="A85" s="545"/>
      <c r="B85" s="545"/>
      <c r="C85" s="545"/>
      <c r="D85" s="545"/>
      <c r="E85" s="545"/>
      <c r="F85" s="545"/>
      <c r="G85" s="545"/>
      <c r="H85" s="545"/>
      <c r="I85" s="546"/>
      <c r="J85">
        <f>IF('House Count'!H85="Y",IF('House Count'!F85="RES-SFU",1,IF('House Count'!F85="RES-MDU",1,IF('House Count'!F85="RES-HOA",1,0))),0)</f>
        <v>0</v>
      </c>
      <c r="K85">
        <f>IF('House Count'!H85="Y",IF('House Count'!F85="COMM-SU",1,IF('House Count'!F85="COM-MTU",1,IF('House Count'!F85="ENT",1,0))),0)</f>
        <v>0</v>
      </c>
    </row>
    <row r="86" spans="1:11" ht="15.75" thickTop="1" x14ac:dyDescent="0.25">
      <c r="A86" s="109"/>
      <c r="B86" s="109"/>
      <c r="C86" s="109"/>
      <c r="D86" s="109"/>
      <c r="E86" s="109"/>
      <c r="F86" s="109"/>
      <c r="G86" s="109"/>
      <c r="H86" s="109"/>
      <c r="I86" s="68"/>
      <c r="J86">
        <f>IF('House Count'!H86="Y",IF('House Count'!F86="RES-SFU",1,IF('House Count'!F86="RES-MDU",1,IF('House Count'!F86="RES-HOA",1,0))),0)</f>
        <v>0</v>
      </c>
      <c r="K86">
        <f>IF('House Count'!H86="Y",IF('House Count'!F86="COMM-SU",1,IF('House Count'!F86="COM-MTU",1,IF('House Count'!F86="ENT",1,0))),0)</f>
        <v>0</v>
      </c>
    </row>
    <row r="87" spans="1:11" x14ac:dyDescent="0.25">
      <c r="A87" s="109"/>
      <c r="B87" s="109"/>
      <c r="C87" s="109"/>
      <c r="D87" s="109"/>
      <c r="E87" s="109"/>
      <c r="F87" s="109"/>
      <c r="G87" s="109"/>
      <c r="H87" s="109"/>
      <c r="I87" s="68"/>
      <c r="J87">
        <f>IF('House Count'!H87="Y",IF('House Count'!F87="RES-SFU",1,IF('House Count'!F87="RES-MDU",1,IF('House Count'!F87="RES-HOA",1,0))),0)</f>
        <v>0</v>
      </c>
      <c r="K87">
        <f>IF('House Count'!H87="Y",IF('House Count'!F87="COMM-SU",1,IF('House Count'!F87="COM-MTU",1,IF('House Count'!F87="ENT",1,0))),0)</f>
        <v>0</v>
      </c>
    </row>
    <row r="88" spans="1:11" x14ac:dyDescent="0.25">
      <c r="A88" s="109"/>
      <c r="B88" s="109"/>
      <c r="C88" s="109"/>
      <c r="D88" s="109"/>
      <c r="E88" s="109"/>
      <c r="F88" s="109"/>
      <c r="G88" s="109"/>
      <c r="H88" s="109"/>
      <c r="I88" s="68"/>
      <c r="J88">
        <f>IF('House Count'!H88="Y",IF('House Count'!F88="RES-SFU",1,IF('House Count'!F88="RES-MDU",1,IF('House Count'!F88="RES-HOA",1,0))),0)</f>
        <v>0</v>
      </c>
      <c r="K88">
        <f>IF('House Count'!H88="Y",IF('House Count'!F88="COMM-SU",1,IF('House Count'!F88="COM-MTU",1,IF('House Count'!F88="ENT",1,0))),0)</f>
        <v>0</v>
      </c>
    </row>
    <row r="89" spans="1:11" x14ac:dyDescent="0.25">
      <c r="A89" s="109"/>
      <c r="B89" s="109"/>
      <c r="C89" s="109"/>
      <c r="D89" s="109"/>
      <c r="E89" s="109"/>
      <c r="F89" s="109"/>
      <c r="G89" s="109"/>
      <c r="H89" s="109"/>
      <c r="I89" s="68"/>
      <c r="J89">
        <f>IF('House Count'!H89="Y",IF('House Count'!F89="RES-SFU",1,IF('House Count'!F89="RES-MDU",1,IF('House Count'!F89="RES-HOA",1,0))),0)</f>
        <v>0</v>
      </c>
      <c r="K89">
        <f>IF('House Count'!H89="Y",IF('House Count'!F89="COMM-SU",1,IF('House Count'!F89="COM-MTU",1,IF('House Count'!F89="ENT",1,0))),0)</f>
        <v>0</v>
      </c>
    </row>
    <row r="90" spans="1:11" x14ac:dyDescent="0.25">
      <c r="A90" s="109"/>
      <c r="B90" s="109"/>
      <c r="C90" s="109"/>
      <c r="D90" s="109"/>
      <c r="E90" s="109"/>
      <c r="F90" s="109"/>
      <c r="G90" s="109"/>
      <c r="H90" s="109"/>
      <c r="I90" s="68"/>
      <c r="J90">
        <f>IF('House Count'!H90="Y",IF('House Count'!F90="RES-SFU",1,IF('House Count'!F90="RES-MDU",1,IF('House Count'!F90="RES-HOA",1,0))),0)</f>
        <v>0</v>
      </c>
      <c r="K90">
        <f>IF('House Count'!H90="Y",IF('House Count'!F90="COMM-SU",1,IF('House Count'!F90="COM-MTU",1,IF('House Count'!F90="ENT",1,0))),0)</f>
        <v>0</v>
      </c>
    </row>
    <row r="91" spans="1:11" x14ac:dyDescent="0.25">
      <c r="A91" s="109"/>
      <c r="B91" s="109"/>
      <c r="C91" s="109"/>
      <c r="D91" s="109"/>
      <c r="E91" s="109"/>
      <c r="F91" s="109"/>
      <c r="G91" s="109"/>
      <c r="H91" s="109"/>
      <c r="I91" s="68"/>
      <c r="J91">
        <f>IF('House Count'!H91="Y",IF('House Count'!F91="RES-SFU",1,IF('House Count'!F91="RES-MDU",1,IF('House Count'!F91="RES-HOA",1,0))),0)</f>
        <v>0</v>
      </c>
      <c r="K91">
        <f>IF('House Count'!H91="Y",IF('House Count'!F91="COMM-SU",1,IF('House Count'!F91="COM-MTU",1,IF('House Count'!F91="ENT",1,0))),0)</f>
        <v>0</v>
      </c>
    </row>
    <row r="92" spans="1:11" x14ac:dyDescent="0.25">
      <c r="A92" s="109"/>
      <c r="B92" s="109"/>
      <c r="C92" s="109"/>
      <c r="D92" s="109"/>
      <c r="E92" s="109"/>
      <c r="F92" s="109"/>
      <c r="G92" s="109"/>
      <c r="H92" s="109"/>
      <c r="I92" s="68"/>
      <c r="J92">
        <f>IF('House Count'!H92="Y",IF('House Count'!F92="RES-SFU",1,IF('House Count'!F92="RES-MDU",1,IF('House Count'!F92="RES-HOA",1,0))),0)</f>
        <v>0</v>
      </c>
      <c r="K92">
        <f>IF('House Count'!H92="Y",IF('House Count'!F92="COMM-SU",1,IF('House Count'!F92="COM-MTU",1,IF('House Count'!F92="ENT",1,0))),0)</f>
        <v>0</v>
      </c>
    </row>
    <row r="93" spans="1:11" x14ac:dyDescent="0.25">
      <c r="A93" s="109"/>
      <c r="B93" s="109"/>
      <c r="C93" s="109"/>
      <c r="D93" s="109"/>
      <c r="E93" s="109"/>
      <c r="F93" s="109"/>
      <c r="G93" s="109"/>
      <c r="H93" s="109"/>
      <c r="I93" s="68"/>
      <c r="J93">
        <f>IF('House Count'!H93="Y",IF('House Count'!F93="RES-SFU",1,IF('House Count'!F93="RES-MDU",1,IF('House Count'!F93="RES-HOA",1,0))),0)</f>
        <v>0</v>
      </c>
      <c r="K93">
        <f>IF('House Count'!H93="Y",IF('House Count'!F93="COMM-SU",1,IF('House Count'!F93="COM-MTU",1,IF('House Count'!F93="ENT",1,0))),0)</f>
        <v>0</v>
      </c>
    </row>
    <row r="94" spans="1:11" x14ac:dyDescent="0.25">
      <c r="A94" s="109"/>
      <c r="B94" s="109"/>
      <c r="C94" s="109"/>
      <c r="D94" s="109"/>
      <c r="E94" s="109"/>
      <c r="F94" s="109"/>
      <c r="G94" s="109"/>
      <c r="H94" s="109"/>
      <c r="I94" s="68"/>
      <c r="J94">
        <f>IF('House Count'!H94="Y",IF('House Count'!F94="RES-SFU",1,IF('House Count'!F94="RES-MDU",1,IF('House Count'!F94="RES-HOA",1,0))),0)</f>
        <v>0</v>
      </c>
      <c r="K94">
        <f>IF('House Count'!H94="Y",IF('House Count'!F94="COMM-SU",1,IF('House Count'!F94="COM-MTU",1,IF('House Count'!F94="ENT",1,0))),0)</f>
        <v>0</v>
      </c>
    </row>
    <row r="95" spans="1:11" x14ac:dyDescent="0.25">
      <c r="A95" s="109"/>
      <c r="B95" s="109"/>
      <c r="C95" s="109"/>
      <c r="D95" s="109"/>
      <c r="E95" s="109"/>
      <c r="F95" s="109"/>
      <c r="G95" s="109"/>
      <c r="H95" s="109"/>
      <c r="I95" s="68"/>
      <c r="J95">
        <f>IF('House Count'!H95="Y",IF('House Count'!F95="RES-SFU",1,IF('House Count'!F95="RES-MDU",1,IF('House Count'!F95="RES-HOA",1,0))),0)</f>
        <v>0</v>
      </c>
      <c r="K95">
        <f>IF('House Count'!H95="Y",IF('House Count'!F95="COMM-SU",1,IF('House Count'!F95="COM-MTU",1,IF('House Count'!F95="ENT",1,0))),0)</f>
        <v>0</v>
      </c>
    </row>
    <row r="96" spans="1:11" x14ac:dyDescent="0.25">
      <c r="A96" s="109"/>
      <c r="B96" s="109"/>
      <c r="C96" s="109"/>
      <c r="D96" s="109"/>
      <c r="E96" s="109"/>
      <c r="F96" s="109"/>
      <c r="G96" s="109"/>
      <c r="H96" s="109"/>
      <c r="I96" s="68"/>
      <c r="J96">
        <f>IF('House Count'!H96="Y",IF('House Count'!F96="RES-SFU",1,IF('House Count'!F96="RES-MDU",1,IF('House Count'!F96="RES-HOA",1,0))),0)</f>
        <v>0</v>
      </c>
      <c r="K96">
        <f>IF('House Count'!H96="Y",IF('House Count'!F96="COMM-SU",1,IF('House Count'!F96="COM-MTU",1,IF('House Count'!F96="ENT",1,0))),0)</f>
        <v>0</v>
      </c>
    </row>
    <row r="97" spans="1:11" ht="15.75" thickBot="1" x14ac:dyDescent="0.3">
      <c r="A97" s="545"/>
      <c r="B97" s="545"/>
      <c r="C97" s="545"/>
      <c r="D97" s="545"/>
      <c r="E97" s="545"/>
      <c r="F97" s="545"/>
      <c r="G97" s="545"/>
      <c r="H97" s="545"/>
      <c r="I97" s="546"/>
      <c r="J97">
        <f>IF('House Count'!H97="Y",IF('House Count'!F97="RES-SFU",1,IF('House Count'!F97="RES-MDU",1,IF('House Count'!F97="RES-HOA",1,0))),0)</f>
        <v>0</v>
      </c>
      <c r="K97">
        <f>IF('House Count'!H97="Y",IF('House Count'!F97="COMM-SU",1,IF('House Count'!F97="COM-MTU",1,IF('House Count'!F97="ENT",1,0))),0)</f>
        <v>0</v>
      </c>
    </row>
    <row r="98" spans="1:11" ht="15.75" thickTop="1" x14ac:dyDescent="0.25">
      <c r="A98" s="109"/>
      <c r="B98" s="109"/>
      <c r="C98" s="109"/>
      <c r="D98" s="109"/>
      <c r="E98" s="109"/>
      <c r="F98" s="109"/>
      <c r="G98" s="109"/>
      <c r="H98" s="109"/>
      <c r="I98" s="68"/>
      <c r="J98">
        <f>IF('House Count'!H98="Y",IF('House Count'!F98="RES-SFU",1,IF('House Count'!F98="RES-MDU",1,IF('House Count'!F98="RES-HOA",1,0))),0)</f>
        <v>0</v>
      </c>
      <c r="K98">
        <f>IF('House Count'!H98="Y",IF('House Count'!F98="COMM-SU",1,IF('House Count'!F98="COM-MTU",1,IF('House Count'!F98="ENT",1,0))),0)</f>
        <v>0</v>
      </c>
    </row>
    <row r="99" spans="1:11" x14ac:dyDescent="0.25">
      <c r="A99" s="109"/>
      <c r="B99" s="109"/>
      <c r="C99" s="109"/>
      <c r="D99" s="109"/>
      <c r="E99" s="109"/>
      <c r="F99" s="109"/>
      <c r="G99" s="109"/>
      <c r="H99" s="109"/>
      <c r="I99" s="68"/>
      <c r="J99">
        <f>IF('House Count'!H99="Y",IF('House Count'!F99="RES-SFU",1,IF('House Count'!F99="RES-MDU",1,IF('House Count'!F99="RES-HOA",1,0))),0)</f>
        <v>0</v>
      </c>
      <c r="K99">
        <f>IF('House Count'!H99="Y",IF('House Count'!F99="COMM-SU",1,IF('House Count'!F99="COM-MTU",1,IF('House Count'!F99="ENT",1,0))),0)</f>
        <v>0</v>
      </c>
    </row>
    <row r="100" spans="1:11" x14ac:dyDescent="0.25">
      <c r="A100" s="109"/>
      <c r="B100" s="109"/>
      <c r="C100" s="109"/>
      <c r="D100" s="109"/>
      <c r="E100" s="109"/>
      <c r="F100" s="109"/>
      <c r="G100" s="109"/>
      <c r="H100" s="109"/>
      <c r="I100" s="68"/>
      <c r="J100">
        <f>IF('House Count'!H100="Y",IF('House Count'!F100="RES-SFU",1,IF('House Count'!F100="RES-MDU",1,IF('House Count'!F100="RES-HOA",1,0))),0)</f>
        <v>0</v>
      </c>
      <c r="K100">
        <f>IF('House Count'!H100="Y",IF('House Count'!F100="COMM-SU",1,IF('House Count'!F100="COM-MTU",1,IF('House Count'!F100="ENT",1,0))),0)</f>
        <v>0</v>
      </c>
    </row>
    <row r="101" spans="1:11" x14ac:dyDescent="0.25">
      <c r="A101" s="109"/>
      <c r="B101" s="109"/>
      <c r="C101" s="109"/>
      <c r="D101" s="109"/>
      <c r="E101" s="109"/>
      <c r="F101" s="109"/>
      <c r="G101" s="109"/>
      <c r="H101" s="109"/>
      <c r="I101" s="68"/>
      <c r="J101">
        <f>IF('House Count'!H101="Y",IF('House Count'!F101="RES-SFU",1,IF('House Count'!F101="RES-MDU",1,IF('House Count'!F101="RES-HOA",1,0))),0)</f>
        <v>0</v>
      </c>
      <c r="K101">
        <f>IF('House Count'!H101="Y",IF('House Count'!F101="COMM-SU",1,IF('House Count'!F101="COM-MTU",1,IF('House Count'!F101="ENT",1,0))),0)</f>
        <v>0</v>
      </c>
    </row>
    <row r="102" spans="1:11" x14ac:dyDescent="0.25">
      <c r="A102" s="109"/>
      <c r="B102" s="109"/>
      <c r="C102" s="109"/>
      <c r="D102" s="109"/>
      <c r="E102" s="109"/>
      <c r="F102" s="109"/>
      <c r="G102" s="109"/>
      <c r="H102" s="109"/>
      <c r="I102" s="68"/>
      <c r="J102">
        <f>IF('House Count'!H102="Y",IF('House Count'!F102="RES-SFU",1,IF('House Count'!F102="RES-MDU",1,IF('House Count'!F102="RES-HOA",1,0))),0)</f>
        <v>0</v>
      </c>
      <c r="K102">
        <f>IF('House Count'!H102="Y",IF('House Count'!F102="COMM-SU",1,IF('House Count'!F102="COM-MTU",1,IF('House Count'!F102="ENT",1,0))),0)</f>
        <v>0</v>
      </c>
    </row>
    <row r="103" spans="1:11" x14ac:dyDescent="0.25">
      <c r="A103" s="109"/>
      <c r="B103" s="109"/>
      <c r="C103" s="109"/>
      <c r="D103" s="109"/>
      <c r="E103" s="109"/>
      <c r="F103" s="109"/>
      <c r="G103" s="109"/>
      <c r="H103" s="109"/>
      <c r="I103" s="68"/>
      <c r="J103">
        <f>IF('House Count'!H103="Y",IF('House Count'!F103="RES-SFU",1,IF('House Count'!F103="RES-MDU",1,IF('House Count'!F103="RES-HOA",1,0))),0)</f>
        <v>0</v>
      </c>
      <c r="K103">
        <f>IF('House Count'!H103="Y",IF('House Count'!F103="COMM-SU",1,IF('House Count'!F103="COM-MTU",1,IF('House Count'!F103="ENT",1,0))),0)</f>
        <v>0</v>
      </c>
    </row>
    <row r="104" spans="1:11" x14ac:dyDescent="0.25">
      <c r="A104" s="109"/>
      <c r="B104" s="109"/>
      <c r="C104" s="109"/>
      <c r="D104" s="109"/>
      <c r="E104" s="109"/>
      <c r="F104" s="109"/>
      <c r="G104" s="109"/>
      <c r="H104" s="109"/>
      <c r="I104" s="68"/>
      <c r="J104">
        <f>IF('House Count'!H104="Y",IF('House Count'!F104="RES-SFU",1,IF('House Count'!F104="RES-MDU",1,IF('House Count'!F104="RES-HOA",1,0))),0)</f>
        <v>0</v>
      </c>
      <c r="K104">
        <f>IF('House Count'!H104="Y",IF('House Count'!F104="COMM-SU",1,IF('House Count'!F104="COM-MTU",1,IF('House Count'!F104="ENT",1,0))),0)</f>
        <v>0</v>
      </c>
    </row>
    <row r="105" spans="1:11" x14ac:dyDescent="0.25">
      <c r="A105" s="109"/>
      <c r="B105" s="109"/>
      <c r="C105" s="109"/>
      <c r="D105" s="109"/>
      <c r="E105" s="109"/>
      <c r="F105" s="109"/>
      <c r="G105" s="109"/>
      <c r="H105" s="109"/>
      <c r="I105" s="68"/>
      <c r="J105">
        <f>IF('House Count'!H105="Y",IF('House Count'!F105="RES-SFU",1,IF('House Count'!F105="RES-MDU",1,IF('House Count'!F105="RES-HOA",1,0))),0)</f>
        <v>0</v>
      </c>
      <c r="K105">
        <f>IF('House Count'!H105="Y",IF('House Count'!F105="COMM-SU",1,IF('House Count'!F105="COM-MTU",1,IF('House Count'!F105="ENT",1,0))),0)</f>
        <v>0</v>
      </c>
    </row>
    <row r="106" spans="1:11" x14ac:dyDescent="0.25">
      <c r="A106" s="109"/>
      <c r="B106" s="109"/>
      <c r="C106" s="109"/>
      <c r="D106" s="109"/>
      <c r="E106" s="109"/>
      <c r="F106" s="109"/>
      <c r="G106" s="109"/>
      <c r="H106" s="109"/>
      <c r="I106" s="68"/>
      <c r="J106">
        <f>IF('House Count'!H106="Y",IF('House Count'!F106="RES-SFU",1,IF('House Count'!F106="RES-MDU",1,IF('House Count'!F106="RES-HOA",1,0))),0)</f>
        <v>0</v>
      </c>
      <c r="K106">
        <f>IF('House Count'!H106="Y",IF('House Count'!F106="COMM-SU",1,IF('House Count'!F106="COM-MTU",1,IF('House Count'!F106="ENT",1,0))),0)</f>
        <v>0</v>
      </c>
    </row>
    <row r="107" spans="1:11" x14ac:dyDescent="0.25">
      <c r="A107" s="109"/>
      <c r="B107" s="109"/>
      <c r="C107" s="109"/>
      <c r="D107" s="109"/>
      <c r="E107" s="109"/>
      <c r="F107" s="109"/>
      <c r="G107" s="109"/>
      <c r="H107" s="109"/>
      <c r="I107" s="68"/>
      <c r="J107">
        <f>IF('House Count'!H107="Y",IF('House Count'!F107="RES-SFU",1,IF('House Count'!F107="RES-MDU",1,IF('House Count'!F107="RES-HOA",1,0))),0)</f>
        <v>0</v>
      </c>
      <c r="K107">
        <f>IF('House Count'!H107="Y",IF('House Count'!F107="COMM-SU",1,IF('House Count'!F107="COM-MTU",1,IF('House Count'!F107="ENT",1,0))),0)</f>
        <v>0</v>
      </c>
    </row>
    <row r="108" spans="1:11" x14ac:dyDescent="0.25">
      <c r="A108" s="109"/>
      <c r="B108" s="109"/>
      <c r="C108" s="109"/>
      <c r="D108" s="109"/>
      <c r="E108" s="109"/>
      <c r="F108" s="109"/>
      <c r="G108" s="109"/>
      <c r="H108" s="109"/>
      <c r="I108" s="68"/>
      <c r="J108">
        <f>IF('House Count'!H108="Y",IF('House Count'!F108="RES-SFU",1,IF('House Count'!F108="RES-MDU",1,IF('House Count'!F108="RES-HOA",1,0))),0)</f>
        <v>0</v>
      </c>
      <c r="K108">
        <f>IF('House Count'!H108="Y",IF('House Count'!F108="COMM-SU",1,IF('House Count'!F108="COM-MTU",1,IF('House Count'!F108="ENT",1,0))),0)</f>
        <v>0</v>
      </c>
    </row>
    <row r="109" spans="1:11" ht="15.75" thickBot="1" x14ac:dyDescent="0.3">
      <c r="A109" s="545"/>
      <c r="B109" s="545"/>
      <c r="C109" s="545"/>
      <c r="D109" s="545"/>
      <c r="E109" s="545"/>
      <c r="F109" s="545"/>
      <c r="G109" s="545"/>
      <c r="H109" s="545"/>
      <c r="I109" s="546"/>
      <c r="J109">
        <f>IF('House Count'!H109="Y",IF('House Count'!F109="RES-SFU",1,IF('House Count'!F109="RES-MDU",1,IF('House Count'!F109="RES-HOA",1,0))),0)</f>
        <v>0</v>
      </c>
      <c r="K109">
        <f>IF('House Count'!H109="Y",IF('House Count'!F109="COMM-SU",1,IF('House Count'!F109="COM-MTU",1,IF('House Count'!F109="ENT",1,0))),0)</f>
        <v>0</v>
      </c>
    </row>
    <row r="110" spans="1:11" ht="15.75" thickTop="1" x14ac:dyDescent="0.25">
      <c r="A110" s="109"/>
      <c r="B110" s="109"/>
      <c r="C110" s="109"/>
      <c r="D110" s="109"/>
      <c r="E110" s="109"/>
      <c r="F110" s="109"/>
      <c r="G110" s="109"/>
      <c r="H110" s="109"/>
      <c r="I110" s="68"/>
      <c r="J110">
        <f>IF('House Count'!H110="Y",IF('House Count'!F110="RES-SFU",1,IF('House Count'!F110="RES-MDU",1,IF('House Count'!F110="RES-HOA",1,0))),0)</f>
        <v>0</v>
      </c>
      <c r="K110">
        <f>IF('House Count'!H110="Y",IF('House Count'!F110="COMM-SU",1,IF('House Count'!F110="COM-MTU",1,IF('House Count'!F110="ENT",1,0))),0)</f>
        <v>0</v>
      </c>
    </row>
    <row r="111" spans="1:11" x14ac:dyDescent="0.25">
      <c r="A111" s="109"/>
      <c r="B111" s="109"/>
      <c r="C111" s="109"/>
      <c r="D111" s="109"/>
      <c r="E111" s="109"/>
      <c r="F111" s="109"/>
      <c r="G111" s="109"/>
      <c r="H111" s="109"/>
      <c r="I111" s="68"/>
      <c r="J111">
        <f>IF('House Count'!H111="Y",IF('House Count'!F111="RES-SFU",1,IF('House Count'!F111="RES-MDU",1,IF('House Count'!F111="RES-HOA",1,0))),0)</f>
        <v>0</v>
      </c>
      <c r="K111">
        <f>IF('House Count'!H111="Y",IF('House Count'!F111="COMM-SU",1,IF('House Count'!F111="COM-MTU",1,IF('House Count'!F111="ENT",1,0))),0)</f>
        <v>0</v>
      </c>
    </row>
    <row r="112" spans="1:11" x14ac:dyDescent="0.25">
      <c r="A112" s="109"/>
      <c r="B112" s="109"/>
      <c r="C112" s="109"/>
      <c r="D112" s="109"/>
      <c r="E112" s="109"/>
      <c r="F112" s="109"/>
      <c r="G112" s="109"/>
      <c r="H112" s="109"/>
      <c r="I112" s="68"/>
      <c r="J112">
        <f>IF('House Count'!H112="Y",IF('House Count'!F112="RES-SFU",1,IF('House Count'!F112="RES-MDU",1,IF('House Count'!F112="RES-HOA",1,0))),0)</f>
        <v>0</v>
      </c>
      <c r="K112">
        <f>IF('House Count'!H112="Y",IF('House Count'!F112="COMM-SU",1,IF('House Count'!F112="COM-MTU",1,IF('House Count'!F112="ENT",1,0))),0)</f>
        <v>0</v>
      </c>
    </row>
    <row r="113" spans="1:11" x14ac:dyDescent="0.25">
      <c r="A113" s="109"/>
      <c r="B113" s="109"/>
      <c r="C113" s="109"/>
      <c r="D113" s="109"/>
      <c r="E113" s="109"/>
      <c r="F113" s="109"/>
      <c r="G113" s="109"/>
      <c r="H113" s="109"/>
      <c r="I113" s="68"/>
      <c r="J113">
        <f>IF('House Count'!H113="Y",IF('House Count'!F113="RES-SFU",1,IF('House Count'!F113="RES-MDU",1,IF('House Count'!F113="RES-HOA",1,0))),0)</f>
        <v>0</v>
      </c>
      <c r="K113">
        <f>IF('House Count'!H113="Y",IF('House Count'!F113="COMM-SU",1,IF('House Count'!F113="COM-MTU",1,IF('House Count'!F113="ENT",1,0))),0)</f>
        <v>0</v>
      </c>
    </row>
    <row r="114" spans="1:11" x14ac:dyDescent="0.25">
      <c r="A114" s="109"/>
      <c r="B114" s="109"/>
      <c r="C114" s="109"/>
      <c r="D114" s="109"/>
      <c r="E114" s="109"/>
      <c r="F114" s="109"/>
      <c r="G114" s="109"/>
      <c r="H114" s="109"/>
      <c r="I114" s="68"/>
      <c r="J114">
        <f>IF('House Count'!H114="Y",IF('House Count'!F114="RES-SFU",1,IF('House Count'!F114="RES-MDU",1,IF('House Count'!F114="RES-HOA",1,0))),0)</f>
        <v>0</v>
      </c>
      <c r="K114">
        <f>IF('House Count'!H114="Y",IF('House Count'!F114="COMM-SU",1,IF('House Count'!F114="COM-MTU",1,IF('House Count'!F114="ENT",1,0))),0)</f>
        <v>0</v>
      </c>
    </row>
    <row r="115" spans="1:11" x14ac:dyDescent="0.25">
      <c r="A115" s="109"/>
      <c r="B115" s="109"/>
      <c r="C115" s="109"/>
      <c r="D115" s="109"/>
      <c r="E115" s="109"/>
      <c r="F115" s="109"/>
      <c r="G115" s="109"/>
      <c r="H115" s="109"/>
      <c r="I115" s="68"/>
      <c r="J115">
        <f>IF('House Count'!H115="Y",IF('House Count'!F115="RES-SFU",1,IF('House Count'!F115="RES-MDU",1,IF('House Count'!F115="RES-HOA",1,0))),0)</f>
        <v>0</v>
      </c>
      <c r="K115">
        <f>IF('House Count'!H115="Y",IF('House Count'!F115="COMM-SU",1,IF('House Count'!F115="COM-MTU",1,IF('House Count'!F115="ENT",1,0))),0)</f>
        <v>0</v>
      </c>
    </row>
    <row r="116" spans="1:11" x14ac:dyDescent="0.25">
      <c r="A116" s="109"/>
      <c r="B116" s="109"/>
      <c r="C116" s="109"/>
      <c r="D116" s="109"/>
      <c r="E116" s="109"/>
      <c r="F116" s="109"/>
      <c r="G116" s="109"/>
      <c r="H116" s="109"/>
      <c r="I116" s="68"/>
      <c r="J116">
        <f>IF('House Count'!H116="Y",IF('House Count'!F116="RES-SFU",1,IF('House Count'!F116="RES-MDU",1,IF('House Count'!F116="RES-HOA",1,0))),0)</f>
        <v>0</v>
      </c>
      <c r="K116">
        <f>IF('House Count'!H116="Y",IF('House Count'!F116="COMM-SU",1,IF('House Count'!F116="COM-MTU",1,IF('House Count'!F116="ENT",1,0))),0)</f>
        <v>0</v>
      </c>
    </row>
    <row r="117" spans="1:11" x14ac:dyDescent="0.25">
      <c r="A117" s="109"/>
      <c r="B117" s="109"/>
      <c r="C117" s="109"/>
      <c r="D117" s="109"/>
      <c r="E117" s="109"/>
      <c r="F117" s="109"/>
      <c r="G117" s="109"/>
      <c r="H117" s="109"/>
      <c r="I117" s="68"/>
      <c r="J117">
        <f>IF('House Count'!H117="Y",IF('House Count'!F117="RES-SFU",1,IF('House Count'!F117="RES-MDU",1,IF('House Count'!F117="RES-HOA",1,0))),0)</f>
        <v>0</v>
      </c>
      <c r="K117">
        <f>IF('House Count'!H117="Y",IF('House Count'!F117="COMM-SU",1,IF('House Count'!F117="COM-MTU",1,IF('House Count'!F117="ENT",1,0))),0)</f>
        <v>0</v>
      </c>
    </row>
    <row r="118" spans="1:11" x14ac:dyDescent="0.25">
      <c r="A118" s="109"/>
      <c r="B118" s="109"/>
      <c r="C118" s="109"/>
      <c r="D118" s="109"/>
      <c r="E118" s="109"/>
      <c r="F118" s="109"/>
      <c r="G118" s="109"/>
      <c r="H118" s="109"/>
      <c r="I118" s="68"/>
      <c r="J118">
        <f>IF('House Count'!H118="Y",IF('House Count'!F118="RES-SFU",1,IF('House Count'!F118="RES-MDU",1,IF('House Count'!F118="RES-HOA",1,0))),0)</f>
        <v>0</v>
      </c>
      <c r="K118">
        <f>IF('House Count'!H118="Y",IF('House Count'!F118="COMM-SU",1,IF('House Count'!F118="COM-MTU",1,IF('House Count'!F118="ENT",1,0))),0)</f>
        <v>0</v>
      </c>
    </row>
    <row r="119" spans="1:11" x14ac:dyDescent="0.25">
      <c r="A119" s="109"/>
      <c r="B119" s="109"/>
      <c r="C119" s="109"/>
      <c r="D119" s="109"/>
      <c r="E119" s="109"/>
      <c r="F119" s="109"/>
      <c r="G119" s="109"/>
      <c r="H119" s="109"/>
      <c r="I119" s="68"/>
      <c r="J119">
        <f>IF('House Count'!H119="Y",IF('House Count'!F119="RES-SFU",1,IF('House Count'!F119="RES-MDU",1,IF('House Count'!F119="RES-HOA",1,0))),0)</f>
        <v>0</v>
      </c>
      <c r="K119">
        <f>IF('House Count'!H119="Y",IF('House Count'!F119="COMM-SU",1,IF('House Count'!F119="COM-MTU",1,IF('House Count'!F119="ENT",1,0))),0)</f>
        <v>0</v>
      </c>
    </row>
    <row r="120" spans="1:11" x14ac:dyDescent="0.25">
      <c r="A120" s="109"/>
      <c r="B120" s="109"/>
      <c r="C120" s="109"/>
      <c r="D120" s="109"/>
      <c r="E120" s="109"/>
      <c r="F120" s="109"/>
      <c r="G120" s="109"/>
      <c r="H120" s="109"/>
      <c r="I120" s="68"/>
      <c r="J120">
        <f>IF('House Count'!H120="Y",IF('House Count'!F120="RES-SFU",1,IF('House Count'!F120="RES-MDU",1,IF('House Count'!F120="RES-HOA",1,0))),0)</f>
        <v>0</v>
      </c>
      <c r="K120">
        <f>IF('House Count'!H120="Y",IF('House Count'!F120="COMM-SU",1,IF('House Count'!F120="COM-MTU",1,IF('House Count'!F120="ENT",1,0))),0)</f>
        <v>0</v>
      </c>
    </row>
    <row r="121" spans="1:11" ht="15.75" thickBot="1" x14ac:dyDescent="0.3">
      <c r="A121" s="545"/>
      <c r="B121" s="545"/>
      <c r="C121" s="545"/>
      <c r="D121" s="545"/>
      <c r="E121" s="545"/>
      <c r="F121" s="545"/>
      <c r="G121" s="545"/>
      <c r="H121" s="545"/>
      <c r="I121" s="546"/>
      <c r="J121">
        <f>IF('House Count'!H121="Y",IF('House Count'!F121="RES-SFU",1,IF('House Count'!F121="RES-MDU",1,IF('House Count'!F121="RES-HOA",1,0))),0)</f>
        <v>0</v>
      </c>
      <c r="K121">
        <f>IF('House Count'!H121="Y",IF('House Count'!F121="COMM-SU",1,IF('House Count'!F121="COM-MTU",1,IF('House Count'!F121="ENT",1,0))),0)</f>
        <v>0</v>
      </c>
    </row>
    <row r="122" spans="1:11" ht="15.75" thickTop="1" x14ac:dyDescent="0.25">
      <c r="A122" s="109"/>
      <c r="B122" s="109"/>
      <c r="C122" s="109"/>
      <c r="D122" s="109"/>
      <c r="E122" s="109"/>
      <c r="F122" s="109"/>
      <c r="G122" s="109"/>
      <c r="H122" s="109"/>
      <c r="I122" s="68"/>
      <c r="J122">
        <f>IF('House Count'!H122="Y",IF('House Count'!F122="RES-SFU",1,IF('House Count'!F122="RES-MDU",1,IF('House Count'!F122="RES-HOA",1,0))),0)</f>
        <v>0</v>
      </c>
      <c r="K122">
        <f>IF('House Count'!H122="Y",IF('House Count'!F122="COMM-SU",1,IF('House Count'!F122="COM-MTU",1,IF('House Count'!F122="ENT",1,0))),0)</f>
        <v>0</v>
      </c>
    </row>
    <row r="123" spans="1:11" x14ac:dyDescent="0.25">
      <c r="A123" s="109"/>
      <c r="B123" s="109"/>
      <c r="C123" s="109"/>
      <c r="D123" s="109"/>
      <c r="E123" s="109"/>
      <c r="F123" s="109"/>
      <c r="G123" s="109"/>
      <c r="H123" s="109"/>
      <c r="I123" s="68"/>
      <c r="J123">
        <f>IF('House Count'!H123="Y",IF('House Count'!F123="RES-SFU",1,IF('House Count'!F123="RES-MDU",1,IF('House Count'!F123="RES-HOA",1,0))),0)</f>
        <v>0</v>
      </c>
      <c r="K123">
        <f>IF('House Count'!H123="Y",IF('House Count'!F123="COMM-SU",1,IF('House Count'!F123="COM-MTU",1,IF('House Count'!F123="ENT",1,0))),0)</f>
        <v>0</v>
      </c>
    </row>
    <row r="124" spans="1:11" x14ac:dyDescent="0.25">
      <c r="A124" s="109"/>
      <c r="B124" s="109"/>
      <c r="C124" s="109"/>
      <c r="D124" s="109"/>
      <c r="E124" s="109"/>
      <c r="F124" s="109"/>
      <c r="G124" s="109"/>
      <c r="H124" s="109"/>
      <c r="I124" s="68"/>
      <c r="J124">
        <f>IF('House Count'!H124="Y",IF('House Count'!F124="RES-SFU",1,IF('House Count'!F124="RES-MDU",1,IF('House Count'!F124="RES-HOA",1,0))),0)</f>
        <v>0</v>
      </c>
      <c r="K124">
        <f>IF('House Count'!H124="Y",IF('House Count'!F124="COMM-SU",1,IF('House Count'!F124="COM-MTU",1,IF('House Count'!F124="ENT",1,0))),0)</f>
        <v>0</v>
      </c>
    </row>
    <row r="125" spans="1:11" x14ac:dyDescent="0.25">
      <c r="A125" s="109"/>
      <c r="B125" s="109"/>
      <c r="C125" s="109"/>
      <c r="D125" s="109"/>
      <c r="E125" s="109"/>
      <c r="F125" s="109"/>
      <c r="G125" s="109"/>
      <c r="H125" s="109"/>
      <c r="I125" s="68"/>
      <c r="J125">
        <f>IF('House Count'!H125="Y",IF('House Count'!F125="RES-SFU",1,IF('House Count'!F125="RES-MDU",1,IF('House Count'!F125="RES-HOA",1,0))),0)</f>
        <v>0</v>
      </c>
      <c r="K125">
        <f>IF('House Count'!H125="Y",IF('House Count'!F125="COMM-SU",1,IF('House Count'!F125="COM-MTU",1,IF('House Count'!F125="ENT",1,0))),0)</f>
        <v>0</v>
      </c>
    </row>
    <row r="126" spans="1:11" x14ac:dyDescent="0.25">
      <c r="A126" s="109"/>
      <c r="B126" s="109"/>
      <c r="C126" s="109"/>
      <c r="D126" s="109"/>
      <c r="E126" s="109"/>
      <c r="F126" s="109"/>
      <c r="G126" s="109"/>
      <c r="H126" s="109"/>
      <c r="I126" s="68"/>
      <c r="J126">
        <f>IF('House Count'!H126="Y",IF('House Count'!F126="RES-SFU",1,IF('House Count'!F126="RES-MDU",1,IF('House Count'!F126="RES-HOA",1,0))),0)</f>
        <v>0</v>
      </c>
      <c r="K126">
        <f>IF('House Count'!H126="Y",IF('House Count'!F126="COMM-SU",1,IF('House Count'!F126="COM-MTU",1,IF('House Count'!F126="ENT",1,0))),0)</f>
        <v>0</v>
      </c>
    </row>
    <row r="127" spans="1:11" x14ac:dyDescent="0.25">
      <c r="A127" s="109"/>
      <c r="B127" s="109"/>
      <c r="C127" s="109"/>
      <c r="D127" s="109"/>
      <c r="E127" s="109"/>
      <c r="F127" s="109"/>
      <c r="G127" s="109"/>
      <c r="H127" s="109"/>
      <c r="I127" s="68"/>
      <c r="J127">
        <f>IF('House Count'!H127="Y",IF('House Count'!F127="RES-SFU",1,IF('House Count'!F127="RES-MDU",1,IF('House Count'!F127="RES-HOA",1,0))),0)</f>
        <v>0</v>
      </c>
      <c r="K127">
        <f>IF('House Count'!H127="Y",IF('House Count'!F127="COMM-SU",1,IF('House Count'!F127="COM-MTU",1,IF('House Count'!F127="ENT",1,0))),0)</f>
        <v>0</v>
      </c>
    </row>
    <row r="128" spans="1:11" x14ac:dyDescent="0.25">
      <c r="A128" s="109"/>
      <c r="B128" s="109"/>
      <c r="C128" s="109"/>
      <c r="D128" s="109"/>
      <c r="E128" s="109"/>
      <c r="F128" s="109"/>
      <c r="G128" s="109"/>
      <c r="H128" s="109"/>
      <c r="I128" s="68"/>
      <c r="J128">
        <f>IF('House Count'!H128="Y",IF('House Count'!F128="RES-SFU",1,IF('House Count'!F128="RES-MDU",1,IF('House Count'!F128="RES-HOA",1,0))),0)</f>
        <v>0</v>
      </c>
      <c r="K128">
        <f>IF('House Count'!H128="Y",IF('House Count'!F128="COMM-SU",1,IF('House Count'!F128="COM-MTU",1,IF('House Count'!F128="ENT",1,0))),0)</f>
        <v>0</v>
      </c>
    </row>
    <row r="129" spans="1:11" x14ac:dyDescent="0.25">
      <c r="A129" s="109"/>
      <c r="B129" s="109"/>
      <c r="C129" s="109"/>
      <c r="D129" s="109"/>
      <c r="E129" s="109"/>
      <c r="F129" s="109"/>
      <c r="G129" s="109"/>
      <c r="H129" s="109"/>
      <c r="I129" s="68"/>
      <c r="J129">
        <f>IF('House Count'!H129="Y",IF('House Count'!F129="RES-SFU",1,IF('House Count'!F129="RES-MDU",1,IF('House Count'!F129="RES-HOA",1,0))),0)</f>
        <v>0</v>
      </c>
      <c r="K129">
        <f>IF('House Count'!H129="Y",IF('House Count'!F129="COMM-SU",1,IF('House Count'!F129="COM-MTU",1,IF('House Count'!F129="ENT",1,0))),0)</f>
        <v>0</v>
      </c>
    </row>
    <row r="130" spans="1:11" x14ac:dyDescent="0.25">
      <c r="A130" s="109"/>
      <c r="B130" s="109"/>
      <c r="C130" s="109"/>
      <c r="D130" s="109"/>
      <c r="E130" s="109"/>
      <c r="F130" s="109"/>
      <c r="G130" s="109"/>
      <c r="H130" s="109"/>
      <c r="I130" s="68"/>
      <c r="J130">
        <f>IF('House Count'!H130="Y",IF('House Count'!F130="RES-SFU",1,IF('House Count'!F130="RES-MDU",1,IF('House Count'!F130="RES-HOA",1,0))),0)</f>
        <v>0</v>
      </c>
      <c r="K130">
        <f>IF('House Count'!H130="Y",IF('House Count'!F130="COMM-SU",1,IF('House Count'!F130="COM-MTU",1,IF('House Count'!F130="ENT",1,0))),0)</f>
        <v>0</v>
      </c>
    </row>
    <row r="131" spans="1:11" x14ac:dyDescent="0.25">
      <c r="A131" s="109"/>
      <c r="B131" s="109"/>
      <c r="C131" s="109"/>
      <c r="D131" s="109"/>
      <c r="E131" s="109"/>
      <c r="F131" s="109"/>
      <c r="G131" s="109"/>
      <c r="H131" s="109"/>
      <c r="I131" s="68"/>
      <c r="J131">
        <f>IF('House Count'!H131="Y",IF('House Count'!F131="RES-SFU",1,IF('House Count'!F131="RES-MDU",1,IF('House Count'!F131="RES-HOA",1,0))),0)</f>
        <v>0</v>
      </c>
      <c r="K131">
        <f>IF('House Count'!H131="Y",IF('House Count'!F131="COMM-SU",1,IF('House Count'!F131="COM-MTU",1,IF('House Count'!F131="ENT",1,0))),0)</f>
        <v>0</v>
      </c>
    </row>
    <row r="132" spans="1:11" x14ac:dyDescent="0.25">
      <c r="A132" s="109"/>
      <c r="B132" s="109"/>
      <c r="C132" s="109"/>
      <c r="D132" s="109"/>
      <c r="E132" s="109"/>
      <c r="F132" s="109"/>
      <c r="G132" s="109"/>
      <c r="H132" s="109"/>
      <c r="I132" s="68"/>
      <c r="J132">
        <f>IF('House Count'!H132="Y",IF('House Count'!F132="RES-SFU",1,IF('House Count'!F132="RES-MDU",1,IF('House Count'!F132="RES-HOA",1,0))),0)</f>
        <v>0</v>
      </c>
      <c r="K132">
        <f>IF('House Count'!H132="Y",IF('House Count'!F132="COMM-SU",1,IF('House Count'!F132="COM-MTU",1,IF('House Count'!F132="ENT",1,0))),0)</f>
        <v>0</v>
      </c>
    </row>
    <row r="133" spans="1:11" ht="15.75" thickBot="1" x14ac:dyDescent="0.3">
      <c r="A133" s="545"/>
      <c r="B133" s="545"/>
      <c r="C133" s="545"/>
      <c r="D133" s="545"/>
      <c r="E133" s="545"/>
      <c r="F133" s="545"/>
      <c r="G133" s="545"/>
      <c r="H133" s="545"/>
      <c r="I133" s="546"/>
      <c r="J133">
        <f>IF('House Count'!H133="Y",IF('House Count'!F133="RES-SFU",1,IF('House Count'!F133="RES-MDU",1,IF('House Count'!F133="RES-HOA",1,0))),0)</f>
        <v>0</v>
      </c>
      <c r="K133">
        <f>IF('House Count'!H133="Y",IF('House Count'!F133="COMM-SU",1,IF('House Count'!F133="COM-MTU",1,IF('House Count'!F133="ENT",1,0))),0)</f>
        <v>0</v>
      </c>
    </row>
    <row r="134" spans="1:11" ht="15.75" thickTop="1" x14ac:dyDescent="0.25">
      <c r="A134" s="109"/>
      <c r="B134" s="109"/>
      <c r="C134" s="109"/>
      <c r="D134" s="109"/>
      <c r="E134" s="109"/>
      <c r="F134" s="109"/>
      <c r="G134" s="109"/>
      <c r="H134" s="109"/>
      <c r="I134" s="68"/>
      <c r="J134">
        <f>IF('House Count'!H134="Y",IF('House Count'!F134="RES-SFU",1,IF('House Count'!F134="RES-MDU",1,IF('House Count'!F134="RES-HOA",1,0))),0)</f>
        <v>0</v>
      </c>
      <c r="K134">
        <f>IF('House Count'!H134="Y",IF('House Count'!F134="COMM-SU",1,IF('House Count'!F134="COM-MTU",1,IF('House Count'!F134="ENT",1,0))),0)</f>
        <v>0</v>
      </c>
    </row>
    <row r="135" spans="1:11" x14ac:dyDescent="0.25">
      <c r="A135" s="109"/>
      <c r="B135" s="109"/>
      <c r="C135" s="109"/>
      <c r="D135" s="109"/>
      <c r="E135" s="109"/>
      <c r="F135" s="109"/>
      <c r="G135" s="109"/>
      <c r="H135" s="109"/>
      <c r="I135" s="68"/>
      <c r="J135">
        <f>IF('House Count'!H135="Y",IF('House Count'!F135="RES-SFU",1,IF('House Count'!F135="RES-MDU",1,IF('House Count'!F135="RES-HOA",1,0))),0)</f>
        <v>0</v>
      </c>
      <c r="K135">
        <f>IF('House Count'!H135="Y",IF('House Count'!F135="COMM-SU",1,IF('House Count'!F135="COM-MTU",1,IF('House Count'!F135="ENT",1,0))),0)</f>
        <v>0</v>
      </c>
    </row>
    <row r="136" spans="1:11" x14ac:dyDescent="0.25">
      <c r="A136" s="109"/>
      <c r="B136" s="109"/>
      <c r="C136" s="109"/>
      <c r="D136" s="109"/>
      <c r="E136" s="109"/>
      <c r="F136" s="109"/>
      <c r="G136" s="109"/>
      <c r="H136" s="109"/>
      <c r="I136" s="68"/>
      <c r="J136">
        <f>IF('House Count'!H136="Y",IF('House Count'!F136="RES-SFU",1,IF('House Count'!F136="RES-MDU",1,IF('House Count'!F136="RES-HOA",1,0))),0)</f>
        <v>0</v>
      </c>
      <c r="K136">
        <f>IF('House Count'!H136="Y",IF('House Count'!F136="COMM-SU",1,IF('House Count'!F136="COM-MTU",1,IF('House Count'!F136="ENT",1,0))),0)</f>
        <v>0</v>
      </c>
    </row>
    <row r="137" spans="1:11" x14ac:dyDescent="0.25">
      <c r="A137" s="109"/>
      <c r="B137" s="109"/>
      <c r="C137" s="109"/>
      <c r="D137" s="109"/>
      <c r="E137" s="109"/>
      <c r="F137" s="109"/>
      <c r="G137" s="109"/>
      <c r="H137" s="109"/>
      <c r="I137" s="68"/>
      <c r="J137">
        <f>IF('House Count'!H137="Y",IF('House Count'!F137="RES-SFU",1,IF('House Count'!F137="RES-MDU",1,IF('House Count'!F137="RES-HOA",1,0))),0)</f>
        <v>0</v>
      </c>
      <c r="K137">
        <f>IF('House Count'!H137="Y",IF('House Count'!F137="COMM-SU",1,IF('House Count'!F137="COM-MTU",1,IF('House Count'!F137="ENT",1,0))),0)</f>
        <v>0</v>
      </c>
    </row>
    <row r="138" spans="1:11" x14ac:dyDescent="0.25">
      <c r="A138" s="109"/>
      <c r="B138" s="109"/>
      <c r="C138" s="109"/>
      <c r="D138" s="109"/>
      <c r="E138" s="109"/>
      <c r="F138" s="109"/>
      <c r="G138" s="109"/>
      <c r="H138" s="109"/>
      <c r="I138" s="68"/>
      <c r="J138">
        <f>IF('House Count'!H138="Y",IF('House Count'!F138="RES-SFU",1,IF('House Count'!F138="RES-MDU",1,IF('House Count'!F138="RES-HOA",1,0))),0)</f>
        <v>0</v>
      </c>
      <c r="K138">
        <f>IF('House Count'!H138="Y",IF('House Count'!F138="COMM-SU",1,IF('House Count'!F138="COM-MTU",1,IF('House Count'!F138="ENT",1,0))),0)</f>
        <v>0</v>
      </c>
    </row>
    <row r="139" spans="1:11" x14ac:dyDescent="0.25">
      <c r="A139" s="109"/>
      <c r="B139" s="109"/>
      <c r="C139" s="109"/>
      <c r="D139" s="109"/>
      <c r="E139" s="109"/>
      <c r="F139" s="109"/>
      <c r="G139" s="109"/>
      <c r="H139" s="109"/>
      <c r="I139" s="68"/>
      <c r="J139">
        <f>IF('House Count'!H139="Y",IF('House Count'!F139="RES-SFU",1,IF('House Count'!F139="RES-MDU",1,IF('House Count'!F139="RES-HOA",1,0))),0)</f>
        <v>0</v>
      </c>
      <c r="K139">
        <f>IF('House Count'!H139="Y",IF('House Count'!F139="COMM-SU",1,IF('House Count'!F139="COM-MTU",1,IF('House Count'!F139="ENT",1,0))),0)</f>
        <v>0</v>
      </c>
    </row>
    <row r="140" spans="1:11" x14ac:dyDescent="0.25">
      <c r="A140" s="109"/>
      <c r="B140" s="109"/>
      <c r="C140" s="109"/>
      <c r="D140" s="109"/>
      <c r="E140" s="109"/>
      <c r="F140" s="109"/>
      <c r="G140" s="109"/>
      <c r="H140" s="109"/>
      <c r="I140" s="68"/>
      <c r="J140">
        <f>IF('House Count'!H140="Y",IF('House Count'!F140="RES-SFU",1,IF('House Count'!F140="RES-MDU",1,IF('House Count'!F140="RES-HOA",1,0))),0)</f>
        <v>0</v>
      </c>
      <c r="K140">
        <f>IF('House Count'!H140="Y",IF('House Count'!F140="COMM-SU",1,IF('House Count'!F140="COM-MTU",1,IF('House Count'!F140="ENT",1,0))),0)</f>
        <v>0</v>
      </c>
    </row>
    <row r="141" spans="1:11" x14ac:dyDescent="0.25">
      <c r="A141" s="109"/>
      <c r="B141" s="109"/>
      <c r="C141" s="109"/>
      <c r="D141" s="109"/>
      <c r="E141" s="109"/>
      <c r="F141" s="109"/>
      <c r="G141" s="109"/>
      <c r="H141" s="109"/>
      <c r="I141" s="68"/>
      <c r="J141">
        <f>IF('House Count'!H141="Y",IF('House Count'!F141="RES-SFU",1,IF('House Count'!F141="RES-MDU",1,IF('House Count'!F141="RES-HOA",1,0))),0)</f>
        <v>0</v>
      </c>
      <c r="K141">
        <f>IF('House Count'!H141="Y",IF('House Count'!F141="COMM-SU",1,IF('House Count'!F141="COM-MTU",1,IF('House Count'!F141="ENT",1,0))),0)</f>
        <v>0</v>
      </c>
    </row>
    <row r="142" spans="1:11" x14ac:dyDescent="0.25">
      <c r="A142" s="109"/>
      <c r="B142" s="109"/>
      <c r="C142" s="109"/>
      <c r="D142" s="109"/>
      <c r="E142" s="109"/>
      <c r="F142" s="109"/>
      <c r="G142" s="109"/>
      <c r="H142" s="109"/>
      <c r="I142" s="68"/>
      <c r="J142">
        <f>IF('House Count'!H142="Y",IF('House Count'!F142="RES-SFU",1,IF('House Count'!F142="RES-MDU",1,IF('House Count'!F142="RES-HOA",1,0))),0)</f>
        <v>0</v>
      </c>
      <c r="K142">
        <f>IF('House Count'!H142="Y",IF('House Count'!F142="COMM-SU",1,IF('House Count'!F142="COM-MTU",1,IF('House Count'!F142="ENT",1,0))),0)</f>
        <v>0</v>
      </c>
    </row>
    <row r="143" spans="1:11" x14ac:dyDescent="0.25">
      <c r="A143" s="109"/>
      <c r="B143" s="109"/>
      <c r="C143" s="109"/>
      <c r="D143" s="109"/>
      <c r="E143" s="109"/>
      <c r="F143" s="109"/>
      <c r="G143" s="109"/>
      <c r="H143" s="109"/>
      <c r="I143" s="68"/>
      <c r="J143">
        <f>IF('House Count'!H143="Y",IF('House Count'!F143="RES-SFU",1,IF('House Count'!F143="RES-MDU",1,IF('House Count'!F143="RES-HOA",1,0))),0)</f>
        <v>0</v>
      </c>
      <c r="K143">
        <f>IF('House Count'!H143="Y",IF('House Count'!F143="COMM-SU",1,IF('House Count'!F143="COM-MTU",1,IF('House Count'!F143="ENT",1,0))),0)</f>
        <v>0</v>
      </c>
    </row>
    <row r="144" spans="1:11" x14ac:dyDescent="0.25">
      <c r="A144" s="109"/>
      <c r="B144" s="109"/>
      <c r="C144" s="109"/>
      <c r="D144" s="109"/>
      <c r="E144" s="109"/>
      <c r="F144" s="109"/>
      <c r="G144" s="109"/>
      <c r="H144" s="109"/>
      <c r="I144" s="68"/>
      <c r="J144">
        <f>IF('House Count'!H144="Y",IF('House Count'!F144="RES-SFU",1,IF('House Count'!F144="RES-MDU",1,IF('House Count'!F144="RES-HOA",1,0))),0)</f>
        <v>0</v>
      </c>
      <c r="K144">
        <f>IF('House Count'!H144="Y",IF('House Count'!F144="COMM-SU",1,IF('House Count'!F144="COM-MTU",1,IF('House Count'!F144="ENT",1,0))),0)</f>
        <v>0</v>
      </c>
    </row>
    <row r="145" spans="1:11" ht="15.75" thickBot="1" x14ac:dyDescent="0.3">
      <c r="A145" s="545"/>
      <c r="B145" s="545"/>
      <c r="C145" s="545"/>
      <c r="D145" s="545"/>
      <c r="E145" s="545"/>
      <c r="F145" s="545"/>
      <c r="G145" s="545"/>
      <c r="H145" s="545"/>
      <c r="I145" s="546"/>
      <c r="J145">
        <f>IF('House Count'!H145="Y",IF('House Count'!F145="RES-SFU",1,IF('House Count'!F145="RES-MDU",1,IF('House Count'!F145="RES-HOA",1,0))),0)</f>
        <v>0</v>
      </c>
      <c r="K145">
        <f>IF('House Count'!H145="Y",IF('House Count'!F145="COMM-SU",1,IF('House Count'!F145="COM-MTU",1,IF('House Count'!F145="ENT",1,0))),0)</f>
        <v>0</v>
      </c>
    </row>
    <row r="146" spans="1:11" ht="15.75" thickTop="1" x14ac:dyDescent="0.25">
      <c r="A146" s="109"/>
      <c r="B146" s="109"/>
      <c r="C146" s="109"/>
      <c r="D146" s="109"/>
      <c r="E146" s="109"/>
      <c r="F146" s="109"/>
      <c r="G146" s="109"/>
      <c r="H146" s="109"/>
      <c r="I146" s="68"/>
      <c r="J146">
        <f>IF('House Count'!H146="Y",IF('House Count'!F146="RES-SFU",1,IF('House Count'!F146="RES-MDU",1,IF('House Count'!F146="RES-HOA",1,0))),0)</f>
        <v>0</v>
      </c>
      <c r="K146">
        <f>IF('House Count'!H146="Y",IF('House Count'!F146="COMM-SU",1,IF('House Count'!F146="COM-MTU",1,IF('House Count'!F146="ENT",1,0))),0)</f>
        <v>0</v>
      </c>
    </row>
    <row r="147" spans="1:11" x14ac:dyDescent="0.25">
      <c r="A147" s="109"/>
      <c r="B147" s="109"/>
      <c r="C147" s="109"/>
      <c r="D147" s="109"/>
      <c r="E147" s="109"/>
      <c r="F147" s="109"/>
      <c r="G147" s="109"/>
      <c r="H147" s="109"/>
      <c r="I147" s="68"/>
      <c r="J147">
        <f>IF('House Count'!H147="Y",IF('House Count'!F147="RES-SFU",1,IF('House Count'!F147="RES-MDU",1,IF('House Count'!F147="RES-HOA",1,0))),0)</f>
        <v>0</v>
      </c>
      <c r="K147">
        <f>IF('House Count'!H147="Y",IF('House Count'!F147="COMM-SU",1,IF('House Count'!F147="COM-MTU",1,IF('House Count'!F147="ENT",1,0))),0)</f>
        <v>0</v>
      </c>
    </row>
    <row r="148" spans="1:11" x14ac:dyDescent="0.25">
      <c r="A148" s="109"/>
      <c r="B148" s="109"/>
      <c r="C148" s="109"/>
      <c r="D148" s="109"/>
      <c r="E148" s="109"/>
      <c r="F148" s="109"/>
      <c r="G148" s="109"/>
      <c r="H148" s="109"/>
      <c r="I148" s="68"/>
      <c r="J148">
        <f>IF('House Count'!H148="Y",IF('House Count'!F148="RES-SFU",1,IF('House Count'!F148="RES-MDU",1,IF('House Count'!F148="RES-HOA",1,0))),0)</f>
        <v>0</v>
      </c>
      <c r="K148">
        <f>IF('House Count'!H148="Y",IF('House Count'!F148="COMM-SU",1,IF('House Count'!F148="COM-MTU",1,IF('House Count'!F148="ENT",1,0))),0)</f>
        <v>0</v>
      </c>
    </row>
    <row r="149" spans="1:11" x14ac:dyDescent="0.25">
      <c r="A149" s="109"/>
      <c r="B149" s="109"/>
      <c r="C149" s="109"/>
      <c r="D149" s="109"/>
      <c r="E149" s="109"/>
      <c r="F149" s="109"/>
      <c r="G149" s="109"/>
      <c r="H149" s="109"/>
      <c r="I149" s="68"/>
      <c r="J149">
        <f>IF('House Count'!H149="Y",IF('House Count'!F149="RES-SFU",1,IF('House Count'!F149="RES-MDU",1,IF('House Count'!F149="RES-HOA",1,0))),0)</f>
        <v>0</v>
      </c>
      <c r="K149">
        <f>IF('House Count'!H149="Y",IF('House Count'!F149="COMM-SU",1,IF('House Count'!F149="COM-MTU",1,IF('House Count'!F149="ENT",1,0))),0)</f>
        <v>0</v>
      </c>
    </row>
    <row r="150" spans="1:11" x14ac:dyDescent="0.25">
      <c r="A150" s="109"/>
      <c r="B150" s="109"/>
      <c r="C150" s="109"/>
      <c r="D150" s="109"/>
      <c r="E150" s="109"/>
      <c r="F150" s="109"/>
      <c r="G150" s="109"/>
      <c r="H150" s="109"/>
      <c r="I150" s="68"/>
      <c r="J150">
        <f>IF('House Count'!H150="Y",IF('House Count'!F150="RES-SFU",1,IF('House Count'!F150="RES-MDU",1,IF('House Count'!F150="RES-HOA",1,0))),0)</f>
        <v>0</v>
      </c>
      <c r="K150">
        <f>IF('House Count'!H150="Y",IF('House Count'!F150="COMM-SU",1,IF('House Count'!F150="COM-MTU",1,IF('House Count'!F150="ENT",1,0))),0)</f>
        <v>0</v>
      </c>
    </row>
    <row r="151" spans="1:11" x14ac:dyDescent="0.25">
      <c r="A151" s="109"/>
      <c r="B151" s="109"/>
      <c r="C151" s="109"/>
      <c r="D151" s="109"/>
      <c r="E151" s="109"/>
      <c r="F151" s="109"/>
      <c r="G151" s="109"/>
      <c r="H151" s="109"/>
      <c r="I151" s="68"/>
      <c r="J151">
        <f>IF('House Count'!H151="Y",IF('House Count'!F151="RES-SFU",1,IF('House Count'!F151="RES-MDU",1,IF('House Count'!F151="RES-HOA",1,0))),0)</f>
        <v>0</v>
      </c>
      <c r="K151">
        <f>IF('House Count'!H151="Y",IF('House Count'!F151="COMM-SU",1,IF('House Count'!F151="COM-MTU",1,IF('House Count'!F151="ENT",1,0))),0)</f>
        <v>0</v>
      </c>
    </row>
    <row r="152" spans="1:11" x14ac:dyDescent="0.25">
      <c r="A152" s="109"/>
      <c r="B152" s="109"/>
      <c r="C152" s="109"/>
      <c r="D152" s="109"/>
      <c r="E152" s="109"/>
      <c r="F152" s="109"/>
      <c r="G152" s="109"/>
      <c r="H152" s="109"/>
      <c r="I152" s="68"/>
      <c r="J152">
        <f>IF('House Count'!H152="Y",IF('House Count'!F152="RES-SFU",1,IF('House Count'!F152="RES-MDU",1,IF('House Count'!F152="RES-HOA",1,0))),0)</f>
        <v>0</v>
      </c>
      <c r="K152">
        <f>IF('House Count'!H152="Y",IF('House Count'!F152="COMM-SU",1,IF('House Count'!F152="COM-MTU",1,IF('House Count'!F152="ENT",1,0))),0)</f>
        <v>0</v>
      </c>
    </row>
    <row r="153" spans="1:11" x14ac:dyDescent="0.25">
      <c r="A153" s="109"/>
      <c r="B153" s="109"/>
      <c r="C153" s="109"/>
      <c r="D153" s="109"/>
      <c r="E153" s="109"/>
      <c r="F153" s="109"/>
      <c r="G153" s="109"/>
      <c r="H153" s="109"/>
      <c r="I153" s="68"/>
      <c r="J153">
        <f>IF('House Count'!H153="Y",IF('House Count'!F153="RES-SFU",1,IF('House Count'!F153="RES-MDU",1,IF('House Count'!F153="RES-HOA",1,0))),0)</f>
        <v>0</v>
      </c>
      <c r="K153">
        <f>IF('House Count'!H153="Y",IF('House Count'!F153="COMM-SU",1,IF('House Count'!F153="COM-MTU",1,IF('House Count'!F153="ENT",1,0))),0)</f>
        <v>0</v>
      </c>
    </row>
    <row r="154" spans="1:11" x14ac:dyDescent="0.25">
      <c r="A154" s="109"/>
      <c r="B154" s="109"/>
      <c r="C154" s="109"/>
      <c r="D154" s="109"/>
      <c r="E154" s="109"/>
      <c r="F154" s="109"/>
      <c r="G154" s="109"/>
      <c r="H154" s="109"/>
      <c r="I154" s="68"/>
      <c r="J154">
        <f>IF('House Count'!H154="Y",IF('House Count'!F154="RES-SFU",1,IF('House Count'!F154="RES-MDU",1,IF('House Count'!F154="RES-HOA",1,0))),0)</f>
        <v>0</v>
      </c>
      <c r="K154">
        <f>IF('House Count'!H154="Y",IF('House Count'!F154="COMM-SU",1,IF('House Count'!F154="COM-MTU",1,IF('House Count'!F154="ENT",1,0))),0)</f>
        <v>0</v>
      </c>
    </row>
    <row r="155" spans="1:11" x14ac:dyDescent="0.25">
      <c r="A155" s="109"/>
      <c r="B155" s="109"/>
      <c r="C155" s="109"/>
      <c r="D155" s="109"/>
      <c r="E155" s="109"/>
      <c r="F155" s="109"/>
      <c r="G155" s="109"/>
      <c r="H155" s="109"/>
      <c r="I155" s="68"/>
      <c r="J155">
        <f>IF('House Count'!H155="Y",IF('House Count'!F155="RES-SFU",1,IF('House Count'!F155="RES-MDU",1,IF('House Count'!F155="RES-HOA",1,0))),0)</f>
        <v>0</v>
      </c>
      <c r="K155">
        <f>IF('House Count'!H155="Y",IF('House Count'!F155="COMM-SU",1,IF('House Count'!F155="COM-MTU",1,IF('House Count'!F155="ENT",1,0))),0)</f>
        <v>0</v>
      </c>
    </row>
    <row r="156" spans="1:11" x14ac:dyDescent="0.25">
      <c r="A156" s="109"/>
      <c r="B156" s="109"/>
      <c r="C156" s="109"/>
      <c r="D156" s="109"/>
      <c r="E156" s="109"/>
      <c r="F156" s="109"/>
      <c r="G156" s="109"/>
      <c r="H156" s="109"/>
      <c r="I156" s="68"/>
      <c r="J156">
        <f>IF('House Count'!H156="Y",IF('House Count'!F156="RES-SFU",1,IF('House Count'!F156="RES-MDU",1,IF('House Count'!F156="RES-HOA",1,0))),0)</f>
        <v>0</v>
      </c>
      <c r="K156">
        <f>IF('House Count'!H156="Y",IF('House Count'!F156="COMM-SU",1,IF('House Count'!F156="COM-MTU",1,IF('House Count'!F156="ENT",1,0))),0)</f>
        <v>0</v>
      </c>
    </row>
    <row r="157" spans="1:11" ht="15.75" thickBot="1" x14ac:dyDescent="0.3">
      <c r="A157" s="545"/>
      <c r="B157" s="545"/>
      <c r="C157" s="545"/>
      <c r="D157" s="545"/>
      <c r="E157" s="545"/>
      <c r="F157" s="545"/>
      <c r="G157" s="545"/>
      <c r="H157" s="545"/>
      <c r="I157" s="546"/>
      <c r="J157">
        <f>IF('House Count'!H157="Y",IF('House Count'!F157="RES-SFU",1,IF('House Count'!F157="RES-MDU",1,IF('House Count'!F157="RES-HOA",1,0))),0)</f>
        <v>0</v>
      </c>
      <c r="K157">
        <f>IF('House Count'!H157="Y",IF('House Count'!F157="COMM-SU",1,IF('House Count'!F157="COM-MTU",1,IF('House Count'!F157="ENT",1,0))),0)</f>
        <v>0</v>
      </c>
    </row>
    <row r="158" spans="1:11" ht="15.75" thickTop="1" x14ac:dyDescent="0.25">
      <c r="A158" s="109"/>
      <c r="B158" s="109"/>
      <c r="C158" s="109"/>
      <c r="D158" s="109"/>
      <c r="E158" s="109"/>
      <c r="F158" s="109"/>
      <c r="G158" s="109"/>
      <c r="H158" s="109"/>
      <c r="I158" s="68"/>
      <c r="J158">
        <f>IF('House Count'!H158="Y",IF('House Count'!F158="RES-SFU",1,IF('House Count'!F158="RES-MDU",1,IF('House Count'!F158="RES-HOA",1,0))),0)</f>
        <v>0</v>
      </c>
      <c r="K158">
        <f>IF('House Count'!H158="Y",IF('House Count'!F158="COMM-SU",1,IF('House Count'!F158="COM-MTU",1,IF('House Count'!F158="ENT",1,0))),0)</f>
        <v>0</v>
      </c>
    </row>
    <row r="159" spans="1:11" x14ac:dyDescent="0.25">
      <c r="A159" s="109"/>
      <c r="B159" s="109"/>
      <c r="C159" s="109"/>
      <c r="D159" s="109"/>
      <c r="E159" s="109"/>
      <c r="F159" s="109"/>
      <c r="G159" s="109"/>
      <c r="H159" s="109"/>
      <c r="I159" s="68"/>
      <c r="J159">
        <f>IF('House Count'!H159="Y",IF('House Count'!F159="RES-SFU",1,IF('House Count'!F159="RES-MDU",1,IF('House Count'!F159="RES-HOA",1,0))),0)</f>
        <v>0</v>
      </c>
      <c r="K159">
        <f>IF('House Count'!H159="Y",IF('House Count'!F159="COMM-SU",1,IF('House Count'!F159="COM-MTU",1,IF('House Count'!F159="ENT",1,0))),0)</f>
        <v>0</v>
      </c>
    </row>
    <row r="160" spans="1:11" x14ac:dyDescent="0.25">
      <c r="A160" s="109"/>
      <c r="B160" s="109"/>
      <c r="C160" s="109"/>
      <c r="D160" s="109"/>
      <c r="E160" s="109"/>
      <c r="F160" s="109"/>
      <c r="G160" s="109"/>
      <c r="H160" s="109"/>
      <c r="I160" s="68"/>
      <c r="J160">
        <f>IF('House Count'!H160="Y",IF('House Count'!F160="RES-SFU",1,IF('House Count'!F160="RES-MDU",1,IF('House Count'!F160="RES-HOA",1,0))),0)</f>
        <v>0</v>
      </c>
      <c r="K160">
        <f>IF('House Count'!H160="Y",IF('House Count'!F160="COMM-SU",1,IF('House Count'!F160="COM-MTU",1,IF('House Count'!F160="ENT",1,0))),0)</f>
        <v>0</v>
      </c>
    </row>
    <row r="161" spans="1:11" x14ac:dyDescent="0.25">
      <c r="A161" s="109"/>
      <c r="B161" s="109"/>
      <c r="C161" s="109"/>
      <c r="D161" s="109"/>
      <c r="E161" s="109"/>
      <c r="F161" s="109"/>
      <c r="G161" s="109"/>
      <c r="H161" s="109"/>
      <c r="I161" s="68"/>
      <c r="J161">
        <f>IF('House Count'!H161="Y",IF('House Count'!F161="RES-SFU",1,IF('House Count'!F161="RES-MDU",1,IF('House Count'!F161="RES-HOA",1,0))),0)</f>
        <v>0</v>
      </c>
      <c r="K161">
        <f>IF('House Count'!H161="Y",IF('House Count'!F161="COMM-SU",1,IF('House Count'!F161="COM-MTU",1,IF('House Count'!F161="ENT",1,0))),0)</f>
        <v>0</v>
      </c>
    </row>
    <row r="162" spans="1:11" x14ac:dyDescent="0.25">
      <c r="A162" s="109"/>
      <c r="B162" s="109"/>
      <c r="C162" s="109"/>
      <c r="D162" s="109"/>
      <c r="E162" s="109"/>
      <c r="F162" s="109"/>
      <c r="G162" s="109"/>
      <c r="H162" s="109"/>
      <c r="I162" s="68"/>
      <c r="J162">
        <f>IF('House Count'!H162="Y",IF('House Count'!F162="RES-SFU",1,IF('House Count'!F162="RES-MDU",1,IF('House Count'!F162="RES-HOA",1,0))),0)</f>
        <v>0</v>
      </c>
      <c r="K162">
        <f>IF('House Count'!H162="Y",IF('House Count'!F162="COMM-SU",1,IF('House Count'!F162="COM-MTU",1,IF('House Count'!F162="ENT",1,0))),0)</f>
        <v>0</v>
      </c>
    </row>
    <row r="163" spans="1:11" x14ac:dyDescent="0.25">
      <c r="A163" s="109"/>
      <c r="B163" s="109"/>
      <c r="C163" s="109"/>
      <c r="D163" s="109"/>
      <c r="E163" s="109"/>
      <c r="F163" s="109"/>
      <c r="G163" s="109"/>
      <c r="H163" s="109"/>
      <c r="I163" s="68"/>
      <c r="J163">
        <f>IF('House Count'!H163="Y",IF('House Count'!F163="RES-SFU",1,IF('House Count'!F163="RES-MDU",1,IF('House Count'!F163="RES-HOA",1,0))),0)</f>
        <v>0</v>
      </c>
      <c r="K163">
        <f>IF('House Count'!H163="Y",IF('House Count'!F163="COMM-SU",1,IF('House Count'!F163="COM-MTU",1,IF('House Count'!F163="ENT",1,0))),0)</f>
        <v>0</v>
      </c>
    </row>
    <row r="164" spans="1:11" x14ac:dyDescent="0.25">
      <c r="A164" s="109"/>
      <c r="B164" s="109"/>
      <c r="C164" s="109"/>
      <c r="D164" s="109"/>
      <c r="E164" s="109"/>
      <c r="F164" s="109"/>
      <c r="G164" s="109"/>
      <c r="H164" s="109"/>
      <c r="I164" s="68"/>
      <c r="J164">
        <f>IF('House Count'!H164="Y",IF('House Count'!F164="RES-SFU",1,IF('House Count'!F164="RES-MDU",1,IF('House Count'!F164="RES-HOA",1,0))),0)</f>
        <v>0</v>
      </c>
      <c r="K164">
        <f>IF('House Count'!H164="Y",IF('House Count'!F164="COMM-SU",1,IF('House Count'!F164="COM-MTU",1,IF('House Count'!F164="ENT",1,0))),0)</f>
        <v>0</v>
      </c>
    </row>
    <row r="165" spans="1:11" x14ac:dyDescent="0.25">
      <c r="A165" s="109"/>
      <c r="B165" s="109"/>
      <c r="C165" s="109"/>
      <c r="D165" s="109"/>
      <c r="E165" s="109"/>
      <c r="F165" s="109"/>
      <c r="G165" s="109"/>
      <c r="H165" s="109"/>
      <c r="I165" s="68"/>
      <c r="J165">
        <f>IF('House Count'!H165="Y",IF('House Count'!F165="RES-SFU",1,IF('House Count'!F165="RES-MDU",1,IF('House Count'!F165="RES-HOA",1,0))),0)</f>
        <v>0</v>
      </c>
      <c r="K165">
        <f>IF('House Count'!H165="Y",IF('House Count'!F165="COMM-SU",1,IF('House Count'!F165="COM-MTU",1,IF('House Count'!F165="ENT",1,0))),0)</f>
        <v>0</v>
      </c>
    </row>
    <row r="166" spans="1:11" x14ac:dyDescent="0.25">
      <c r="A166" s="109"/>
      <c r="B166" s="109"/>
      <c r="C166" s="109"/>
      <c r="D166" s="109"/>
      <c r="E166" s="109"/>
      <c r="F166" s="109"/>
      <c r="G166" s="109"/>
      <c r="H166" s="109"/>
      <c r="I166" s="68"/>
      <c r="J166">
        <f>IF('House Count'!H166="Y",IF('House Count'!F166="RES-SFU",1,IF('House Count'!F166="RES-MDU",1,IF('House Count'!F166="RES-HOA",1,0))),0)</f>
        <v>0</v>
      </c>
      <c r="K166">
        <f>IF('House Count'!H166="Y",IF('House Count'!F166="COMM-SU",1,IF('House Count'!F166="COM-MTU",1,IF('House Count'!F166="ENT",1,0))),0)</f>
        <v>0</v>
      </c>
    </row>
    <row r="167" spans="1:11" x14ac:dyDescent="0.25">
      <c r="A167" s="109"/>
      <c r="B167" s="109"/>
      <c r="C167" s="109"/>
      <c r="D167" s="109"/>
      <c r="E167" s="109"/>
      <c r="F167" s="109"/>
      <c r="G167" s="109"/>
      <c r="H167" s="109"/>
      <c r="I167" s="68"/>
      <c r="J167">
        <f>IF('House Count'!H167="Y",IF('House Count'!F167="RES-SFU",1,IF('House Count'!F167="RES-MDU",1,IF('House Count'!F167="RES-HOA",1,0))),0)</f>
        <v>0</v>
      </c>
      <c r="K167">
        <f>IF('House Count'!H167="Y",IF('House Count'!F167="COMM-SU",1,IF('House Count'!F167="COM-MTU",1,IF('House Count'!F167="ENT",1,0))),0)</f>
        <v>0</v>
      </c>
    </row>
    <row r="168" spans="1:11" x14ac:dyDescent="0.25">
      <c r="A168" s="109"/>
      <c r="B168" s="109"/>
      <c r="C168" s="109"/>
      <c r="D168" s="109"/>
      <c r="E168" s="109"/>
      <c r="F168" s="109"/>
      <c r="G168" s="109"/>
      <c r="H168" s="109"/>
      <c r="I168" s="68"/>
      <c r="J168">
        <f>IF('House Count'!H168="Y",IF('House Count'!F168="RES-SFU",1,IF('House Count'!F168="RES-MDU",1,IF('House Count'!F168="RES-HOA",1,0))),0)</f>
        <v>0</v>
      </c>
      <c r="K168">
        <f>IF('House Count'!H168="Y",IF('House Count'!F168="COMM-SU",1,IF('House Count'!F168="COM-MTU",1,IF('House Count'!F168="ENT",1,0))),0)</f>
        <v>0</v>
      </c>
    </row>
    <row r="169" spans="1:11" ht="15.75" thickBot="1" x14ac:dyDescent="0.3">
      <c r="A169" s="545"/>
      <c r="B169" s="545"/>
      <c r="C169" s="545"/>
      <c r="D169" s="545"/>
      <c r="E169" s="545"/>
      <c r="F169" s="545"/>
      <c r="G169" s="545"/>
      <c r="H169" s="545"/>
      <c r="I169" s="546"/>
      <c r="J169">
        <f>IF('House Count'!H169="Y",IF('House Count'!F169="RES-SFU",1,IF('House Count'!F169="RES-MDU",1,IF('House Count'!F169="RES-HOA",1,0))),0)</f>
        <v>0</v>
      </c>
      <c r="K169">
        <f>IF('House Count'!H169="Y",IF('House Count'!F169="COMM-SU",1,IF('House Count'!F169="COM-MTU",1,IF('House Count'!F169="ENT",1,0))),0)</f>
        <v>0</v>
      </c>
    </row>
    <row r="170" spans="1:11" ht="15.75" thickTop="1" x14ac:dyDescent="0.25">
      <c r="A170" s="109"/>
      <c r="B170" s="109"/>
      <c r="C170" s="109"/>
      <c r="D170" s="109"/>
      <c r="E170" s="109"/>
      <c r="F170" s="109"/>
      <c r="G170" s="109"/>
      <c r="H170" s="109"/>
      <c r="I170" s="68"/>
      <c r="J170">
        <f>IF('House Count'!H170="Y",IF('House Count'!F170="RES-SFU",1,IF('House Count'!F170="RES-MDU",1,IF('House Count'!F170="RES-HOA",1,0))),0)</f>
        <v>0</v>
      </c>
      <c r="K170">
        <f>IF('House Count'!H170="Y",IF('House Count'!F170="COMM-SU",1,IF('House Count'!F170="COM-MTU",1,IF('House Count'!F170="ENT",1,0))),0)</f>
        <v>0</v>
      </c>
    </row>
    <row r="171" spans="1:11" x14ac:dyDescent="0.25">
      <c r="A171" s="109"/>
      <c r="B171" s="109"/>
      <c r="C171" s="109"/>
      <c r="D171" s="109"/>
      <c r="E171" s="109"/>
      <c r="F171" s="109"/>
      <c r="G171" s="109"/>
      <c r="H171" s="109"/>
      <c r="I171" s="68"/>
      <c r="J171">
        <f>IF('House Count'!H171="Y",IF('House Count'!F171="RES-SFU",1,IF('House Count'!F171="RES-MDU",1,IF('House Count'!F171="RES-HOA",1,0))),0)</f>
        <v>0</v>
      </c>
      <c r="K171">
        <f>IF('House Count'!H171="Y",IF('House Count'!F171="COMM-SU",1,IF('House Count'!F171="COM-MTU",1,IF('House Count'!F171="ENT",1,0))),0)</f>
        <v>0</v>
      </c>
    </row>
    <row r="172" spans="1:11" x14ac:dyDescent="0.25">
      <c r="A172" s="109"/>
      <c r="B172" s="109"/>
      <c r="C172" s="109"/>
      <c r="D172" s="109"/>
      <c r="E172" s="109"/>
      <c r="F172" s="109"/>
      <c r="G172" s="109"/>
      <c r="H172" s="109"/>
      <c r="I172" s="68"/>
      <c r="J172">
        <f>IF('House Count'!H172="Y",IF('House Count'!F172="RES-SFU",1,IF('House Count'!F172="RES-MDU",1,IF('House Count'!F172="RES-HOA",1,0))),0)</f>
        <v>0</v>
      </c>
      <c r="K172">
        <f>IF('House Count'!H172="Y",IF('House Count'!F172="COMM-SU",1,IF('House Count'!F172="COM-MTU",1,IF('House Count'!F172="ENT",1,0))),0)</f>
        <v>0</v>
      </c>
    </row>
    <row r="173" spans="1:11" x14ac:dyDescent="0.25">
      <c r="A173" s="109"/>
      <c r="B173" s="109"/>
      <c r="C173" s="109"/>
      <c r="D173" s="109"/>
      <c r="E173" s="109"/>
      <c r="F173" s="109"/>
      <c r="G173" s="109"/>
      <c r="H173" s="109"/>
      <c r="I173" s="68"/>
      <c r="J173">
        <f>IF('House Count'!H173="Y",IF('House Count'!F173="RES-SFU",1,IF('House Count'!F173="RES-MDU",1,IF('House Count'!F173="RES-HOA",1,0))),0)</f>
        <v>0</v>
      </c>
      <c r="K173">
        <f>IF('House Count'!H173="Y",IF('House Count'!F173="COMM-SU",1,IF('House Count'!F173="COM-MTU",1,IF('House Count'!F173="ENT",1,0))),0)</f>
        <v>0</v>
      </c>
    </row>
    <row r="174" spans="1:11" x14ac:dyDescent="0.25">
      <c r="A174" s="109"/>
      <c r="B174" s="109"/>
      <c r="C174" s="109"/>
      <c r="D174" s="109"/>
      <c r="E174" s="109"/>
      <c r="F174" s="109"/>
      <c r="G174" s="109"/>
      <c r="H174" s="109"/>
      <c r="I174" s="68"/>
      <c r="J174">
        <f>IF('House Count'!H174="Y",IF('House Count'!F174="RES-SFU",1,IF('House Count'!F174="RES-MDU",1,IF('House Count'!F174="RES-HOA",1,0))),0)</f>
        <v>0</v>
      </c>
      <c r="K174">
        <f>IF('House Count'!H174="Y",IF('House Count'!F174="COMM-SU",1,IF('House Count'!F174="COM-MTU",1,IF('House Count'!F174="ENT",1,0))),0)</f>
        <v>0</v>
      </c>
    </row>
    <row r="175" spans="1:11" x14ac:dyDescent="0.25">
      <c r="A175" s="109"/>
      <c r="B175" s="109"/>
      <c r="C175" s="109"/>
      <c r="D175" s="109"/>
      <c r="E175" s="109"/>
      <c r="F175" s="109"/>
      <c r="G175" s="109"/>
      <c r="H175" s="109"/>
      <c r="I175" s="68"/>
      <c r="J175">
        <f>IF('House Count'!H175="Y",IF('House Count'!F175="RES-SFU",1,IF('House Count'!F175="RES-MDU",1,IF('House Count'!F175="RES-HOA",1,0))),0)</f>
        <v>0</v>
      </c>
      <c r="K175">
        <f>IF('House Count'!H175="Y",IF('House Count'!F175="COMM-SU",1,IF('House Count'!F175="COM-MTU",1,IF('House Count'!F175="ENT",1,0))),0)</f>
        <v>0</v>
      </c>
    </row>
    <row r="176" spans="1:11" x14ac:dyDescent="0.25">
      <c r="A176" s="109"/>
      <c r="B176" s="109"/>
      <c r="C176" s="109"/>
      <c r="D176" s="109"/>
      <c r="E176" s="109"/>
      <c r="F176" s="109"/>
      <c r="G176" s="109"/>
      <c r="H176" s="109"/>
      <c r="I176" s="68"/>
      <c r="J176">
        <f>IF('House Count'!H176="Y",IF('House Count'!F176="RES-SFU",1,IF('House Count'!F176="RES-MDU",1,IF('House Count'!F176="RES-HOA",1,0))),0)</f>
        <v>0</v>
      </c>
      <c r="K176">
        <f>IF('House Count'!H176="Y",IF('House Count'!F176="COMM-SU",1,IF('House Count'!F176="COM-MTU",1,IF('House Count'!F176="ENT",1,0))),0)</f>
        <v>0</v>
      </c>
    </row>
    <row r="177" spans="1:11" x14ac:dyDescent="0.25">
      <c r="A177" s="109"/>
      <c r="B177" s="109"/>
      <c r="C177" s="109"/>
      <c r="D177" s="109"/>
      <c r="E177" s="109"/>
      <c r="F177" s="109"/>
      <c r="G177" s="109"/>
      <c r="H177" s="109"/>
      <c r="I177" s="68"/>
      <c r="J177">
        <f>IF('House Count'!H177="Y",IF('House Count'!F177="RES-SFU",1,IF('House Count'!F177="RES-MDU",1,IF('House Count'!F177="RES-HOA",1,0))),0)</f>
        <v>0</v>
      </c>
      <c r="K177">
        <f>IF('House Count'!H177="Y",IF('House Count'!F177="COMM-SU",1,IF('House Count'!F177="COM-MTU",1,IF('House Count'!F177="ENT",1,0))),0)</f>
        <v>0</v>
      </c>
    </row>
    <row r="178" spans="1:11" x14ac:dyDescent="0.25">
      <c r="A178" s="109"/>
      <c r="B178" s="109"/>
      <c r="C178" s="109"/>
      <c r="D178" s="109"/>
      <c r="E178" s="109"/>
      <c r="F178" s="109"/>
      <c r="G178" s="109"/>
      <c r="H178" s="109"/>
      <c r="I178" s="68"/>
      <c r="J178">
        <f>IF('House Count'!H178="Y",IF('House Count'!F178="RES-SFU",1,IF('House Count'!F178="RES-MDU",1,IF('House Count'!F178="RES-HOA",1,0))),0)</f>
        <v>0</v>
      </c>
      <c r="K178">
        <f>IF('House Count'!H178="Y",IF('House Count'!F178="COMM-SU",1,IF('House Count'!F178="COM-MTU",1,IF('House Count'!F178="ENT",1,0))),0)</f>
        <v>0</v>
      </c>
    </row>
    <row r="179" spans="1:11" x14ac:dyDescent="0.25">
      <c r="A179" s="109"/>
      <c r="B179" s="109"/>
      <c r="C179" s="109"/>
      <c r="D179" s="109"/>
      <c r="E179" s="109"/>
      <c r="F179" s="109"/>
      <c r="G179" s="109"/>
      <c r="H179" s="109"/>
      <c r="I179" s="68"/>
      <c r="J179">
        <f>IF('House Count'!H179="Y",IF('House Count'!F179="RES-SFU",1,IF('House Count'!F179="RES-MDU",1,IF('House Count'!F179="RES-HOA",1,0))),0)</f>
        <v>0</v>
      </c>
      <c r="K179">
        <f>IF('House Count'!H179="Y",IF('House Count'!F179="COMM-SU",1,IF('House Count'!F179="COM-MTU",1,IF('House Count'!F179="ENT",1,0))),0)</f>
        <v>0</v>
      </c>
    </row>
    <row r="180" spans="1:11" x14ac:dyDescent="0.25">
      <c r="A180" s="109"/>
      <c r="B180" s="109"/>
      <c r="C180" s="109"/>
      <c r="D180" s="109"/>
      <c r="E180" s="109"/>
      <c r="F180" s="109"/>
      <c r="G180" s="109"/>
      <c r="H180" s="109"/>
      <c r="I180" s="68"/>
      <c r="J180">
        <f>IF('House Count'!H180="Y",IF('House Count'!F180="RES-SFU",1,IF('House Count'!F180="RES-MDU",1,IF('House Count'!F180="RES-HOA",1,0))),0)</f>
        <v>0</v>
      </c>
      <c r="K180">
        <f>IF('House Count'!H180="Y",IF('House Count'!F180="COMM-SU",1,IF('House Count'!F180="COM-MTU",1,IF('House Count'!F180="ENT",1,0))),0)</f>
        <v>0</v>
      </c>
    </row>
    <row r="181" spans="1:11" ht="15.75" thickBot="1" x14ac:dyDescent="0.3">
      <c r="A181" s="545"/>
      <c r="B181" s="545"/>
      <c r="C181" s="545"/>
      <c r="D181" s="545"/>
      <c r="E181" s="545"/>
      <c r="F181" s="545"/>
      <c r="G181" s="545"/>
      <c r="H181" s="545"/>
      <c r="I181" s="546"/>
      <c r="J181">
        <f>IF('House Count'!H181="Y",IF('House Count'!F181="RES-SFU",1,IF('House Count'!F181="RES-MDU",1,IF('House Count'!F181="RES-HOA",1,0))),0)</f>
        <v>0</v>
      </c>
      <c r="K181">
        <f>IF('House Count'!H181="Y",IF('House Count'!F181="COMM-SU",1,IF('House Count'!F181="COM-MTU",1,IF('House Count'!F181="ENT",1,0))),0)</f>
        <v>0</v>
      </c>
    </row>
    <row r="182" spans="1:11" ht="15.75" thickTop="1" x14ac:dyDescent="0.25">
      <c r="A182" s="109"/>
      <c r="B182" s="109"/>
      <c r="C182" s="109"/>
      <c r="D182" s="109"/>
      <c r="E182" s="109"/>
      <c r="F182" s="109"/>
      <c r="G182" s="109"/>
      <c r="H182" s="109"/>
      <c r="I182" s="68"/>
      <c r="J182">
        <f>IF('House Count'!H182="Y",IF('House Count'!F182="RES-SFU",1,IF('House Count'!F182="RES-MDU",1,IF('House Count'!F182="RES-HOA",1,0))),0)</f>
        <v>0</v>
      </c>
      <c r="K182">
        <f>IF('House Count'!H182="Y",IF('House Count'!F182="COMM-SU",1,IF('House Count'!F182="COM-MTU",1,IF('House Count'!F182="ENT",1,0))),0)</f>
        <v>0</v>
      </c>
    </row>
    <row r="183" spans="1:11" x14ac:dyDescent="0.25">
      <c r="A183" s="109"/>
      <c r="B183" s="109"/>
      <c r="C183" s="109"/>
      <c r="D183" s="109"/>
      <c r="E183" s="109"/>
      <c r="F183" s="109"/>
      <c r="G183" s="109"/>
      <c r="H183" s="109"/>
      <c r="I183" s="68"/>
      <c r="J183">
        <f>IF('House Count'!H183="Y",IF('House Count'!F183="RES-SFU",1,IF('House Count'!F183="RES-MDU",1,IF('House Count'!F183="RES-HOA",1,0))),0)</f>
        <v>0</v>
      </c>
      <c r="K183">
        <f>IF('House Count'!H183="Y",IF('House Count'!F183="COMM-SU",1,IF('House Count'!F183="COM-MTU",1,IF('House Count'!F183="ENT",1,0))),0)</f>
        <v>0</v>
      </c>
    </row>
    <row r="184" spans="1:11" x14ac:dyDescent="0.25">
      <c r="A184" s="109"/>
      <c r="B184" s="109"/>
      <c r="C184" s="109"/>
      <c r="D184" s="109"/>
      <c r="E184" s="109"/>
      <c r="F184" s="109"/>
      <c r="G184" s="109"/>
      <c r="H184" s="109"/>
      <c r="I184" s="68"/>
      <c r="J184">
        <f>IF('House Count'!H184="Y",IF('House Count'!F184="RES-SFU",1,IF('House Count'!F184="RES-MDU",1,IF('House Count'!F184="RES-HOA",1,0))),0)</f>
        <v>0</v>
      </c>
      <c r="K184">
        <f>IF('House Count'!H184="Y",IF('House Count'!F184="COMM-SU",1,IF('House Count'!F184="COM-MTU",1,IF('House Count'!F184="ENT",1,0))),0)</f>
        <v>0</v>
      </c>
    </row>
    <row r="185" spans="1:11" x14ac:dyDescent="0.25">
      <c r="A185" s="109"/>
      <c r="B185" s="109"/>
      <c r="C185" s="109"/>
      <c r="D185" s="109"/>
      <c r="E185" s="109"/>
      <c r="F185" s="109"/>
      <c r="G185" s="109"/>
      <c r="H185" s="109"/>
      <c r="I185" s="68"/>
      <c r="J185">
        <f>IF('House Count'!H185="Y",IF('House Count'!F185="RES-SFU",1,IF('House Count'!F185="RES-MDU",1,IF('House Count'!F185="RES-HOA",1,0))),0)</f>
        <v>0</v>
      </c>
      <c r="K185">
        <f>IF('House Count'!H185="Y",IF('House Count'!F185="COMM-SU",1,IF('House Count'!F185="COM-MTU",1,IF('House Count'!F185="ENT",1,0))),0)</f>
        <v>0</v>
      </c>
    </row>
    <row r="186" spans="1:11" x14ac:dyDescent="0.25">
      <c r="A186" s="109"/>
      <c r="B186" s="109"/>
      <c r="C186" s="109"/>
      <c r="D186" s="109"/>
      <c r="E186" s="109"/>
      <c r="F186" s="109"/>
      <c r="G186" s="109"/>
      <c r="H186" s="109"/>
      <c r="I186" s="68"/>
      <c r="J186">
        <f>IF('House Count'!H186="Y",IF('House Count'!F186="RES-SFU",1,IF('House Count'!F186="RES-MDU",1,IF('House Count'!F186="RES-HOA",1,0))),0)</f>
        <v>0</v>
      </c>
      <c r="K186">
        <f>IF('House Count'!H186="Y",IF('House Count'!F186="COMM-SU",1,IF('House Count'!F186="COM-MTU",1,IF('House Count'!F186="ENT",1,0))),0)</f>
        <v>0</v>
      </c>
    </row>
    <row r="187" spans="1:11" x14ac:dyDescent="0.25">
      <c r="A187" s="109"/>
      <c r="B187" s="109"/>
      <c r="C187" s="109"/>
      <c r="D187" s="109"/>
      <c r="E187" s="109"/>
      <c r="F187" s="109"/>
      <c r="G187" s="109"/>
      <c r="H187" s="109"/>
      <c r="I187" s="68"/>
      <c r="J187">
        <f>IF('House Count'!H187="Y",IF('House Count'!F187="RES-SFU",1,IF('House Count'!F187="RES-MDU",1,IF('House Count'!F187="RES-HOA",1,0))),0)</f>
        <v>0</v>
      </c>
      <c r="K187">
        <f>IF('House Count'!H187="Y",IF('House Count'!F187="COMM-SU",1,IF('House Count'!F187="COM-MTU",1,IF('House Count'!F187="ENT",1,0))),0)</f>
        <v>0</v>
      </c>
    </row>
    <row r="188" spans="1:11" x14ac:dyDescent="0.25">
      <c r="A188" s="109"/>
      <c r="B188" s="109"/>
      <c r="C188" s="109"/>
      <c r="D188" s="109"/>
      <c r="E188" s="109"/>
      <c r="F188" s="109"/>
      <c r="G188" s="109"/>
      <c r="H188" s="109"/>
      <c r="I188" s="68"/>
      <c r="J188">
        <f>IF('House Count'!H188="Y",IF('House Count'!F188="RES-SFU",1,IF('House Count'!F188="RES-MDU",1,IF('House Count'!F188="RES-HOA",1,0))),0)</f>
        <v>0</v>
      </c>
      <c r="K188">
        <f>IF('House Count'!H188="Y",IF('House Count'!F188="COMM-SU",1,IF('House Count'!F188="COM-MTU",1,IF('House Count'!F188="ENT",1,0))),0)</f>
        <v>0</v>
      </c>
    </row>
    <row r="189" spans="1:11" x14ac:dyDescent="0.25">
      <c r="A189" s="109"/>
      <c r="B189" s="109"/>
      <c r="C189" s="109"/>
      <c r="D189" s="109"/>
      <c r="E189" s="109"/>
      <c r="F189" s="109"/>
      <c r="G189" s="109"/>
      <c r="H189" s="109"/>
      <c r="I189" s="68"/>
      <c r="J189">
        <f>IF('House Count'!H189="Y",IF('House Count'!F189="RES-SFU",1,IF('House Count'!F189="RES-MDU",1,IF('House Count'!F189="RES-HOA",1,0))),0)</f>
        <v>0</v>
      </c>
      <c r="K189">
        <f>IF('House Count'!H189="Y",IF('House Count'!F189="COMM-SU",1,IF('House Count'!F189="COM-MTU",1,IF('House Count'!F189="ENT",1,0))),0)</f>
        <v>0</v>
      </c>
    </row>
    <row r="190" spans="1:11" x14ac:dyDescent="0.25">
      <c r="A190" s="109"/>
      <c r="B190" s="109"/>
      <c r="C190" s="109"/>
      <c r="D190" s="109"/>
      <c r="E190" s="109"/>
      <c r="F190" s="109"/>
      <c r="G190" s="109"/>
      <c r="H190" s="109"/>
      <c r="I190" s="68"/>
      <c r="J190">
        <f>IF('House Count'!H190="Y",IF('House Count'!F190="RES-SFU",1,IF('House Count'!F190="RES-MDU",1,IF('House Count'!F190="RES-HOA",1,0))),0)</f>
        <v>0</v>
      </c>
      <c r="K190">
        <f>IF('House Count'!H190="Y",IF('House Count'!F190="COMM-SU",1,IF('House Count'!F190="COM-MTU",1,IF('House Count'!F190="ENT",1,0))),0)</f>
        <v>0</v>
      </c>
    </row>
    <row r="191" spans="1:11" x14ac:dyDescent="0.25">
      <c r="A191" s="109"/>
      <c r="B191" s="109"/>
      <c r="C191" s="109"/>
      <c r="D191" s="109"/>
      <c r="E191" s="109"/>
      <c r="F191" s="109"/>
      <c r="G191" s="109"/>
      <c r="H191" s="109"/>
      <c r="I191" s="68"/>
      <c r="J191">
        <f>IF('House Count'!H191="Y",IF('House Count'!F191="RES-SFU",1,IF('House Count'!F191="RES-MDU",1,IF('House Count'!F191="RES-HOA",1,0))),0)</f>
        <v>0</v>
      </c>
      <c r="K191">
        <f>IF('House Count'!H191="Y",IF('House Count'!F191="COMM-SU",1,IF('House Count'!F191="COM-MTU",1,IF('House Count'!F191="ENT",1,0))),0)</f>
        <v>0</v>
      </c>
    </row>
    <row r="192" spans="1:11" x14ac:dyDescent="0.25">
      <c r="A192" s="109"/>
      <c r="B192" s="109"/>
      <c r="C192" s="109"/>
      <c r="D192" s="109"/>
      <c r="E192" s="109"/>
      <c r="F192" s="109"/>
      <c r="G192" s="109"/>
      <c r="H192" s="109"/>
      <c r="I192" s="68"/>
      <c r="J192">
        <f>IF('House Count'!H192="Y",IF('House Count'!F192="RES-SFU",1,IF('House Count'!F192="RES-MDU",1,IF('House Count'!F192="RES-HOA",1,0))),0)</f>
        <v>0</v>
      </c>
      <c r="K192">
        <f>IF('House Count'!H192="Y",IF('House Count'!F192="COMM-SU",1,IF('House Count'!F192="COM-MTU",1,IF('House Count'!F192="ENT",1,0))),0)</f>
        <v>0</v>
      </c>
    </row>
    <row r="193" spans="1:11" ht="15.75" thickBot="1" x14ac:dyDescent="0.3">
      <c r="A193" s="545"/>
      <c r="B193" s="545"/>
      <c r="C193" s="545"/>
      <c r="D193" s="545"/>
      <c r="E193" s="545"/>
      <c r="F193" s="545"/>
      <c r="G193" s="545"/>
      <c r="H193" s="545"/>
      <c r="I193" s="546"/>
      <c r="J193">
        <f>IF('House Count'!H193="Y",IF('House Count'!F193="RES-SFU",1,IF('House Count'!F193="RES-MDU",1,IF('House Count'!F193="RES-HOA",1,0))),0)</f>
        <v>0</v>
      </c>
      <c r="K193">
        <f>IF('House Count'!H193="Y",IF('House Count'!F193="COMM-SU",1,IF('House Count'!F193="COM-MTU",1,IF('House Count'!F193="ENT",1,0))),0)</f>
        <v>0</v>
      </c>
    </row>
    <row r="194" spans="1:11" ht="15.75" thickTop="1" x14ac:dyDescent="0.25">
      <c r="A194" s="109"/>
      <c r="B194" s="109"/>
      <c r="C194" s="109"/>
      <c r="D194" s="109"/>
      <c r="E194" s="109"/>
      <c r="F194" s="109"/>
      <c r="G194" s="109"/>
      <c r="H194" s="109"/>
      <c r="I194" s="68"/>
      <c r="J194">
        <f>IF('House Count'!H194="Y",IF('House Count'!F194="RES-SFU",1,IF('House Count'!F194="RES-MDU",1,IF('House Count'!F194="RES-HOA",1,0))),0)</f>
        <v>0</v>
      </c>
      <c r="K194">
        <f>IF('House Count'!H194="Y",IF('House Count'!F194="COMM-SU",1,IF('House Count'!F194="COM-MTU",1,IF('House Count'!F194="ENT",1,0))),0)</f>
        <v>0</v>
      </c>
    </row>
    <row r="195" spans="1:11" x14ac:dyDescent="0.25">
      <c r="A195" s="109"/>
      <c r="B195" s="109"/>
      <c r="C195" s="109"/>
      <c r="D195" s="109"/>
      <c r="E195" s="109"/>
      <c r="F195" s="109"/>
      <c r="G195" s="109"/>
      <c r="H195" s="109"/>
      <c r="I195" s="68"/>
      <c r="J195">
        <f>IF('House Count'!H195="Y",IF('House Count'!F195="RES-SFU",1,IF('House Count'!F195="RES-MDU",1,IF('House Count'!F195="RES-HOA",1,0))),0)</f>
        <v>0</v>
      </c>
      <c r="K195">
        <f>IF('House Count'!H195="Y",IF('House Count'!F195="COMM-SU",1,IF('House Count'!F195="COM-MTU",1,IF('House Count'!F195="ENT",1,0))),0)</f>
        <v>0</v>
      </c>
    </row>
    <row r="196" spans="1:11" x14ac:dyDescent="0.25">
      <c r="A196" s="109"/>
      <c r="B196" s="109"/>
      <c r="C196" s="109"/>
      <c r="D196" s="109"/>
      <c r="E196" s="109"/>
      <c r="F196" s="109"/>
      <c r="G196" s="109"/>
      <c r="H196" s="109"/>
      <c r="I196" s="68"/>
      <c r="J196">
        <f>IF('House Count'!H196="Y",IF('House Count'!F196="RES-SFU",1,IF('House Count'!F196="RES-MDU",1,IF('House Count'!F196="RES-HOA",1,0))),0)</f>
        <v>0</v>
      </c>
      <c r="K196">
        <f>IF('House Count'!H196="Y",IF('House Count'!F196="COMM-SU",1,IF('House Count'!F196="COM-MTU",1,IF('House Count'!F196="ENT",1,0))),0)</f>
        <v>0</v>
      </c>
    </row>
    <row r="197" spans="1:11" x14ac:dyDescent="0.25">
      <c r="A197" s="109"/>
      <c r="B197" s="109"/>
      <c r="C197" s="109"/>
      <c r="D197" s="109"/>
      <c r="E197" s="109"/>
      <c r="F197" s="109"/>
      <c r="G197" s="109"/>
      <c r="H197" s="109"/>
      <c r="I197" s="68"/>
      <c r="J197">
        <f>IF('House Count'!H197="Y",IF('House Count'!F197="RES-SFU",1,IF('House Count'!F197="RES-MDU",1,IF('House Count'!F197="RES-HOA",1,0))),0)</f>
        <v>0</v>
      </c>
      <c r="K197">
        <f>IF('House Count'!H197="Y",IF('House Count'!F197="COMM-SU",1,IF('House Count'!F197="COM-MTU",1,IF('House Count'!F197="ENT",1,0))),0)</f>
        <v>0</v>
      </c>
    </row>
    <row r="198" spans="1:11" x14ac:dyDescent="0.25">
      <c r="A198" s="109"/>
      <c r="B198" s="109"/>
      <c r="C198" s="109"/>
      <c r="D198" s="109"/>
      <c r="E198" s="109"/>
      <c r="F198" s="109"/>
      <c r="G198" s="109"/>
      <c r="H198" s="109"/>
      <c r="I198" s="68"/>
      <c r="J198">
        <f>IF('House Count'!H198="Y",IF('House Count'!F198="RES-SFU",1,IF('House Count'!F198="RES-MDU",1,IF('House Count'!F198="RES-HOA",1,0))),0)</f>
        <v>0</v>
      </c>
      <c r="K198">
        <f>IF('House Count'!H198="Y",IF('House Count'!F198="COMM-SU",1,IF('House Count'!F198="COM-MTU",1,IF('House Count'!F198="ENT",1,0))),0)</f>
        <v>0</v>
      </c>
    </row>
    <row r="199" spans="1:11" x14ac:dyDescent="0.25">
      <c r="A199" s="109"/>
      <c r="B199" s="109"/>
      <c r="C199" s="109"/>
      <c r="D199" s="109"/>
      <c r="E199" s="109"/>
      <c r="F199" s="109"/>
      <c r="G199" s="109"/>
      <c r="H199" s="109"/>
      <c r="I199" s="68"/>
      <c r="J199">
        <f>IF('House Count'!H199="Y",IF('House Count'!F199="RES-SFU",1,IF('House Count'!F199="RES-MDU",1,IF('House Count'!F199="RES-HOA",1,0))),0)</f>
        <v>0</v>
      </c>
      <c r="K199">
        <f>IF('House Count'!H199="Y",IF('House Count'!F199="COMM-SU",1,IF('House Count'!F199="COM-MTU",1,IF('House Count'!F199="ENT",1,0))),0)</f>
        <v>0</v>
      </c>
    </row>
    <row r="200" spans="1:11" x14ac:dyDescent="0.25">
      <c r="A200" s="109"/>
      <c r="B200" s="109"/>
      <c r="C200" s="109"/>
      <c r="D200" s="109"/>
      <c r="E200" s="109"/>
      <c r="F200" s="109"/>
      <c r="G200" s="109"/>
      <c r="H200" s="109"/>
      <c r="I200" s="68"/>
      <c r="J200">
        <f>IF('House Count'!H200="Y",IF('House Count'!F200="RES-SFU",1,IF('House Count'!F200="RES-MDU",1,IF('House Count'!F200="RES-HOA",1,0))),0)</f>
        <v>0</v>
      </c>
      <c r="K200">
        <f>IF('House Count'!H200="Y",IF('House Count'!F200="COMM-SU",1,IF('House Count'!F200="COM-MTU",1,IF('House Count'!F200="ENT",1,0))),0)</f>
        <v>0</v>
      </c>
    </row>
    <row r="201" spans="1:11" x14ac:dyDescent="0.25">
      <c r="A201" s="109"/>
      <c r="B201" s="109"/>
      <c r="C201" s="109"/>
      <c r="D201" s="109"/>
      <c r="E201" s="109"/>
      <c r="F201" s="109"/>
      <c r="G201" s="109"/>
      <c r="H201" s="109"/>
      <c r="I201" s="68"/>
      <c r="J201">
        <f>IF('House Count'!H201="Y",IF('House Count'!F201="RES-SFU",1,IF('House Count'!F201="RES-MDU",1,IF('House Count'!F201="RES-HOA",1,0))),0)</f>
        <v>0</v>
      </c>
      <c r="K201">
        <f>IF('House Count'!H201="Y",IF('House Count'!F201="COMM-SU",1,IF('House Count'!F201="COM-MTU",1,IF('House Count'!F201="ENT",1,0))),0)</f>
        <v>0</v>
      </c>
    </row>
    <row r="202" spans="1:11" x14ac:dyDescent="0.25">
      <c r="A202" s="109"/>
      <c r="B202" s="109"/>
      <c r="C202" s="109"/>
      <c r="D202" s="109"/>
      <c r="E202" s="109"/>
      <c r="F202" s="109"/>
      <c r="G202" s="109"/>
      <c r="H202" s="109"/>
      <c r="I202" s="68"/>
      <c r="J202">
        <f>IF('House Count'!H202="Y",IF('House Count'!F202="RES-SFU",1,IF('House Count'!F202="RES-MDU",1,IF('House Count'!F202="RES-HOA",1,0))),0)</f>
        <v>0</v>
      </c>
      <c r="K202">
        <f>IF('House Count'!H202="Y",IF('House Count'!F202="COMM-SU",1,IF('House Count'!F202="COM-MTU",1,IF('House Count'!F202="ENT",1,0))),0)</f>
        <v>0</v>
      </c>
    </row>
    <row r="203" spans="1:11" x14ac:dyDescent="0.25">
      <c r="A203" s="109"/>
      <c r="B203" s="109"/>
      <c r="C203" s="109"/>
      <c r="D203" s="109"/>
      <c r="E203" s="109"/>
      <c r="F203" s="109"/>
      <c r="G203" s="109"/>
      <c r="H203" s="109"/>
      <c r="I203" s="68"/>
      <c r="J203">
        <f>IF('House Count'!H203="Y",IF('House Count'!F203="RES-SFU",1,IF('House Count'!F203="RES-MDU",1,IF('House Count'!F203="RES-HOA",1,0))),0)</f>
        <v>0</v>
      </c>
      <c r="K203">
        <f>IF('House Count'!H203="Y",IF('House Count'!F203="COMM-SU",1,IF('House Count'!F203="COM-MTU",1,IF('House Count'!F203="ENT",1,0))),0)</f>
        <v>0</v>
      </c>
    </row>
    <row r="204" spans="1:11" x14ac:dyDescent="0.25">
      <c r="A204" s="109"/>
      <c r="B204" s="109"/>
      <c r="C204" s="109"/>
      <c r="D204" s="109"/>
      <c r="E204" s="109"/>
      <c r="F204" s="109"/>
      <c r="G204" s="109"/>
      <c r="H204" s="109"/>
      <c r="I204" s="68"/>
      <c r="J204">
        <f>IF('House Count'!H204="Y",IF('House Count'!F204="RES-SFU",1,IF('House Count'!F204="RES-MDU",1,IF('House Count'!F204="RES-HOA",1,0))),0)</f>
        <v>0</v>
      </c>
      <c r="K204">
        <f>IF('House Count'!H204="Y",IF('House Count'!F204="COMM-SU",1,IF('House Count'!F204="COM-MTU",1,IF('House Count'!F204="ENT",1,0))),0)</f>
        <v>0</v>
      </c>
    </row>
    <row r="205" spans="1:11" ht="15.75" thickBot="1" x14ac:dyDescent="0.3">
      <c r="A205" s="545"/>
      <c r="B205" s="545"/>
      <c r="C205" s="545"/>
      <c r="D205" s="545"/>
      <c r="E205" s="545"/>
      <c r="F205" s="545"/>
      <c r="G205" s="545"/>
      <c r="H205" s="545"/>
      <c r="I205" s="546"/>
      <c r="J205">
        <f>IF('House Count'!H205="Y",IF('House Count'!F205="RES-SFU",1,IF('House Count'!F205="RES-MDU",1,IF('House Count'!F205="RES-HOA",1,0))),0)</f>
        <v>0</v>
      </c>
      <c r="K205">
        <f>IF('House Count'!H205="Y",IF('House Count'!F205="COMM-SU",1,IF('House Count'!F205="COM-MTU",1,IF('House Count'!F205="ENT",1,0))),0)</f>
        <v>0</v>
      </c>
    </row>
    <row r="206" spans="1:11" ht="15.75" thickTop="1" x14ac:dyDescent="0.25">
      <c r="A206" s="109"/>
      <c r="B206" s="109"/>
      <c r="C206" s="109"/>
      <c r="D206" s="109"/>
      <c r="E206" s="109"/>
      <c r="F206" s="109"/>
      <c r="G206" s="109"/>
      <c r="H206" s="109"/>
      <c r="I206" s="68"/>
      <c r="J206">
        <f>IF('House Count'!H206="Y",IF('House Count'!F206="RES-SFU",1,IF('House Count'!F206="RES-MDU",1,IF('House Count'!F206="RES-HOA",1,0))),0)</f>
        <v>0</v>
      </c>
      <c r="K206">
        <f>IF('House Count'!H206="Y",IF('House Count'!F206="COMM-SU",1,IF('House Count'!F206="COM-MTU",1,IF('House Count'!F206="ENT",1,0))),0)</f>
        <v>0</v>
      </c>
    </row>
    <row r="207" spans="1:11" x14ac:dyDescent="0.25">
      <c r="A207" s="109"/>
      <c r="B207" s="109"/>
      <c r="C207" s="109"/>
      <c r="D207" s="109"/>
      <c r="E207" s="109"/>
      <c r="F207" s="109"/>
      <c r="G207" s="109"/>
      <c r="H207" s="109"/>
      <c r="I207" s="68"/>
      <c r="J207">
        <f>IF('House Count'!H207="Y",IF('House Count'!F207="RES-SFU",1,IF('House Count'!F207="RES-MDU",1,IF('House Count'!F207="RES-HOA",1,0))),0)</f>
        <v>0</v>
      </c>
      <c r="K207">
        <f>IF('House Count'!H207="Y",IF('House Count'!F207="COMM-SU",1,IF('House Count'!F207="COM-MTU",1,IF('House Count'!F207="ENT",1,0))),0)</f>
        <v>0</v>
      </c>
    </row>
    <row r="208" spans="1:11" x14ac:dyDescent="0.25">
      <c r="A208" s="109"/>
      <c r="B208" s="109"/>
      <c r="C208" s="109"/>
      <c r="D208" s="109"/>
      <c r="E208" s="109"/>
      <c r="F208" s="109"/>
      <c r="G208" s="109"/>
      <c r="H208" s="109"/>
      <c r="I208" s="68"/>
      <c r="J208">
        <f>IF('House Count'!H208="Y",IF('House Count'!F208="RES-SFU",1,IF('House Count'!F208="RES-MDU",1,IF('House Count'!F208="RES-HOA",1,0))),0)</f>
        <v>0</v>
      </c>
      <c r="K208">
        <f>IF('House Count'!H208="Y",IF('House Count'!F208="COMM-SU",1,IF('House Count'!F208="COM-MTU",1,IF('House Count'!F208="ENT",1,0))),0)</f>
        <v>0</v>
      </c>
    </row>
    <row r="209" spans="1:11" x14ac:dyDescent="0.25">
      <c r="A209" s="109"/>
      <c r="B209" s="109"/>
      <c r="C209" s="109"/>
      <c r="D209" s="109"/>
      <c r="E209" s="109"/>
      <c r="F209" s="109"/>
      <c r="G209" s="109"/>
      <c r="H209" s="109"/>
      <c r="I209" s="68"/>
      <c r="J209">
        <f>IF('House Count'!H209="Y",IF('House Count'!F209="RES-SFU",1,IF('House Count'!F209="RES-MDU",1,IF('House Count'!F209="RES-HOA",1,0))),0)</f>
        <v>0</v>
      </c>
      <c r="K209">
        <f>IF('House Count'!H209="Y",IF('House Count'!F209="COMM-SU",1,IF('House Count'!F209="COM-MTU",1,IF('House Count'!F209="ENT",1,0))),0)</f>
        <v>0</v>
      </c>
    </row>
    <row r="210" spans="1:11" x14ac:dyDescent="0.25">
      <c r="A210" s="109"/>
      <c r="B210" s="109"/>
      <c r="C210" s="109"/>
      <c r="D210" s="109"/>
      <c r="E210" s="109"/>
      <c r="F210" s="109"/>
      <c r="G210" s="109"/>
      <c r="H210" s="109"/>
      <c r="I210" s="68"/>
      <c r="J210">
        <f>IF('House Count'!H210="Y",IF('House Count'!F210="RES-SFU",1,IF('House Count'!F210="RES-MDU",1,IF('House Count'!F210="RES-HOA",1,0))),0)</f>
        <v>0</v>
      </c>
      <c r="K210">
        <f>IF('House Count'!H210="Y",IF('House Count'!F210="COMM-SU",1,IF('House Count'!F210="COM-MTU",1,IF('House Count'!F210="ENT",1,0))),0)</f>
        <v>0</v>
      </c>
    </row>
    <row r="211" spans="1:11" x14ac:dyDescent="0.25">
      <c r="A211" s="109"/>
      <c r="B211" s="109"/>
      <c r="C211" s="109"/>
      <c r="D211" s="109"/>
      <c r="E211" s="109"/>
      <c r="F211" s="109"/>
      <c r="G211" s="109"/>
      <c r="H211" s="109"/>
      <c r="I211" s="68"/>
      <c r="J211">
        <f>IF('House Count'!H211="Y",IF('House Count'!F211="RES-SFU",1,IF('House Count'!F211="RES-MDU",1,IF('House Count'!F211="RES-HOA",1,0))),0)</f>
        <v>0</v>
      </c>
      <c r="K211">
        <f>IF('House Count'!H211="Y",IF('House Count'!F211="COMM-SU",1,IF('House Count'!F211="COM-MTU",1,IF('House Count'!F211="ENT",1,0))),0)</f>
        <v>0</v>
      </c>
    </row>
    <row r="212" spans="1:11" x14ac:dyDescent="0.25">
      <c r="A212" s="109"/>
      <c r="B212" s="109"/>
      <c r="C212" s="109"/>
      <c r="D212" s="109"/>
      <c r="E212" s="109"/>
      <c r="F212" s="109"/>
      <c r="G212" s="109"/>
      <c r="H212" s="109"/>
      <c r="I212" s="68"/>
      <c r="J212">
        <f>IF('House Count'!H212="Y",IF('House Count'!F212="RES-SFU",1,IF('House Count'!F212="RES-MDU",1,IF('House Count'!F212="RES-HOA",1,0))),0)</f>
        <v>0</v>
      </c>
      <c r="K212">
        <f>IF('House Count'!H212="Y",IF('House Count'!F212="COMM-SU",1,IF('House Count'!F212="COM-MTU",1,IF('House Count'!F212="ENT",1,0))),0)</f>
        <v>0</v>
      </c>
    </row>
    <row r="213" spans="1:11" x14ac:dyDescent="0.25">
      <c r="A213" s="109"/>
      <c r="B213" s="109"/>
      <c r="C213" s="109"/>
      <c r="D213" s="109"/>
      <c r="E213" s="109"/>
      <c r="F213" s="109"/>
      <c r="G213" s="109"/>
      <c r="H213" s="109"/>
      <c r="I213" s="68"/>
      <c r="J213">
        <f>IF('House Count'!H213="Y",IF('House Count'!F213="RES-SFU",1,IF('House Count'!F213="RES-MDU",1,IF('House Count'!F213="RES-HOA",1,0))),0)</f>
        <v>0</v>
      </c>
      <c r="K213">
        <f>IF('House Count'!H213="Y",IF('House Count'!F213="COMM-SU",1,IF('House Count'!F213="COM-MTU",1,IF('House Count'!F213="ENT",1,0))),0)</f>
        <v>0</v>
      </c>
    </row>
    <row r="214" spans="1:11" x14ac:dyDescent="0.25">
      <c r="A214" s="109"/>
      <c r="B214" s="109"/>
      <c r="C214" s="109"/>
      <c r="D214" s="109"/>
      <c r="E214" s="109"/>
      <c r="F214" s="109"/>
      <c r="G214" s="109"/>
      <c r="H214" s="109"/>
      <c r="I214" s="68"/>
      <c r="J214">
        <f>IF('House Count'!H214="Y",IF('House Count'!F214="RES-SFU",1,IF('House Count'!F214="RES-MDU",1,IF('House Count'!F214="RES-HOA",1,0))),0)</f>
        <v>0</v>
      </c>
      <c r="K214">
        <f>IF('House Count'!H214="Y",IF('House Count'!F214="COMM-SU",1,IF('House Count'!F214="COM-MTU",1,IF('House Count'!F214="ENT",1,0))),0)</f>
        <v>0</v>
      </c>
    </row>
    <row r="215" spans="1:11" x14ac:dyDescent="0.25">
      <c r="A215" s="109"/>
      <c r="B215" s="109"/>
      <c r="C215" s="109"/>
      <c r="D215" s="109"/>
      <c r="E215" s="109"/>
      <c r="F215" s="109"/>
      <c r="G215" s="109"/>
      <c r="H215" s="109"/>
      <c r="I215" s="68"/>
      <c r="J215">
        <f>IF('House Count'!H215="Y",IF('House Count'!F215="RES-SFU",1,IF('House Count'!F215="RES-MDU",1,IF('House Count'!F215="RES-HOA",1,0))),0)</f>
        <v>0</v>
      </c>
      <c r="K215">
        <f>IF('House Count'!H215="Y",IF('House Count'!F215="COMM-SU",1,IF('House Count'!F215="COM-MTU",1,IF('House Count'!F215="ENT",1,0))),0)</f>
        <v>0</v>
      </c>
    </row>
    <row r="216" spans="1:11" x14ac:dyDescent="0.25">
      <c r="A216" s="109"/>
      <c r="B216" s="109"/>
      <c r="C216" s="109"/>
      <c r="D216" s="109"/>
      <c r="E216" s="109"/>
      <c r="F216" s="109"/>
      <c r="G216" s="109"/>
      <c r="H216" s="109"/>
      <c r="I216" s="68"/>
      <c r="J216">
        <f>IF('House Count'!H216="Y",IF('House Count'!F216="RES-SFU",1,IF('House Count'!F216="RES-MDU",1,IF('House Count'!F216="RES-HOA",1,0))),0)</f>
        <v>0</v>
      </c>
      <c r="K216">
        <f>IF('House Count'!H216="Y",IF('House Count'!F216="COMM-SU",1,IF('House Count'!F216="COM-MTU",1,IF('House Count'!F216="ENT",1,0))),0)</f>
        <v>0</v>
      </c>
    </row>
    <row r="217" spans="1:11" ht="15.75" thickBot="1" x14ac:dyDescent="0.3">
      <c r="A217" s="545"/>
      <c r="B217" s="545"/>
      <c r="C217" s="545"/>
      <c r="D217" s="545"/>
      <c r="E217" s="545"/>
      <c r="F217" s="545"/>
      <c r="G217" s="545"/>
      <c r="H217" s="545"/>
      <c r="I217" s="546"/>
      <c r="J217">
        <f>IF('House Count'!H217="Y",IF('House Count'!F217="RES-SFU",1,IF('House Count'!F217="RES-MDU",1,IF('House Count'!F217="RES-HOA",1,0))),0)</f>
        <v>0</v>
      </c>
      <c r="K217">
        <f>IF('House Count'!H217="Y",IF('House Count'!F217="COMM-SU",1,IF('House Count'!F217="COM-MTU",1,IF('House Count'!F217="ENT",1,0))),0)</f>
        <v>0</v>
      </c>
    </row>
    <row r="218" spans="1:11" ht="15.75" thickTop="1" x14ac:dyDescent="0.25">
      <c r="A218" s="109"/>
      <c r="B218" s="109"/>
      <c r="C218" s="109"/>
      <c r="D218" s="109"/>
      <c r="E218" s="109"/>
      <c r="F218" s="109"/>
      <c r="G218" s="109"/>
      <c r="H218" s="109"/>
      <c r="I218" s="68"/>
      <c r="J218">
        <f>IF('House Count'!H218="Y",IF('House Count'!F218="RES-SFU",1,IF('House Count'!F218="RES-MDU",1,IF('House Count'!F218="RES-HOA",1,0))),0)</f>
        <v>0</v>
      </c>
      <c r="K218">
        <f>IF('House Count'!H218="Y",IF('House Count'!F218="COMM-SU",1,IF('House Count'!F218="COM-MTU",1,IF('House Count'!F218="ENT",1,0))),0)</f>
        <v>0</v>
      </c>
    </row>
    <row r="219" spans="1:11" x14ac:dyDescent="0.25">
      <c r="A219" s="109"/>
      <c r="B219" s="109"/>
      <c r="C219" s="109"/>
      <c r="D219" s="109"/>
      <c r="E219" s="109"/>
      <c r="F219" s="109"/>
      <c r="G219" s="109"/>
      <c r="H219" s="109"/>
      <c r="I219" s="68"/>
      <c r="J219">
        <f>IF('House Count'!H219="Y",IF('House Count'!F219="RES-SFU",1,IF('House Count'!F219="RES-MDU",1,IF('House Count'!F219="RES-HOA",1,0))),0)</f>
        <v>0</v>
      </c>
      <c r="K219">
        <f>IF('House Count'!H219="Y",IF('House Count'!F219="COMM-SU",1,IF('House Count'!F219="COM-MTU",1,IF('House Count'!F219="ENT",1,0))),0)</f>
        <v>0</v>
      </c>
    </row>
    <row r="220" spans="1:11" x14ac:dyDescent="0.25">
      <c r="A220" s="109"/>
      <c r="B220" s="109"/>
      <c r="C220" s="109"/>
      <c r="D220" s="109"/>
      <c r="E220" s="109"/>
      <c r="F220" s="109"/>
      <c r="G220" s="109"/>
      <c r="H220" s="109"/>
      <c r="I220" s="68"/>
      <c r="J220">
        <f>IF('House Count'!H220="Y",IF('House Count'!F220="RES-SFU",1,IF('House Count'!F220="RES-MDU",1,IF('House Count'!F220="RES-HOA",1,0))),0)</f>
        <v>0</v>
      </c>
      <c r="K220">
        <f>IF('House Count'!H220="Y",IF('House Count'!F220="COMM-SU",1,IF('House Count'!F220="COM-MTU",1,IF('House Count'!F220="ENT",1,0))),0)</f>
        <v>0</v>
      </c>
    </row>
    <row r="221" spans="1:11" x14ac:dyDescent="0.25">
      <c r="A221" s="109"/>
      <c r="B221" s="109"/>
      <c r="C221" s="109"/>
      <c r="D221" s="109"/>
      <c r="E221" s="109"/>
      <c r="F221" s="109"/>
      <c r="G221" s="109"/>
      <c r="H221" s="109"/>
      <c r="I221" s="68"/>
      <c r="J221">
        <f>IF('House Count'!H221="Y",IF('House Count'!F221="RES-SFU",1,IF('House Count'!F221="RES-MDU",1,IF('House Count'!F221="RES-HOA",1,0))),0)</f>
        <v>0</v>
      </c>
      <c r="K221">
        <f>IF('House Count'!H221="Y",IF('House Count'!F221="COMM-SU",1,IF('House Count'!F221="COM-MTU",1,IF('House Count'!F221="ENT",1,0))),0)</f>
        <v>0</v>
      </c>
    </row>
    <row r="222" spans="1:11" x14ac:dyDescent="0.25">
      <c r="A222" s="109"/>
      <c r="B222" s="109"/>
      <c r="C222" s="109"/>
      <c r="D222" s="109"/>
      <c r="E222" s="109"/>
      <c r="F222" s="109"/>
      <c r="G222" s="109"/>
      <c r="H222" s="109"/>
      <c r="I222" s="68"/>
      <c r="J222">
        <f>IF('House Count'!H222="Y",IF('House Count'!F222="RES-SFU",1,IF('House Count'!F222="RES-MDU",1,IF('House Count'!F222="RES-HOA",1,0))),0)</f>
        <v>0</v>
      </c>
      <c r="K222">
        <f>IF('House Count'!H222="Y",IF('House Count'!F222="COMM-SU",1,IF('House Count'!F222="COM-MTU",1,IF('House Count'!F222="ENT",1,0))),0)</f>
        <v>0</v>
      </c>
    </row>
    <row r="223" spans="1:11" x14ac:dyDescent="0.25">
      <c r="A223" s="109"/>
      <c r="B223" s="109"/>
      <c r="C223" s="109"/>
      <c r="D223" s="109"/>
      <c r="E223" s="109"/>
      <c r="F223" s="109"/>
      <c r="G223" s="109"/>
      <c r="H223" s="109"/>
      <c r="I223" s="68"/>
      <c r="J223">
        <f>IF('House Count'!H223="Y",IF('House Count'!F223="RES-SFU",1,IF('House Count'!F223="RES-MDU",1,IF('House Count'!F223="RES-HOA",1,0))),0)</f>
        <v>0</v>
      </c>
      <c r="K223">
        <f>IF('House Count'!H223="Y",IF('House Count'!F223="COMM-SU",1,IF('House Count'!F223="COM-MTU",1,IF('House Count'!F223="ENT",1,0))),0)</f>
        <v>0</v>
      </c>
    </row>
    <row r="224" spans="1:11" x14ac:dyDescent="0.25">
      <c r="A224" s="109"/>
      <c r="B224" s="109"/>
      <c r="C224" s="109"/>
      <c r="D224" s="109"/>
      <c r="E224" s="109"/>
      <c r="F224" s="109"/>
      <c r="G224" s="109"/>
      <c r="H224" s="109"/>
      <c r="I224" s="68"/>
      <c r="J224">
        <f>IF('House Count'!H224="Y",IF('House Count'!F224="RES-SFU",1,IF('House Count'!F224="RES-MDU",1,IF('House Count'!F224="RES-HOA",1,0))),0)</f>
        <v>0</v>
      </c>
      <c r="K224">
        <f>IF('House Count'!H224="Y",IF('House Count'!F224="COMM-SU",1,IF('House Count'!F224="COM-MTU",1,IF('House Count'!F224="ENT",1,0))),0)</f>
        <v>0</v>
      </c>
    </row>
    <row r="225" spans="1:11" x14ac:dyDescent="0.25">
      <c r="A225" s="109"/>
      <c r="B225" s="109"/>
      <c r="C225" s="109"/>
      <c r="D225" s="109"/>
      <c r="E225" s="109"/>
      <c r="F225" s="109"/>
      <c r="G225" s="109"/>
      <c r="H225" s="109"/>
      <c r="I225" s="68"/>
      <c r="J225">
        <f>IF('House Count'!H225="Y",IF('House Count'!F225="RES-SFU",1,IF('House Count'!F225="RES-MDU",1,IF('House Count'!F225="RES-HOA",1,0))),0)</f>
        <v>0</v>
      </c>
      <c r="K225">
        <f>IF('House Count'!H225="Y",IF('House Count'!F225="COMM-SU",1,IF('House Count'!F225="COM-MTU",1,IF('House Count'!F225="ENT",1,0))),0)</f>
        <v>0</v>
      </c>
    </row>
    <row r="226" spans="1:11" x14ac:dyDescent="0.25">
      <c r="A226" s="109"/>
      <c r="B226" s="109"/>
      <c r="C226" s="109"/>
      <c r="D226" s="109"/>
      <c r="E226" s="109"/>
      <c r="F226" s="109"/>
      <c r="G226" s="109"/>
      <c r="H226" s="109"/>
      <c r="I226" s="68"/>
      <c r="J226">
        <f>IF('House Count'!H226="Y",IF('House Count'!F226="RES-SFU",1,IF('House Count'!F226="RES-MDU",1,IF('House Count'!F226="RES-HOA",1,0))),0)</f>
        <v>0</v>
      </c>
      <c r="K226">
        <f>IF('House Count'!H226="Y",IF('House Count'!F226="COMM-SU",1,IF('House Count'!F226="COM-MTU",1,IF('House Count'!F226="ENT",1,0))),0)</f>
        <v>0</v>
      </c>
    </row>
    <row r="227" spans="1:11" x14ac:dyDescent="0.25">
      <c r="A227" s="109"/>
      <c r="B227" s="109"/>
      <c r="C227" s="109"/>
      <c r="D227" s="109"/>
      <c r="E227" s="109"/>
      <c r="F227" s="109"/>
      <c r="G227" s="109"/>
      <c r="H227" s="109"/>
      <c r="I227" s="68"/>
      <c r="J227">
        <f>IF('House Count'!H227="Y",IF('House Count'!F227="RES-SFU",1,IF('House Count'!F227="RES-MDU",1,IF('House Count'!F227="RES-HOA",1,0))),0)</f>
        <v>0</v>
      </c>
      <c r="K227">
        <f>IF('House Count'!H227="Y",IF('House Count'!F227="COMM-SU",1,IF('House Count'!F227="COM-MTU",1,IF('House Count'!F227="ENT",1,0))),0)</f>
        <v>0</v>
      </c>
    </row>
    <row r="228" spans="1:11" x14ac:dyDescent="0.25">
      <c r="A228" s="109"/>
      <c r="B228" s="109"/>
      <c r="C228" s="109"/>
      <c r="D228" s="109"/>
      <c r="E228" s="109"/>
      <c r="F228" s="109"/>
      <c r="G228" s="109"/>
      <c r="H228" s="109"/>
      <c r="I228" s="68"/>
      <c r="J228">
        <f>IF('House Count'!H228="Y",IF('House Count'!F228="RES-SFU",1,IF('House Count'!F228="RES-MDU",1,IF('House Count'!F228="RES-HOA",1,0))),0)</f>
        <v>0</v>
      </c>
      <c r="K228">
        <f>IF('House Count'!H228="Y",IF('House Count'!F228="COMM-SU",1,IF('House Count'!F228="COM-MTU",1,IF('House Count'!F228="ENT",1,0))),0)</f>
        <v>0</v>
      </c>
    </row>
    <row r="229" spans="1:11" ht="15.75" thickBot="1" x14ac:dyDescent="0.3">
      <c r="A229" s="545"/>
      <c r="B229" s="545"/>
      <c r="C229" s="545"/>
      <c r="D229" s="545"/>
      <c r="E229" s="545"/>
      <c r="F229" s="545"/>
      <c r="G229" s="545"/>
      <c r="H229" s="545"/>
      <c r="I229" s="546"/>
      <c r="J229">
        <f>IF('House Count'!H229="Y",IF('House Count'!F229="RES-SFU",1,IF('House Count'!F229="RES-MDU",1,IF('House Count'!F229="RES-HOA",1,0))),0)</f>
        <v>0</v>
      </c>
      <c r="K229">
        <f>IF('House Count'!H229="Y",IF('House Count'!F229="COMM-SU",1,IF('House Count'!F229="COM-MTU",1,IF('House Count'!F229="ENT",1,0))),0)</f>
        <v>0</v>
      </c>
    </row>
    <row r="230" spans="1:11" ht="15.75" thickTop="1" x14ac:dyDescent="0.25">
      <c r="A230" s="109"/>
      <c r="B230" s="109"/>
      <c r="C230" s="109"/>
      <c r="D230" s="109"/>
      <c r="E230" s="109"/>
      <c r="F230" s="109"/>
      <c r="G230" s="109"/>
      <c r="H230" s="109"/>
      <c r="I230" s="68"/>
      <c r="J230">
        <f>IF('House Count'!H230="Y",IF('House Count'!F230="RES-SFU",1,IF('House Count'!F230="RES-MDU",1,IF('House Count'!F230="RES-HOA",1,0))),0)</f>
        <v>0</v>
      </c>
      <c r="K230">
        <f>IF('House Count'!H230="Y",IF('House Count'!F230="COMM-SU",1,IF('House Count'!F230="COM-MTU",1,IF('House Count'!F230="ENT",1,0))),0)</f>
        <v>0</v>
      </c>
    </row>
    <row r="231" spans="1:11" x14ac:dyDescent="0.25">
      <c r="A231" s="109"/>
      <c r="B231" s="109"/>
      <c r="C231" s="109"/>
      <c r="D231" s="109"/>
      <c r="E231" s="109"/>
      <c r="F231" s="109"/>
      <c r="G231" s="109"/>
      <c r="H231" s="109"/>
      <c r="I231" s="68"/>
      <c r="J231">
        <f>IF('House Count'!H231="Y",IF('House Count'!F231="RES-SFU",1,IF('House Count'!F231="RES-MDU",1,IF('House Count'!F231="RES-HOA",1,0))),0)</f>
        <v>0</v>
      </c>
      <c r="K231">
        <f>IF('House Count'!H231="Y",IF('House Count'!F231="COMM-SU",1,IF('House Count'!F231="COM-MTU",1,IF('House Count'!F231="ENT",1,0))),0)</f>
        <v>0</v>
      </c>
    </row>
    <row r="232" spans="1:11" x14ac:dyDescent="0.25">
      <c r="A232" s="109"/>
      <c r="B232" s="109"/>
      <c r="C232" s="109"/>
      <c r="D232" s="109"/>
      <c r="E232" s="109"/>
      <c r="F232" s="109"/>
      <c r="G232" s="109"/>
      <c r="H232" s="109"/>
      <c r="I232" s="68"/>
      <c r="J232">
        <f>IF('House Count'!H232="Y",IF('House Count'!F232="RES-SFU",1,IF('House Count'!F232="RES-MDU",1,IF('House Count'!F232="RES-HOA",1,0))),0)</f>
        <v>0</v>
      </c>
      <c r="K232">
        <f>IF('House Count'!H232="Y",IF('House Count'!F232="COMM-SU",1,IF('House Count'!F232="COM-MTU",1,IF('House Count'!F232="ENT",1,0))),0)</f>
        <v>0</v>
      </c>
    </row>
    <row r="233" spans="1:11" x14ac:dyDescent="0.25">
      <c r="A233" s="109"/>
      <c r="B233" s="109"/>
      <c r="C233" s="109"/>
      <c r="D233" s="109"/>
      <c r="E233" s="109"/>
      <c r="F233" s="109"/>
      <c r="G233" s="109"/>
      <c r="H233" s="109"/>
      <c r="I233" s="68"/>
      <c r="J233">
        <f>IF('House Count'!H233="Y",IF('House Count'!F233="RES-SFU",1,IF('House Count'!F233="RES-MDU",1,IF('House Count'!F233="RES-HOA",1,0))),0)</f>
        <v>0</v>
      </c>
      <c r="K233">
        <f>IF('House Count'!H233="Y",IF('House Count'!F233="COMM-SU",1,IF('House Count'!F233="COM-MTU",1,IF('House Count'!F233="ENT",1,0))),0)</f>
        <v>0</v>
      </c>
    </row>
    <row r="234" spans="1:11" x14ac:dyDescent="0.25">
      <c r="A234" s="109"/>
      <c r="B234" s="109"/>
      <c r="C234" s="109"/>
      <c r="D234" s="109"/>
      <c r="E234" s="109"/>
      <c r="F234" s="109"/>
      <c r="G234" s="109"/>
      <c r="H234" s="109"/>
      <c r="I234" s="68"/>
      <c r="J234">
        <f>IF('House Count'!H234="Y",IF('House Count'!F234="RES-SFU",1,IF('House Count'!F234="RES-MDU",1,IF('House Count'!F234="RES-HOA",1,0))),0)</f>
        <v>0</v>
      </c>
      <c r="K234">
        <f>IF('House Count'!H234="Y",IF('House Count'!F234="COMM-SU",1,IF('House Count'!F234="COM-MTU",1,IF('House Count'!F234="ENT",1,0))),0)</f>
        <v>0</v>
      </c>
    </row>
    <row r="235" spans="1:11" x14ac:dyDescent="0.25">
      <c r="A235" s="109"/>
      <c r="B235" s="109"/>
      <c r="C235" s="109"/>
      <c r="D235" s="109"/>
      <c r="E235" s="109"/>
      <c r="F235" s="109"/>
      <c r="G235" s="109"/>
      <c r="H235" s="109"/>
      <c r="I235" s="68"/>
      <c r="J235">
        <f>IF('House Count'!H235="Y",IF('House Count'!F235="RES-SFU",1,IF('House Count'!F235="RES-MDU",1,IF('House Count'!F235="RES-HOA",1,0))),0)</f>
        <v>0</v>
      </c>
      <c r="K235">
        <f>IF('House Count'!H235="Y",IF('House Count'!F235="COMM-SU",1,IF('House Count'!F235="COM-MTU",1,IF('House Count'!F235="ENT",1,0))),0)</f>
        <v>0</v>
      </c>
    </row>
    <row r="236" spans="1:11" x14ac:dyDescent="0.25">
      <c r="A236" s="109"/>
      <c r="B236" s="109"/>
      <c r="C236" s="109"/>
      <c r="D236" s="109"/>
      <c r="E236" s="109"/>
      <c r="F236" s="109"/>
      <c r="G236" s="109"/>
      <c r="H236" s="109"/>
      <c r="I236" s="68"/>
      <c r="J236">
        <f>IF('House Count'!H236="Y",IF('House Count'!F236="RES-SFU",1,IF('House Count'!F236="RES-MDU",1,IF('House Count'!F236="RES-HOA",1,0))),0)</f>
        <v>0</v>
      </c>
      <c r="K236">
        <f>IF('House Count'!H236="Y",IF('House Count'!F236="COMM-SU",1,IF('House Count'!F236="COM-MTU",1,IF('House Count'!F236="ENT",1,0))),0)</f>
        <v>0</v>
      </c>
    </row>
    <row r="237" spans="1:11" x14ac:dyDescent="0.25">
      <c r="A237" s="109"/>
      <c r="B237" s="109"/>
      <c r="C237" s="109"/>
      <c r="D237" s="109"/>
      <c r="E237" s="109"/>
      <c r="F237" s="109"/>
      <c r="G237" s="109"/>
      <c r="H237" s="109"/>
      <c r="I237" s="68"/>
      <c r="J237">
        <f>IF('House Count'!H237="Y",IF('House Count'!F237="RES-SFU",1,IF('House Count'!F237="RES-MDU",1,IF('House Count'!F237="RES-HOA",1,0))),0)</f>
        <v>0</v>
      </c>
      <c r="K237">
        <f>IF('House Count'!H237="Y",IF('House Count'!F237="COMM-SU",1,IF('House Count'!F237="COM-MTU",1,IF('House Count'!F237="ENT",1,0))),0)</f>
        <v>0</v>
      </c>
    </row>
    <row r="238" spans="1:11" x14ac:dyDescent="0.25">
      <c r="A238" s="109"/>
      <c r="B238" s="109"/>
      <c r="C238" s="109"/>
      <c r="D238" s="109"/>
      <c r="E238" s="109"/>
      <c r="F238" s="109"/>
      <c r="G238" s="109"/>
      <c r="H238" s="109"/>
      <c r="I238" s="68"/>
      <c r="J238">
        <f>IF('House Count'!H238="Y",IF('House Count'!F238="RES-SFU",1,IF('House Count'!F238="RES-MDU",1,IF('House Count'!F238="RES-HOA",1,0))),0)</f>
        <v>0</v>
      </c>
      <c r="K238">
        <f>IF('House Count'!H238="Y",IF('House Count'!F238="COMM-SU",1,IF('House Count'!F238="COM-MTU",1,IF('House Count'!F238="ENT",1,0))),0)</f>
        <v>0</v>
      </c>
    </row>
    <row r="239" spans="1:11" x14ac:dyDescent="0.25">
      <c r="A239" s="109"/>
      <c r="B239" s="109"/>
      <c r="C239" s="109"/>
      <c r="D239" s="109"/>
      <c r="E239" s="109"/>
      <c r="F239" s="109"/>
      <c r="G239" s="109"/>
      <c r="H239" s="109"/>
      <c r="I239" s="68"/>
      <c r="J239">
        <f>IF('House Count'!H239="Y",IF('House Count'!F239="RES-SFU",1,IF('House Count'!F239="RES-MDU",1,IF('House Count'!F239="RES-HOA",1,0))),0)</f>
        <v>0</v>
      </c>
      <c r="K239">
        <f>IF('House Count'!H239="Y",IF('House Count'!F239="COMM-SU",1,IF('House Count'!F239="COM-MTU",1,IF('House Count'!F239="ENT",1,0))),0)</f>
        <v>0</v>
      </c>
    </row>
    <row r="240" spans="1:11" x14ac:dyDescent="0.25">
      <c r="A240" s="109"/>
      <c r="B240" s="109"/>
      <c r="C240" s="109"/>
      <c r="D240" s="109"/>
      <c r="E240" s="109"/>
      <c r="F240" s="109"/>
      <c r="G240" s="109"/>
      <c r="H240" s="109"/>
      <c r="I240" s="68"/>
      <c r="J240">
        <f>IF('House Count'!H240="Y",IF('House Count'!F240="RES-SFU",1,IF('House Count'!F240="RES-MDU",1,IF('House Count'!F240="RES-HOA",1,0))),0)</f>
        <v>0</v>
      </c>
      <c r="K240">
        <f>IF('House Count'!H240="Y",IF('House Count'!F240="COMM-SU",1,IF('House Count'!F240="COM-MTU",1,IF('House Count'!F240="ENT",1,0))),0)</f>
        <v>0</v>
      </c>
    </row>
    <row r="241" spans="1:11" ht="15.75" thickBot="1" x14ac:dyDescent="0.3">
      <c r="A241" s="545"/>
      <c r="B241" s="545"/>
      <c r="C241" s="545"/>
      <c r="D241" s="545"/>
      <c r="E241" s="545"/>
      <c r="F241" s="545"/>
      <c r="G241" s="545"/>
      <c r="H241" s="545"/>
      <c r="I241" s="546"/>
      <c r="J241">
        <f>IF('House Count'!H241="Y",IF('House Count'!F241="RES-SFU",1,IF('House Count'!F241="RES-MDU",1,IF('House Count'!F241="RES-HOA",1,0))),0)</f>
        <v>0</v>
      </c>
      <c r="K241">
        <f>IF('House Count'!H241="Y",IF('House Count'!F241="COMM-SU",1,IF('House Count'!F241="COM-MTU",1,IF('House Count'!F241="ENT",1,0))),0)</f>
        <v>0</v>
      </c>
    </row>
    <row r="242" spans="1:11" ht="15.75" thickTop="1" x14ac:dyDescent="0.25">
      <c r="A242" s="109"/>
      <c r="B242" s="109"/>
      <c r="C242" s="109"/>
      <c r="D242" s="109"/>
      <c r="E242" s="109"/>
      <c r="F242" s="109"/>
      <c r="G242" s="109"/>
      <c r="H242" s="109"/>
      <c r="I242" s="68"/>
      <c r="J242">
        <f>IF('House Count'!H242="Y",IF('House Count'!F242="RES-SFU",1,IF('House Count'!F242="RES-MDU",1,IF('House Count'!F242="RES-HOA",1,0))),0)</f>
        <v>0</v>
      </c>
      <c r="K242">
        <f>IF('House Count'!H242="Y",IF('House Count'!F242="COMM-SU",1,IF('House Count'!F242="COM-MTU",1,IF('House Count'!F242="ENT",1,0))),0)</f>
        <v>0</v>
      </c>
    </row>
    <row r="243" spans="1:11" x14ac:dyDescent="0.25">
      <c r="A243" s="109"/>
      <c r="B243" s="109"/>
      <c r="C243" s="109"/>
      <c r="D243" s="109"/>
      <c r="E243" s="109"/>
      <c r="F243" s="109"/>
      <c r="G243" s="109"/>
      <c r="H243" s="109"/>
      <c r="I243" s="68"/>
      <c r="J243">
        <f>IF('House Count'!H243="Y",IF('House Count'!F243="RES-SFU",1,IF('House Count'!F243="RES-MDU",1,IF('House Count'!F243="RES-HOA",1,0))),0)</f>
        <v>0</v>
      </c>
      <c r="K243">
        <f>IF('House Count'!H243="Y",IF('House Count'!F243="COMM-SU",1,IF('House Count'!F243="COM-MTU",1,IF('House Count'!F243="ENT",1,0))),0)</f>
        <v>0</v>
      </c>
    </row>
    <row r="244" spans="1:11" x14ac:dyDescent="0.25">
      <c r="A244" s="109"/>
      <c r="B244" s="109"/>
      <c r="C244" s="109"/>
      <c r="D244" s="109"/>
      <c r="E244" s="109"/>
      <c r="F244" s="109"/>
      <c r="G244" s="109"/>
      <c r="H244" s="109"/>
      <c r="I244" s="68"/>
      <c r="J244">
        <f>IF('House Count'!H244="Y",IF('House Count'!F244="RES-SFU",1,IF('House Count'!F244="RES-MDU",1,IF('House Count'!F244="RES-HOA",1,0))),0)</f>
        <v>0</v>
      </c>
      <c r="K244">
        <f>IF('House Count'!H244="Y",IF('House Count'!F244="COMM-SU",1,IF('House Count'!F244="COM-MTU",1,IF('House Count'!F244="ENT",1,0))),0)</f>
        <v>0</v>
      </c>
    </row>
    <row r="245" spans="1:11" x14ac:dyDescent="0.25">
      <c r="A245" s="109"/>
      <c r="B245" s="109"/>
      <c r="C245" s="109"/>
      <c r="D245" s="109"/>
      <c r="E245" s="109"/>
      <c r="F245" s="109"/>
      <c r="G245" s="109"/>
      <c r="H245" s="109"/>
      <c r="I245" s="68"/>
      <c r="J245">
        <f>IF('House Count'!H245="Y",IF('House Count'!F245="RES-SFU",1,IF('House Count'!F245="RES-MDU",1,IF('House Count'!F245="RES-HOA",1,0))),0)</f>
        <v>0</v>
      </c>
      <c r="K245">
        <f>IF('House Count'!H245="Y",IF('House Count'!F245="COMM-SU",1,IF('House Count'!F245="COM-MTU",1,IF('House Count'!F245="ENT",1,0))),0)</f>
        <v>0</v>
      </c>
    </row>
    <row r="246" spans="1:11" x14ac:dyDescent="0.25">
      <c r="A246" s="109"/>
      <c r="B246" s="109"/>
      <c r="C246" s="109"/>
      <c r="D246" s="109"/>
      <c r="E246" s="109"/>
      <c r="F246" s="109"/>
      <c r="G246" s="109"/>
      <c r="H246" s="109"/>
      <c r="I246" s="68"/>
      <c r="J246">
        <f>IF('House Count'!H246="Y",IF('House Count'!F246="RES-SFU",1,IF('House Count'!F246="RES-MDU",1,IF('House Count'!F246="RES-HOA",1,0))),0)</f>
        <v>0</v>
      </c>
      <c r="K246">
        <f>IF('House Count'!H246="Y",IF('House Count'!F246="COMM-SU",1,IF('House Count'!F246="COM-MTU",1,IF('House Count'!F246="ENT",1,0))),0)</f>
        <v>0</v>
      </c>
    </row>
    <row r="247" spans="1:11" x14ac:dyDescent="0.25">
      <c r="A247" s="109"/>
      <c r="B247" s="109"/>
      <c r="C247" s="109"/>
      <c r="D247" s="109"/>
      <c r="E247" s="109"/>
      <c r="F247" s="109"/>
      <c r="G247" s="109"/>
      <c r="H247" s="109"/>
      <c r="I247" s="68"/>
      <c r="J247">
        <f>IF('House Count'!H247="Y",IF('House Count'!F247="RES-SFU",1,IF('House Count'!F247="RES-MDU",1,IF('House Count'!F247="RES-HOA",1,0))),0)</f>
        <v>0</v>
      </c>
      <c r="K247">
        <f>IF('House Count'!H247="Y",IF('House Count'!F247="COMM-SU",1,IF('House Count'!F247="COM-MTU",1,IF('House Count'!F247="ENT",1,0))),0)</f>
        <v>0</v>
      </c>
    </row>
    <row r="248" spans="1:11" x14ac:dyDescent="0.25">
      <c r="A248" s="109"/>
      <c r="B248" s="109"/>
      <c r="C248" s="109"/>
      <c r="D248" s="109"/>
      <c r="E248" s="109"/>
      <c r="F248" s="109"/>
      <c r="G248" s="109"/>
      <c r="H248" s="109"/>
      <c r="I248" s="68"/>
      <c r="J248">
        <f>IF('House Count'!H248="Y",IF('House Count'!F248="RES-SFU",1,IF('House Count'!F248="RES-MDU",1,IF('House Count'!F248="RES-HOA",1,0))),0)</f>
        <v>0</v>
      </c>
      <c r="K248">
        <f>IF('House Count'!H248="Y",IF('House Count'!F248="COMM-SU",1,IF('House Count'!F248="COM-MTU",1,IF('House Count'!F248="ENT",1,0))),0)</f>
        <v>0</v>
      </c>
    </row>
    <row r="249" spans="1:11" x14ac:dyDescent="0.25">
      <c r="A249" s="109"/>
      <c r="B249" s="109"/>
      <c r="C249" s="109"/>
      <c r="D249" s="109"/>
      <c r="E249" s="109"/>
      <c r="F249" s="109"/>
      <c r="G249" s="109"/>
      <c r="H249" s="109"/>
      <c r="I249" s="68"/>
      <c r="J249">
        <f>IF('House Count'!H249="Y",IF('House Count'!F249="RES-SFU",1,IF('House Count'!F249="RES-MDU",1,IF('House Count'!F249="RES-HOA",1,0))),0)</f>
        <v>0</v>
      </c>
      <c r="K249">
        <f>IF('House Count'!H249="Y",IF('House Count'!F249="COMM-SU",1,IF('House Count'!F249="COM-MTU",1,IF('House Count'!F249="ENT",1,0))),0)</f>
        <v>0</v>
      </c>
    </row>
    <row r="250" spans="1:11" x14ac:dyDescent="0.25">
      <c r="A250" s="109"/>
      <c r="B250" s="109"/>
      <c r="C250" s="109"/>
      <c r="D250" s="109"/>
      <c r="E250" s="109"/>
      <c r="F250" s="109"/>
      <c r="G250" s="109"/>
      <c r="H250" s="109"/>
      <c r="I250" s="68"/>
      <c r="J250">
        <f>IF('House Count'!H250="Y",IF('House Count'!F250="RES-SFU",1,IF('House Count'!F250="RES-MDU",1,IF('House Count'!F250="RES-HOA",1,0))),0)</f>
        <v>0</v>
      </c>
      <c r="K250">
        <f>IF('House Count'!H250="Y",IF('House Count'!F250="COMM-SU",1,IF('House Count'!F250="COM-MTU",1,IF('House Count'!F250="ENT",1,0))),0)</f>
        <v>0</v>
      </c>
    </row>
    <row r="251" spans="1:11" x14ac:dyDescent="0.25">
      <c r="A251" s="109"/>
      <c r="B251" s="109"/>
      <c r="C251" s="109"/>
      <c r="D251" s="109"/>
      <c r="E251" s="109"/>
      <c r="F251" s="109"/>
      <c r="G251" s="109"/>
      <c r="H251" s="109"/>
      <c r="I251" s="68"/>
      <c r="J251">
        <f>IF('House Count'!H251="Y",IF('House Count'!F251="RES-SFU",1,IF('House Count'!F251="RES-MDU",1,IF('House Count'!F251="RES-HOA",1,0))),0)</f>
        <v>0</v>
      </c>
      <c r="K251">
        <f>IF('House Count'!H251="Y",IF('House Count'!F251="COMM-SU",1,IF('House Count'!F251="COM-MTU",1,IF('House Count'!F251="ENT",1,0))),0)</f>
        <v>0</v>
      </c>
    </row>
    <row r="252" spans="1:11" x14ac:dyDescent="0.25">
      <c r="A252" s="109"/>
      <c r="B252" s="109"/>
      <c r="C252" s="109"/>
      <c r="D252" s="109"/>
      <c r="E252" s="109"/>
      <c r="F252" s="109"/>
      <c r="G252" s="109"/>
      <c r="H252" s="109"/>
      <c r="I252" s="68"/>
      <c r="J252">
        <f>IF('House Count'!H252="Y",IF('House Count'!F252="RES-SFU",1,IF('House Count'!F252="RES-MDU",1,IF('House Count'!F252="RES-HOA",1,0))),0)</f>
        <v>0</v>
      </c>
      <c r="K252">
        <f>IF('House Count'!H252="Y",IF('House Count'!F252="COMM-SU",1,IF('House Count'!F252="COM-MTU",1,IF('House Count'!F252="ENT",1,0))),0)</f>
        <v>0</v>
      </c>
    </row>
    <row r="253" spans="1:11" ht="15.75" thickBot="1" x14ac:dyDescent="0.3">
      <c r="A253" s="545"/>
      <c r="B253" s="545"/>
      <c r="C253" s="545"/>
      <c r="D253" s="545"/>
      <c r="E253" s="545"/>
      <c r="F253" s="545"/>
      <c r="G253" s="545"/>
      <c r="H253" s="545"/>
      <c r="I253" s="546"/>
      <c r="J253">
        <f>IF('House Count'!H253="Y",IF('House Count'!F253="RES-SFU",1,IF('House Count'!F253="RES-MDU",1,IF('House Count'!F253="RES-HOA",1,0))),0)</f>
        <v>0</v>
      </c>
      <c r="K253">
        <f>IF('House Count'!H253="Y",IF('House Count'!F253="COMM-SU",1,IF('House Count'!F253="COM-MTU",1,IF('House Count'!F253="ENT",1,0))),0)</f>
        <v>0</v>
      </c>
    </row>
    <row r="254" spans="1:11" ht="15.75" thickTop="1" x14ac:dyDescent="0.25">
      <c r="A254" s="109"/>
      <c r="B254" s="109"/>
      <c r="C254" s="109"/>
      <c r="D254" s="109"/>
      <c r="E254" s="109"/>
      <c r="F254" s="109"/>
      <c r="G254" s="109"/>
      <c r="H254" s="109"/>
      <c r="I254" s="68"/>
      <c r="J254">
        <f>IF('House Count'!H254="Y",IF('House Count'!F254="RES-SFU",1,IF('House Count'!F254="RES-MDU",1,IF('House Count'!F254="RES-HOA",1,0))),0)</f>
        <v>0</v>
      </c>
      <c r="K254">
        <f>IF('House Count'!H254="Y",IF('House Count'!F254="COMM-SU",1,IF('House Count'!F254="COM-MTU",1,IF('House Count'!F254="ENT",1,0))),0)</f>
        <v>0</v>
      </c>
    </row>
    <row r="255" spans="1:11" x14ac:dyDescent="0.25">
      <c r="A255" s="109"/>
      <c r="B255" s="109"/>
      <c r="C255" s="109"/>
      <c r="D255" s="109"/>
      <c r="E255" s="109"/>
      <c r="F255" s="109"/>
      <c r="G255" s="109"/>
      <c r="H255" s="109"/>
      <c r="I255" s="68"/>
      <c r="J255">
        <f>IF('House Count'!H255="Y",IF('House Count'!F255="RES-SFU",1,IF('House Count'!F255="RES-MDU",1,IF('House Count'!F255="RES-HOA",1,0))),0)</f>
        <v>0</v>
      </c>
      <c r="K255">
        <f>IF('House Count'!H255="Y",IF('House Count'!F255="COMM-SU",1,IF('House Count'!F255="COM-MTU",1,IF('House Count'!F255="ENT",1,0))),0)</f>
        <v>0</v>
      </c>
    </row>
    <row r="256" spans="1:11" x14ac:dyDescent="0.25">
      <c r="A256" s="109"/>
      <c r="B256" s="109"/>
      <c r="C256" s="109"/>
      <c r="D256" s="109"/>
      <c r="E256" s="109"/>
      <c r="F256" s="109"/>
      <c r="G256" s="109"/>
      <c r="H256" s="109"/>
      <c r="I256" s="68"/>
      <c r="J256">
        <f>IF('House Count'!H256="Y",IF('House Count'!F256="RES-SFU",1,IF('House Count'!F256="RES-MDU",1,IF('House Count'!F256="RES-HOA",1,0))),0)</f>
        <v>0</v>
      </c>
      <c r="K256">
        <f>IF('House Count'!H256="Y",IF('House Count'!F256="COMM-SU",1,IF('House Count'!F256="COM-MTU",1,IF('House Count'!F256="ENT",1,0))),0)</f>
        <v>0</v>
      </c>
    </row>
    <row r="257" spans="1:11" x14ac:dyDescent="0.25">
      <c r="A257" s="109"/>
      <c r="B257" s="109"/>
      <c r="C257" s="109"/>
      <c r="D257" s="109"/>
      <c r="E257" s="109"/>
      <c r="F257" s="109"/>
      <c r="G257" s="109"/>
      <c r="H257" s="109"/>
      <c r="I257" s="68"/>
      <c r="J257">
        <f>IF('House Count'!H257="Y",IF('House Count'!F257="RES-SFU",1,IF('House Count'!F257="RES-MDU",1,IF('House Count'!F257="RES-HOA",1,0))),0)</f>
        <v>0</v>
      </c>
      <c r="K257">
        <f>IF('House Count'!H257="Y",IF('House Count'!F257="COMM-SU",1,IF('House Count'!F257="COM-MTU",1,IF('House Count'!F257="ENT",1,0))),0)</f>
        <v>0</v>
      </c>
    </row>
    <row r="258" spans="1:11" x14ac:dyDescent="0.25">
      <c r="A258" s="109"/>
      <c r="B258" s="109"/>
      <c r="C258" s="109"/>
      <c r="D258" s="109"/>
      <c r="E258" s="109"/>
      <c r="F258" s="109"/>
      <c r="G258" s="109"/>
      <c r="H258" s="109"/>
      <c r="I258" s="68"/>
      <c r="J258">
        <f>IF('House Count'!H258="Y",IF('House Count'!F258="RES-SFU",1,IF('House Count'!F258="RES-MDU",1,IF('House Count'!F258="RES-HOA",1,0))),0)</f>
        <v>0</v>
      </c>
      <c r="K258">
        <f>IF('House Count'!H258="Y",IF('House Count'!F258="COMM-SU",1,IF('House Count'!F258="COM-MTU",1,IF('House Count'!F258="ENT",1,0))),0)</f>
        <v>0</v>
      </c>
    </row>
    <row r="259" spans="1:11" x14ac:dyDescent="0.25">
      <c r="A259" s="109"/>
      <c r="B259" s="109"/>
      <c r="C259" s="109"/>
      <c r="D259" s="109"/>
      <c r="E259" s="109"/>
      <c r="F259" s="109"/>
      <c r="G259" s="109"/>
      <c r="H259" s="109"/>
      <c r="I259" s="68"/>
      <c r="J259">
        <f>IF('House Count'!H259="Y",IF('House Count'!F259="RES-SFU",1,IF('House Count'!F259="RES-MDU",1,IF('House Count'!F259="RES-HOA",1,0))),0)</f>
        <v>0</v>
      </c>
      <c r="K259">
        <f>IF('House Count'!H259="Y",IF('House Count'!F259="COMM-SU",1,IF('House Count'!F259="COM-MTU",1,IF('House Count'!F259="ENT",1,0))),0)</f>
        <v>0</v>
      </c>
    </row>
    <row r="260" spans="1:11" x14ac:dyDescent="0.25">
      <c r="A260" s="109"/>
      <c r="B260" s="109"/>
      <c r="C260" s="109"/>
      <c r="D260" s="109"/>
      <c r="E260" s="109"/>
      <c r="F260" s="109"/>
      <c r="G260" s="109"/>
      <c r="H260" s="109"/>
      <c r="I260" s="68"/>
      <c r="J260">
        <f>IF('House Count'!H260="Y",IF('House Count'!F260="RES-SFU",1,IF('House Count'!F260="RES-MDU",1,IF('House Count'!F260="RES-HOA",1,0))),0)</f>
        <v>0</v>
      </c>
      <c r="K260">
        <f>IF('House Count'!H260="Y",IF('House Count'!F260="COMM-SU",1,IF('House Count'!F260="COM-MTU",1,IF('House Count'!F260="ENT",1,0))),0)</f>
        <v>0</v>
      </c>
    </row>
    <row r="261" spans="1:11" x14ac:dyDescent="0.25">
      <c r="A261" s="109"/>
      <c r="B261" s="109"/>
      <c r="C261" s="109"/>
      <c r="D261" s="109"/>
      <c r="E261" s="109"/>
      <c r="F261" s="109"/>
      <c r="G261" s="109"/>
      <c r="H261" s="109"/>
      <c r="I261" s="68"/>
      <c r="J261">
        <f>IF('House Count'!H261="Y",IF('House Count'!F261="RES-SFU",1,IF('House Count'!F261="RES-MDU",1,IF('House Count'!F261="RES-HOA",1,0))),0)</f>
        <v>0</v>
      </c>
      <c r="K261">
        <f>IF('House Count'!H261="Y",IF('House Count'!F261="COMM-SU",1,IF('House Count'!F261="COM-MTU",1,IF('House Count'!F261="ENT",1,0))),0)</f>
        <v>0</v>
      </c>
    </row>
    <row r="262" spans="1:11" x14ac:dyDescent="0.25">
      <c r="A262" s="109"/>
      <c r="B262" s="109"/>
      <c r="C262" s="109"/>
      <c r="D262" s="109"/>
      <c r="E262" s="109"/>
      <c r="F262" s="109"/>
      <c r="G262" s="109"/>
      <c r="H262" s="109"/>
      <c r="I262" s="68"/>
      <c r="J262">
        <f>IF('House Count'!H262="Y",IF('House Count'!F262="RES-SFU",1,IF('House Count'!F262="RES-MDU",1,IF('House Count'!F262="RES-HOA",1,0))),0)</f>
        <v>0</v>
      </c>
      <c r="K262">
        <f>IF('House Count'!H262="Y",IF('House Count'!F262="COMM-SU",1,IF('House Count'!F262="COM-MTU",1,IF('House Count'!F262="ENT",1,0))),0)</f>
        <v>0</v>
      </c>
    </row>
    <row r="263" spans="1:11" x14ac:dyDescent="0.25">
      <c r="A263" s="109"/>
      <c r="B263" s="109"/>
      <c r="C263" s="109"/>
      <c r="D263" s="109"/>
      <c r="E263" s="109"/>
      <c r="F263" s="109"/>
      <c r="G263" s="109"/>
      <c r="H263" s="109"/>
      <c r="I263" s="68"/>
      <c r="J263">
        <f>IF('House Count'!H263="Y",IF('House Count'!F263="RES-SFU",1,IF('House Count'!F263="RES-MDU",1,IF('House Count'!F263="RES-HOA",1,0))),0)</f>
        <v>0</v>
      </c>
      <c r="K263">
        <f>IF('House Count'!H263="Y",IF('House Count'!F263="COMM-SU",1,IF('House Count'!F263="COM-MTU",1,IF('House Count'!F263="ENT",1,0))),0)</f>
        <v>0</v>
      </c>
    </row>
    <row r="264" spans="1:11" x14ac:dyDescent="0.25">
      <c r="A264" s="109"/>
      <c r="B264" s="109"/>
      <c r="C264" s="109"/>
      <c r="D264" s="109"/>
      <c r="E264" s="109"/>
      <c r="F264" s="109"/>
      <c r="G264" s="109"/>
      <c r="H264" s="109"/>
      <c r="I264" s="68"/>
      <c r="J264">
        <f>IF('House Count'!H264="Y",IF('House Count'!F264="RES-SFU",1,IF('House Count'!F264="RES-MDU",1,IF('House Count'!F264="RES-HOA",1,0))),0)</f>
        <v>0</v>
      </c>
      <c r="K264">
        <f>IF('House Count'!H264="Y",IF('House Count'!F264="COMM-SU",1,IF('House Count'!F264="COM-MTU",1,IF('House Count'!F264="ENT",1,0))),0)</f>
        <v>0</v>
      </c>
    </row>
    <row r="265" spans="1:11" ht="15.75" thickBot="1" x14ac:dyDescent="0.3">
      <c r="A265" s="545"/>
      <c r="B265" s="545"/>
      <c r="C265" s="545"/>
      <c r="D265" s="545"/>
      <c r="E265" s="545"/>
      <c r="F265" s="545"/>
      <c r="G265" s="545"/>
      <c r="H265" s="545"/>
      <c r="I265" s="546"/>
      <c r="J265">
        <f>IF('House Count'!H265="Y",IF('House Count'!F265="RES-SFU",1,IF('House Count'!F265="RES-MDU",1,IF('House Count'!F265="RES-HOA",1,0))),0)</f>
        <v>0</v>
      </c>
      <c r="K265">
        <f>IF('House Count'!H265="Y",IF('House Count'!F265="COMM-SU",1,IF('House Count'!F265="COM-MTU",1,IF('House Count'!F265="ENT",1,0))),0)</f>
        <v>0</v>
      </c>
    </row>
    <row r="266" spans="1:11" ht="15.75" thickTop="1" x14ac:dyDescent="0.25">
      <c r="A266" s="109"/>
      <c r="B266" s="109"/>
      <c r="C266" s="109"/>
      <c r="D266" s="109"/>
      <c r="E266" s="109"/>
      <c r="F266" s="109"/>
      <c r="G266" s="109"/>
      <c r="H266" s="109"/>
      <c r="I266" s="68"/>
      <c r="J266">
        <f>IF('House Count'!H266="Y",IF('House Count'!F266="RES-SFU",1,IF('House Count'!F266="RES-MDU",1,IF('House Count'!F266="RES-HOA",1,0))),0)</f>
        <v>0</v>
      </c>
      <c r="K266">
        <f>IF('House Count'!H266="Y",IF('House Count'!F266="COMM-SU",1,IF('House Count'!F266="COM-MTU",1,IF('House Count'!F266="ENT",1,0))),0)</f>
        <v>0</v>
      </c>
    </row>
    <row r="267" spans="1:11" x14ac:dyDescent="0.25">
      <c r="A267" s="109"/>
      <c r="B267" s="109"/>
      <c r="C267" s="109"/>
      <c r="D267" s="109"/>
      <c r="E267" s="109"/>
      <c r="F267" s="109"/>
      <c r="G267" s="109"/>
      <c r="H267" s="109"/>
      <c r="I267" s="68"/>
      <c r="J267">
        <f>IF('House Count'!H267="Y",IF('House Count'!F267="RES-SFU",1,IF('House Count'!F267="RES-MDU",1,IF('House Count'!F267="RES-HOA",1,0))),0)</f>
        <v>0</v>
      </c>
      <c r="K267">
        <f>IF('House Count'!H267="Y",IF('House Count'!F267="COMM-SU",1,IF('House Count'!F267="COM-MTU",1,IF('House Count'!F267="ENT",1,0))),0)</f>
        <v>0</v>
      </c>
    </row>
    <row r="268" spans="1:11" x14ac:dyDescent="0.25">
      <c r="A268" s="109"/>
      <c r="B268" s="109"/>
      <c r="C268" s="109"/>
      <c r="D268" s="109"/>
      <c r="E268" s="109"/>
      <c r="F268" s="109"/>
      <c r="G268" s="109"/>
      <c r="H268" s="109"/>
      <c r="I268" s="68"/>
      <c r="J268">
        <f>IF('House Count'!H268="Y",IF('House Count'!F268="RES-SFU",1,IF('House Count'!F268="RES-MDU",1,IF('House Count'!F268="RES-HOA",1,0))),0)</f>
        <v>0</v>
      </c>
      <c r="K268">
        <f>IF('House Count'!H268="Y",IF('House Count'!F268="COMM-SU",1,IF('House Count'!F268="COM-MTU",1,IF('House Count'!F268="ENT",1,0))),0)</f>
        <v>0</v>
      </c>
    </row>
    <row r="269" spans="1:11" x14ac:dyDescent="0.25">
      <c r="A269" s="109"/>
      <c r="B269" s="109"/>
      <c r="C269" s="109"/>
      <c r="D269" s="109"/>
      <c r="E269" s="109"/>
      <c r="F269" s="109"/>
      <c r="G269" s="109"/>
      <c r="H269" s="109"/>
      <c r="I269" s="68"/>
      <c r="J269">
        <f>IF('House Count'!H269="Y",IF('House Count'!F269="RES-SFU",1,IF('House Count'!F269="RES-MDU",1,IF('House Count'!F269="RES-HOA",1,0))),0)</f>
        <v>0</v>
      </c>
      <c r="K269">
        <f>IF('House Count'!H269="Y",IF('House Count'!F269="COMM-SU",1,IF('House Count'!F269="COM-MTU",1,IF('House Count'!F269="ENT",1,0))),0)</f>
        <v>0</v>
      </c>
    </row>
    <row r="270" spans="1:11" x14ac:dyDescent="0.25">
      <c r="A270" s="109"/>
      <c r="B270" s="109"/>
      <c r="C270" s="109"/>
      <c r="D270" s="109"/>
      <c r="E270" s="109"/>
      <c r="F270" s="109"/>
      <c r="G270" s="109"/>
      <c r="H270" s="109"/>
      <c r="I270" s="68"/>
      <c r="J270">
        <f>IF('House Count'!H270="Y",IF('House Count'!F270="RES-SFU",1,IF('House Count'!F270="RES-MDU",1,IF('House Count'!F270="RES-HOA",1,0))),0)</f>
        <v>0</v>
      </c>
      <c r="K270">
        <f>IF('House Count'!H270="Y",IF('House Count'!F270="COMM-SU",1,IF('House Count'!F270="COM-MTU",1,IF('House Count'!F270="ENT",1,0))),0)</f>
        <v>0</v>
      </c>
    </row>
    <row r="271" spans="1:11" x14ac:dyDescent="0.25">
      <c r="A271" s="109"/>
      <c r="B271" s="109"/>
      <c r="C271" s="109"/>
      <c r="D271" s="109"/>
      <c r="E271" s="109"/>
      <c r="F271" s="109"/>
      <c r="G271" s="109"/>
      <c r="H271" s="109"/>
      <c r="I271" s="68"/>
      <c r="J271">
        <f>IF('House Count'!H271="Y",IF('House Count'!F271="RES-SFU",1,IF('House Count'!F271="RES-MDU",1,IF('House Count'!F271="RES-HOA",1,0))),0)</f>
        <v>0</v>
      </c>
      <c r="K271">
        <f>IF('House Count'!H271="Y",IF('House Count'!F271="COMM-SU",1,IF('House Count'!F271="COM-MTU",1,IF('House Count'!F271="ENT",1,0))),0)</f>
        <v>0</v>
      </c>
    </row>
    <row r="272" spans="1:11" x14ac:dyDescent="0.25">
      <c r="A272" s="109"/>
      <c r="B272" s="109"/>
      <c r="C272" s="109"/>
      <c r="D272" s="109"/>
      <c r="E272" s="109"/>
      <c r="F272" s="109"/>
      <c r="G272" s="109"/>
      <c r="H272" s="109"/>
      <c r="I272" s="68"/>
      <c r="J272">
        <f>IF('House Count'!H272="Y",IF('House Count'!F272="RES-SFU",1,IF('House Count'!F272="RES-MDU",1,IF('House Count'!F272="RES-HOA",1,0))),0)</f>
        <v>0</v>
      </c>
      <c r="K272">
        <f>IF('House Count'!H272="Y",IF('House Count'!F272="COMM-SU",1,IF('House Count'!F272="COM-MTU",1,IF('House Count'!F272="ENT",1,0))),0)</f>
        <v>0</v>
      </c>
    </row>
    <row r="273" spans="1:11" x14ac:dyDescent="0.25">
      <c r="A273" s="109"/>
      <c r="B273" s="109"/>
      <c r="C273" s="109"/>
      <c r="D273" s="109"/>
      <c r="E273" s="109"/>
      <c r="F273" s="109"/>
      <c r="G273" s="109"/>
      <c r="H273" s="109"/>
      <c r="I273" s="68"/>
      <c r="J273">
        <f>IF('House Count'!H273="Y",IF('House Count'!F273="RES-SFU",1,IF('House Count'!F273="RES-MDU",1,IF('House Count'!F273="RES-HOA",1,0))),0)</f>
        <v>0</v>
      </c>
      <c r="K273">
        <f>IF('House Count'!H273="Y",IF('House Count'!F273="COMM-SU",1,IF('House Count'!F273="COM-MTU",1,IF('House Count'!F273="ENT",1,0))),0)</f>
        <v>0</v>
      </c>
    </row>
    <row r="274" spans="1:11" x14ac:dyDescent="0.25">
      <c r="A274" s="109"/>
      <c r="B274" s="109"/>
      <c r="C274" s="109"/>
      <c r="D274" s="109"/>
      <c r="E274" s="109"/>
      <c r="F274" s="109"/>
      <c r="G274" s="109"/>
      <c r="H274" s="109"/>
      <c r="I274" s="68"/>
      <c r="J274">
        <f>IF('House Count'!H274="Y",IF('House Count'!F274="RES-SFU",1,IF('House Count'!F274="RES-MDU",1,IF('House Count'!F274="RES-HOA",1,0))),0)</f>
        <v>0</v>
      </c>
      <c r="K274">
        <f>IF('House Count'!H274="Y",IF('House Count'!F274="COMM-SU",1,IF('House Count'!F274="COM-MTU",1,IF('House Count'!F274="ENT",1,0))),0)</f>
        <v>0</v>
      </c>
    </row>
    <row r="275" spans="1:11" x14ac:dyDescent="0.25">
      <c r="A275" s="109"/>
      <c r="B275" s="109"/>
      <c r="C275" s="109"/>
      <c r="D275" s="109"/>
      <c r="E275" s="109"/>
      <c r="F275" s="109"/>
      <c r="G275" s="109"/>
      <c r="H275" s="109"/>
      <c r="I275" s="68"/>
      <c r="J275">
        <f>IF('House Count'!H275="Y",IF('House Count'!F275="RES-SFU",1,IF('House Count'!F275="RES-MDU",1,IF('House Count'!F275="RES-HOA",1,0))),0)</f>
        <v>0</v>
      </c>
      <c r="K275">
        <f>IF('House Count'!H275="Y",IF('House Count'!F275="COMM-SU",1,IF('House Count'!F275="COM-MTU",1,IF('House Count'!F275="ENT",1,0))),0)</f>
        <v>0</v>
      </c>
    </row>
    <row r="276" spans="1:11" x14ac:dyDescent="0.25">
      <c r="A276" s="109"/>
      <c r="B276" s="109"/>
      <c r="C276" s="109"/>
      <c r="D276" s="109"/>
      <c r="E276" s="109"/>
      <c r="F276" s="109"/>
      <c r="G276" s="109"/>
      <c r="H276" s="109"/>
      <c r="I276" s="68"/>
      <c r="J276">
        <f>IF('House Count'!H276="Y",IF('House Count'!F276="RES-SFU",1,IF('House Count'!F276="RES-MDU",1,IF('House Count'!F276="RES-HOA",1,0))),0)</f>
        <v>0</v>
      </c>
      <c r="K276">
        <f>IF('House Count'!H276="Y",IF('House Count'!F276="COMM-SU",1,IF('House Count'!F276="COM-MTU",1,IF('House Count'!F276="ENT",1,0))),0)</f>
        <v>0</v>
      </c>
    </row>
    <row r="277" spans="1:11" ht="15.75" thickBot="1" x14ac:dyDescent="0.3">
      <c r="A277" s="545"/>
      <c r="B277" s="545"/>
      <c r="C277" s="545"/>
      <c r="D277" s="545"/>
      <c r="E277" s="545"/>
      <c r="F277" s="545"/>
      <c r="G277" s="545"/>
      <c r="H277" s="545"/>
      <c r="I277" s="546"/>
      <c r="J277">
        <f>IF('House Count'!H277="Y",IF('House Count'!F277="RES-SFU",1,IF('House Count'!F277="RES-MDU",1,IF('House Count'!F277="RES-HOA",1,0))),0)</f>
        <v>0</v>
      </c>
      <c r="K277">
        <f>IF('House Count'!H277="Y",IF('House Count'!F277="COMM-SU",1,IF('House Count'!F277="COM-MTU",1,IF('House Count'!F277="ENT",1,0))),0)</f>
        <v>0</v>
      </c>
    </row>
    <row r="278" spans="1:11" ht="15.75" thickTop="1" x14ac:dyDescent="0.25">
      <c r="A278" s="109"/>
      <c r="B278" s="109"/>
      <c r="C278" s="109"/>
      <c r="D278" s="109"/>
      <c r="E278" s="109"/>
      <c r="F278" s="109"/>
      <c r="G278" s="109"/>
      <c r="H278" s="109"/>
      <c r="I278" s="68"/>
      <c r="J278">
        <f>IF('House Count'!H278="Y",IF('House Count'!F278="RES-SFU",1,IF('House Count'!F278="RES-MDU",1,IF('House Count'!F278="RES-HOA",1,0))),0)</f>
        <v>0</v>
      </c>
      <c r="K278">
        <f>IF('House Count'!H278="Y",IF('House Count'!F278="COMM-SU",1,IF('House Count'!F278="COM-MTU",1,IF('House Count'!F278="ENT",1,0))),0)</f>
        <v>0</v>
      </c>
    </row>
    <row r="279" spans="1:11" x14ac:dyDescent="0.25">
      <c r="A279" s="109"/>
      <c r="B279" s="109"/>
      <c r="C279" s="109"/>
      <c r="D279" s="109"/>
      <c r="E279" s="109"/>
      <c r="F279" s="109"/>
      <c r="G279" s="109"/>
      <c r="H279" s="109"/>
      <c r="I279" s="68"/>
      <c r="J279">
        <f>IF('House Count'!H279="Y",IF('House Count'!F279="RES-SFU",1,IF('House Count'!F279="RES-MDU",1,IF('House Count'!F279="RES-HOA",1,0))),0)</f>
        <v>0</v>
      </c>
      <c r="K279">
        <f>IF('House Count'!H279="Y",IF('House Count'!F279="COMM-SU",1,IF('House Count'!F279="COM-MTU",1,IF('House Count'!F279="ENT",1,0))),0)</f>
        <v>0</v>
      </c>
    </row>
    <row r="280" spans="1:11" x14ac:dyDescent="0.25">
      <c r="A280" s="109"/>
      <c r="B280" s="109"/>
      <c r="C280" s="109"/>
      <c r="D280" s="109"/>
      <c r="E280" s="109"/>
      <c r="F280" s="109"/>
      <c r="G280" s="109"/>
      <c r="H280" s="109"/>
      <c r="I280" s="68"/>
      <c r="J280">
        <f>IF('House Count'!H280="Y",IF('House Count'!F280="RES-SFU",1,IF('House Count'!F280="RES-MDU",1,IF('House Count'!F280="RES-HOA",1,0))),0)</f>
        <v>0</v>
      </c>
      <c r="K280">
        <f>IF('House Count'!H280="Y",IF('House Count'!F280="COMM-SU",1,IF('House Count'!F280="COM-MTU",1,IF('House Count'!F280="ENT",1,0))),0)</f>
        <v>0</v>
      </c>
    </row>
    <row r="281" spans="1:11" x14ac:dyDescent="0.25">
      <c r="A281" s="109"/>
      <c r="B281" s="109"/>
      <c r="C281" s="109"/>
      <c r="D281" s="109"/>
      <c r="E281" s="109"/>
      <c r="F281" s="109"/>
      <c r="G281" s="109"/>
      <c r="H281" s="109"/>
      <c r="I281" s="68"/>
      <c r="J281">
        <f>IF('House Count'!H281="Y",IF('House Count'!F281="RES-SFU",1,IF('House Count'!F281="RES-MDU",1,IF('House Count'!F281="RES-HOA",1,0))),0)</f>
        <v>0</v>
      </c>
      <c r="K281">
        <f>IF('House Count'!H281="Y",IF('House Count'!F281="COMM-SU",1,IF('House Count'!F281="COM-MTU",1,IF('House Count'!F281="ENT",1,0))),0)</f>
        <v>0</v>
      </c>
    </row>
    <row r="282" spans="1:11" x14ac:dyDescent="0.25">
      <c r="A282" s="109"/>
      <c r="B282" s="109"/>
      <c r="C282" s="109"/>
      <c r="D282" s="109"/>
      <c r="E282" s="109"/>
      <c r="F282" s="109"/>
      <c r="G282" s="109"/>
      <c r="H282" s="109"/>
      <c r="I282" s="68"/>
      <c r="J282">
        <f>IF('House Count'!H282="Y",IF('House Count'!F282="RES-SFU",1,IF('House Count'!F282="RES-MDU",1,IF('House Count'!F282="RES-HOA",1,0))),0)</f>
        <v>0</v>
      </c>
      <c r="K282">
        <f>IF('House Count'!H282="Y",IF('House Count'!F282="COMM-SU",1,IF('House Count'!F282="COM-MTU",1,IF('House Count'!F282="ENT",1,0))),0)</f>
        <v>0</v>
      </c>
    </row>
    <row r="283" spans="1:11" x14ac:dyDescent="0.25">
      <c r="A283" s="109"/>
      <c r="B283" s="109"/>
      <c r="C283" s="109"/>
      <c r="D283" s="109"/>
      <c r="E283" s="109"/>
      <c r="F283" s="109"/>
      <c r="G283" s="109"/>
      <c r="H283" s="109"/>
      <c r="I283" s="68"/>
      <c r="J283">
        <f>IF('House Count'!H283="Y",IF('House Count'!F283="RES-SFU",1,IF('House Count'!F283="RES-MDU",1,IF('House Count'!F283="RES-HOA",1,0))),0)</f>
        <v>0</v>
      </c>
      <c r="K283">
        <f>IF('House Count'!H283="Y",IF('House Count'!F283="COMM-SU",1,IF('House Count'!F283="COM-MTU",1,IF('House Count'!F283="ENT",1,0))),0)</f>
        <v>0</v>
      </c>
    </row>
    <row r="284" spans="1:11" x14ac:dyDescent="0.25">
      <c r="A284" s="109"/>
      <c r="B284" s="109"/>
      <c r="C284" s="109"/>
      <c r="D284" s="109"/>
      <c r="E284" s="109"/>
      <c r="F284" s="109"/>
      <c r="G284" s="109"/>
      <c r="H284" s="109"/>
      <c r="I284" s="68"/>
      <c r="J284">
        <f>IF('House Count'!H284="Y",IF('House Count'!F284="RES-SFU",1,IF('House Count'!F284="RES-MDU",1,IF('House Count'!F284="RES-HOA",1,0))),0)</f>
        <v>0</v>
      </c>
      <c r="K284">
        <f>IF('House Count'!H284="Y",IF('House Count'!F284="COMM-SU",1,IF('House Count'!F284="COM-MTU",1,IF('House Count'!F284="ENT",1,0))),0)</f>
        <v>0</v>
      </c>
    </row>
    <row r="285" spans="1:11" x14ac:dyDescent="0.25">
      <c r="A285" s="109"/>
      <c r="B285" s="109"/>
      <c r="C285" s="109"/>
      <c r="D285" s="109"/>
      <c r="E285" s="109"/>
      <c r="F285" s="109"/>
      <c r="G285" s="109"/>
      <c r="H285" s="109"/>
      <c r="I285" s="68"/>
      <c r="J285">
        <f>IF('House Count'!H285="Y",IF('House Count'!F285="RES-SFU",1,IF('House Count'!F285="RES-MDU",1,IF('House Count'!F285="RES-HOA",1,0))),0)</f>
        <v>0</v>
      </c>
      <c r="K285">
        <f>IF('House Count'!H285="Y",IF('House Count'!F285="COMM-SU",1,IF('House Count'!F285="COM-MTU",1,IF('House Count'!F285="ENT",1,0))),0)</f>
        <v>0</v>
      </c>
    </row>
    <row r="286" spans="1:11" x14ac:dyDescent="0.25">
      <c r="A286" s="109"/>
      <c r="B286" s="109"/>
      <c r="C286" s="109"/>
      <c r="D286" s="109"/>
      <c r="E286" s="109"/>
      <c r="F286" s="109"/>
      <c r="G286" s="109"/>
      <c r="H286" s="109"/>
      <c r="I286" s="68"/>
      <c r="J286">
        <f>IF('House Count'!H286="Y",IF('House Count'!F286="RES-SFU",1,IF('House Count'!F286="RES-MDU",1,IF('House Count'!F286="RES-HOA",1,0))),0)</f>
        <v>0</v>
      </c>
      <c r="K286">
        <f>IF('House Count'!H286="Y",IF('House Count'!F286="COMM-SU",1,IF('House Count'!F286="COM-MTU",1,IF('House Count'!F286="ENT",1,0))),0)</f>
        <v>0</v>
      </c>
    </row>
    <row r="287" spans="1:11" x14ac:dyDescent="0.25">
      <c r="A287" s="109"/>
      <c r="B287" s="109"/>
      <c r="C287" s="109"/>
      <c r="D287" s="109"/>
      <c r="E287" s="109"/>
      <c r="F287" s="109"/>
      <c r="G287" s="109"/>
      <c r="H287" s="109"/>
      <c r="I287" s="68"/>
      <c r="J287">
        <f>IF('House Count'!H287="Y",IF('House Count'!F287="RES-SFU",1,IF('House Count'!F287="RES-MDU",1,IF('House Count'!F287="RES-HOA",1,0))),0)</f>
        <v>0</v>
      </c>
      <c r="K287">
        <f>IF('House Count'!H287="Y",IF('House Count'!F287="COMM-SU",1,IF('House Count'!F287="COM-MTU",1,IF('House Count'!F287="ENT",1,0))),0)</f>
        <v>0</v>
      </c>
    </row>
    <row r="288" spans="1:11" x14ac:dyDescent="0.25">
      <c r="A288" s="109"/>
      <c r="B288" s="109"/>
      <c r="C288" s="109"/>
      <c r="D288" s="109"/>
      <c r="E288" s="109"/>
      <c r="F288" s="109"/>
      <c r="G288" s="109"/>
      <c r="H288" s="109"/>
      <c r="I288" s="68"/>
      <c r="J288">
        <f>IF('House Count'!H288="Y",IF('House Count'!F288="RES-SFU",1,IF('House Count'!F288="RES-MDU",1,IF('House Count'!F288="RES-HOA",1,0))),0)</f>
        <v>0</v>
      </c>
      <c r="K288">
        <f>IF('House Count'!H288="Y",IF('House Count'!F288="COMM-SU",1,IF('House Count'!F288="COM-MTU",1,IF('House Count'!F288="ENT",1,0))),0)</f>
        <v>0</v>
      </c>
    </row>
    <row r="289" spans="1:11" ht="15.75" thickBot="1" x14ac:dyDescent="0.3">
      <c r="A289" s="545"/>
      <c r="B289" s="545"/>
      <c r="C289" s="545"/>
      <c r="D289" s="545"/>
      <c r="E289" s="545"/>
      <c r="F289" s="545"/>
      <c r="G289" s="545"/>
      <c r="H289" s="545"/>
      <c r="I289" s="546"/>
      <c r="J289">
        <f>IF('House Count'!H289="Y",IF('House Count'!F289="RES-SFU",1,IF('House Count'!F289="RES-MDU",1,IF('House Count'!F289="RES-HOA",1,0))),0)</f>
        <v>0</v>
      </c>
      <c r="K289">
        <f>IF('House Count'!H289="Y",IF('House Count'!F289="COMM-SU",1,IF('House Count'!F289="COM-MTU",1,IF('House Count'!F289="ENT",1,0))),0)</f>
        <v>0</v>
      </c>
    </row>
    <row r="290" spans="1:11" ht="15.75" thickTop="1" x14ac:dyDescent="0.25">
      <c r="A290" s="109"/>
      <c r="B290" s="109"/>
      <c r="C290" s="109"/>
      <c r="D290" s="109"/>
      <c r="E290" s="109"/>
      <c r="F290" s="109"/>
      <c r="G290" s="109"/>
      <c r="H290" s="109"/>
      <c r="I290" s="68"/>
      <c r="J290">
        <f>IF('House Count'!H290="Y",IF('House Count'!F290="RES-SFU",1,IF('House Count'!F290="RES-MDU",1,IF('House Count'!F290="RES-HOA",1,0))),0)</f>
        <v>0</v>
      </c>
      <c r="K290">
        <f>IF('House Count'!H290="Y",IF('House Count'!F290="COMM-SU",1,IF('House Count'!F290="COM-MTU",1,IF('House Count'!F290="ENT",1,0))),0)</f>
        <v>0</v>
      </c>
    </row>
    <row r="291" spans="1:11" x14ac:dyDescent="0.25">
      <c r="A291" s="109"/>
      <c r="B291" s="109"/>
      <c r="C291" s="109"/>
      <c r="D291" s="109"/>
      <c r="E291" s="109"/>
      <c r="F291" s="109"/>
      <c r="G291" s="109"/>
      <c r="H291" s="109"/>
      <c r="I291" s="68"/>
      <c r="J291">
        <f>IF('House Count'!H291="Y",IF('House Count'!F291="RES-SFU",1,IF('House Count'!F291="RES-MDU",1,IF('House Count'!F291="RES-HOA",1,0))),0)</f>
        <v>0</v>
      </c>
      <c r="K291">
        <f>IF('House Count'!H291="Y",IF('House Count'!F291="COMM-SU",1,IF('House Count'!F291="COM-MTU",1,IF('House Count'!F291="ENT",1,0))),0)</f>
        <v>0</v>
      </c>
    </row>
    <row r="292" spans="1:11" x14ac:dyDescent="0.25">
      <c r="A292" s="109"/>
      <c r="B292" s="109"/>
      <c r="C292" s="109"/>
      <c r="D292" s="109"/>
      <c r="E292" s="109"/>
      <c r="F292" s="109"/>
      <c r="G292" s="109"/>
      <c r="H292" s="109"/>
      <c r="I292" s="68"/>
      <c r="J292">
        <f>IF('House Count'!H292="Y",IF('House Count'!F292="RES-SFU",1,IF('House Count'!F292="RES-MDU",1,IF('House Count'!F292="RES-HOA",1,0))),0)</f>
        <v>0</v>
      </c>
      <c r="K292">
        <f>IF('House Count'!H292="Y",IF('House Count'!F292="COMM-SU",1,IF('House Count'!F292="COM-MTU",1,IF('House Count'!F292="ENT",1,0))),0)</f>
        <v>0</v>
      </c>
    </row>
    <row r="293" spans="1:11" x14ac:dyDescent="0.25">
      <c r="A293" s="109"/>
      <c r="B293" s="109"/>
      <c r="C293" s="109"/>
      <c r="D293" s="109"/>
      <c r="E293" s="109"/>
      <c r="F293" s="109"/>
      <c r="G293" s="109"/>
      <c r="H293" s="109"/>
      <c r="I293" s="68"/>
      <c r="J293">
        <f>IF('House Count'!H293="Y",IF('House Count'!F293="RES-SFU",1,IF('House Count'!F293="RES-MDU",1,IF('House Count'!F293="RES-HOA",1,0))),0)</f>
        <v>0</v>
      </c>
      <c r="K293">
        <f>IF('House Count'!H293="Y",IF('House Count'!F293="COMM-SU",1,IF('House Count'!F293="COM-MTU",1,IF('House Count'!F293="ENT",1,0))),0)</f>
        <v>0</v>
      </c>
    </row>
    <row r="294" spans="1:11" x14ac:dyDescent="0.25">
      <c r="A294" s="109"/>
      <c r="B294" s="109"/>
      <c r="C294" s="109"/>
      <c r="D294" s="109"/>
      <c r="E294" s="109"/>
      <c r="F294" s="109"/>
      <c r="G294" s="109"/>
      <c r="H294" s="109"/>
      <c r="I294" s="68"/>
      <c r="J294">
        <f>IF('House Count'!H294="Y",IF('House Count'!F294="RES-SFU",1,IF('House Count'!F294="RES-MDU",1,IF('House Count'!F294="RES-HOA",1,0))),0)</f>
        <v>0</v>
      </c>
      <c r="K294">
        <f>IF('House Count'!H294="Y",IF('House Count'!F294="COMM-SU",1,IF('House Count'!F294="COM-MTU",1,IF('House Count'!F294="ENT",1,0))),0)</f>
        <v>0</v>
      </c>
    </row>
    <row r="295" spans="1:11" x14ac:dyDescent="0.25">
      <c r="A295" s="109"/>
      <c r="B295" s="109"/>
      <c r="C295" s="109"/>
      <c r="D295" s="109"/>
      <c r="E295" s="109"/>
      <c r="F295" s="109"/>
      <c r="G295" s="109"/>
      <c r="H295" s="109"/>
      <c r="I295" s="68"/>
      <c r="J295">
        <f>IF('House Count'!H295="Y",IF('House Count'!F295="RES-SFU",1,IF('House Count'!F295="RES-MDU",1,IF('House Count'!F295="RES-HOA",1,0))),0)</f>
        <v>0</v>
      </c>
      <c r="K295">
        <f>IF('House Count'!H295="Y",IF('House Count'!F295="COMM-SU",1,IF('House Count'!F295="COM-MTU",1,IF('House Count'!F295="ENT",1,0))),0)</f>
        <v>0</v>
      </c>
    </row>
    <row r="296" spans="1:11" x14ac:dyDescent="0.25">
      <c r="A296" s="109"/>
      <c r="B296" s="109"/>
      <c r="C296" s="109"/>
      <c r="D296" s="109"/>
      <c r="E296" s="109"/>
      <c r="F296" s="109"/>
      <c r="G296" s="109"/>
      <c r="H296" s="109"/>
      <c r="I296" s="68"/>
      <c r="J296">
        <f>IF('House Count'!H296="Y",IF('House Count'!F296="RES-SFU",1,IF('House Count'!F296="RES-MDU",1,IF('House Count'!F296="RES-HOA",1,0))),0)</f>
        <v>0</v>
      </c>
      <c r="K296">
        <f>IF('House Count'!H296="Y",IF('House Count'!F296="COMM-SU",1,IF('House Count'!F296="COM-MTU",1,IF('House Count'!F296="ENT",1,0))),0)</f>
        <v>0</v>
      </c>
    </row>
    <row r="297" spans="1:11" x14ac:dyDescent="0.25">
      <c r="A297" s="109"/>
      <c r="B297" s="109"/>
      <c r="C297" s="109"/>
      <c r="D297" s="109"/>
      <c r="E297" s="109"/>
      <c r="F297" s="109"/>
      <c r="G297" s="109"/>
      <c r="H297" s="109"/>
      <c r="I297" s="68"/>
      <c r="J297">
        <f>IF('House Count'!H297="Y",IF('House Count'!F297="RES-SFU",1,IF('House Count'!F297="RES-MDU",1,IF('House Count'!F297="RES-HOA",1,0))),0)</f>
        <v>0</v>
      </c>
      <c r="K297">
        <f>IF('House Count'!H297="Y",IF('House Count'!F297="COMM-SU",1,IF('House Count'!F297="COM-MTU",1,IF('House Count'!F297="ENT",1,0))),0)</f>
        <v>0</v>
      </c>
    </row>
    <row r="298" spans="1:11" x14ac:dyDescent="0.25">
      <c r="A298" s="109"/>
      <c r="B298" s="109"/>
      <c r="C298" s="109"/>
      <c r="D298" s="109"/>
      <c r="E298" s="109"/>
      <c r="F298" s="109"/>
      <c r="G298" s="109"/>
      <c r="H298" s="109"/>
      <c r="I298" s="68"/>
      <c r="J298">
        <f>IF('House Count'!H298="Y",IF('House Count'!F298="RES-SFU",1,IF('House Count'!F298="RES-MDU",1,IF('House Count'!F298="RES-HOA",1,0))),0)</f>
        <v>0</v>
      </c>
      <c r="K298">
        <f>IF('House Count'!H298="Y",IF('House Count'!F298="COMM-SU",1,IF('House Count'!F298="COM-MTU",1,IF('House Count'!F298="ENT",1,0))),0)</f>
        <v>0</v>
      </c>
    </row>
    <row r="299" spans="1:11" x14ac:dyDescent="0.25">
      <c r="A299" s="109"/>
      <c r="B299" s="109"/>
      <c r="C299" s="109"/>
      <c r="D299" s="109"/>
      <c r="E299" s="109"/>
      <c r="F299" s="109"/>
      <c r="G299" s="109"/>
      <c r="H299" s="109"/>
      <c r="I299" s="68"/>
      <c r="J299">
        <f>IF('House Count'!H299="Y",IF('House Count'!F299="RES-SFU",1,IF('House Count'!F299="RES-MDU",1,IF('House Count'!F299="RES-HOA",1,0))),0)</f>
        <v>0</v>
      </c>
      <c r="K299">
        <f>IF('House Count'!H299="Y",IF('House Count'!F299="COMM-SU",1,IF('House Count'!F299="COM-MTU",1,IF('House Count'!F299="ENT",1,0))),0)</f>
        <v>0</v>
      </c>
    </row>
    <row r="300" spans="1:11" x14ac:dyDescent="0.25">
      <c r="A300" s="109"/>
      <c r="B300" s="109"/>
      <c r="C300" s="109"/>
      <c r="D300" s="109"/>
      <c r="E300" s="109"/>
      <c r="F300" s="109"/>
      <c r="G300" s="109"/>
      <c r="H300" s="109"/>
      <c r="I300" s="68"/>
      <c r="J300">
        <f>IF('House Count'!H300="Y",IF('House Count'!F300="RES-SFU",1,IF('House Count'!F300="RES-MDU",1,IF('House Count'!F300="RES-HOA",1,0))),0)</f>
        <v>0</v>
      </c>
      <c r="K300">
        <f>IF('House Count'!H300="Y",IF('House Count'!F300="COMM-SU",1,IF('House Count'!F300="COM-MTU",1,IF('House Count'!F300="ENT",1,0))),0)</f>
        <v>0</v>
      </c>
    </row>
    <row r="301" spans="1:11" ht="15.75" thickBot="1" x14ac:dyDescent="0.3">
      <c r="A301" s="545"/>
      <c r="B301" s="545"/>
      <c r="C301" s="545"/>
      <c r="D301" s="545"/>
      <c r="E301" s="545"/>
      <c r="F301" s="545"/>
      <c r="G301" s="545"/>
      <c r="H301" s="545"/>
      <c r="I301" s="546"/>
      <c r="J301">
        <f>IF('House Count'!H301="Y",IF('House Count'!F301="RES-SFU",1,IF('House Count'!F301="RES-MDU",1,IF('House Count'!F301="RES-HOA",1,0))),0)</f>
        <v>0</v>
      </c>
      <c r="K301">
        <f>IF('House Count'!H301="Y",IF('House Count'!F301="COMM-SU",1,IF('House Count'!F301="COM-MTU",1,IF('House Count'!F301="ENT",1,0))),0)</f>
        <v>0</v>
      </c>
    </row>
    <row r="302" spans="1:11" ht="15.75" thickTop="1" x14ac:dyDescent="0.25">
      <c r="A302" s="109"/>
      <c r="B302" s="109"/>
      <c r="C302" s="109"/>
      <c r="D302" s="109"/>
      <c r="E302" s="109"/>
      <c r="F302" s="109"/>
      <c r="G302" s="109"/>
      <c r="H302" s="109"/>
      <c r="I302" s="68"/>
      <c r="J302">
        <f>IF('House Count'!H302="Y",IF('House Count'!F302="RES-SFU",1,IF('House Count'!F302="RES-MDU",1,IF('House Count'!F302="RES-HOA",1,0))),0)</f>
        <v>0</v>
      </c>
      <c r="K302">
        <f>IF('House Count'!H302="Y",IF('House Count'!F302="COMM-SU",1,IF('House Count'!F302="COM-MTU",1,IF('House Count'!F302="ENT",1,0))),0)</f>
        <v>0</v>
      </c>
    </row>
    <row r="303" spans="1:11" x14ac:dyDescent="0.25">
      <c r="A303" s="109"/>
      <c r="B303" s="109"/>
      <c r="C303" s="109"/>
      <c r="D303" s="109"/>
      <c r="E303" s="109"/>
      <c r="F303" s="109"/>
      <c r="G303" s="109"/>
      <c r="H303" s="109"/>
      <c r="I303" s="68"/>
      <c r="J303">
        <f>IF('House Count'!H303="Y",IF('House Count'!F303="RES-SFU",1,IF('House Count'!F303="RES-MDU",1,IF('House Count'!F303="RES-HOA",1,0))),0)</f>
        <v>0</v>
      </c>
      <c r="K303">
        <f>IF('House Count'!H303="Y",IF('House Count'!F303="COMM-SU",1,IF('House Count'!F303="COM-MTU",1,IF('House Count'!F303="ENT",1,0))),0)</f>
        <v>0</v>
      </c>
    </row>
    <row r="304" spans="1:11" x14ac:dyDescent="0.25">
      <c r="A304" s="109"/>
      <c r="B304" s="109"/>
      <c r="C304" s="109"/>
      <c r="D304" s="109"/>
      <c r="E304" s="109"/>
      <c r="F304" s="109"/>
      <c r="G304" s="109"/>
      <c r="H304" s="109"/>
      <c r="I304" s="68"/>
      <c r="J304">
        <f>IF('House Count'!H304="Y",IF('House Count'!F304="RES-SFU",1,IF('House Count'!F304="RES-MDU",1,IF('House Count'!F304="RES-HOA",1,0))),0)</f>
        <v>0</v>
      </c>
      <c r="K304">
        <f>IF('House Count'!H304="Y",IF('House Count'!F304="COMM-SU",1,IF('House Count'!F304="COM-MTU",1,IF('House Count'!F304="ENT",1,0))),0)</f>
        <v>0</v>
      </c>
    </row>
    <row r="305" spans="1:11" x14ac:dyDescent="0.25">
      <c r="A305" s="109"/>
      <c r="B305" s="109"/>
      <c r="C305" s="109"/>
      <c r="D305" s="109"/>
      <c r="E305" s="109"/>
      <c r="F305" s="109"/>
      <c r="G305" s="109"/>
      <c r="H305" s="109"/>
      <c r="I305" s="68"/>
      <c r="J305">
        <f>IF('House Count'!H305="Y",IF('House Count'!F305="RES-SFU",1,IF('House Count'!F305="RES-MDU",1,IF('House Count'!F305="RES-HOA",1,0))),0)</f>
        <v>0</v>
      </c>
      <c r="K305">
        <f>IF('House Count'!H305="Y",IF('House Count'!F305="COMM-SU",1,IF('House Count'!F305="COM-MTU",1,IF('House Count'!F305="ENT",1,0))),0)</f>
        <v>0</v>
      </c>
    </row>
    <row r="306" spans="1:11" x14ac:dyDescent="0.25">
      <c r="A306" s="109"/>
      <c r="B306" s="109"/>
      <c r="C306" s="109"/>
      <c r="D306" s="109"/>
      <c r="E306" s="109"/>
      <c r="F306" s="109"/>
      <c r="G306" s="109"/>
      <c r="H306" s="109"/>
      <c r="I306" s="68"/>
      <c r="J306">
        <f>IF('House Count'!H306="Y",IF('House Count'!F306="RES-SFU",1,IF('House Count'!F306="RES-MDU",1,IF('House Count'!F306="RES-HOA",1,0))),0)</f>
        <v>0</v>
      </c>
      <c r="K306">
        <f>IF('House Count'!H306="Y",IF('House Count'!F306="COMM-SU",1,IF('House Count'!F306="COM-MTU",1,IF('House Count'!F306="ENT",1,0))),0)</f>
        <v>0</v>
      </c>
    </row>
    <row r="307" spans="1:11" x14ac:dyDescent="0.25">
      <c r="A307" s="109"/>
      <c r="B307" s="109"/>
      <c r="C307" s="109"/>
      <c r="D307" s="109"/>
      <c r="E307" s="109"/>
      <c r="F307" s="109"/>
      <c r="G307" s="109"/>
      <c r="H307" s="109"/>
      <c r="I307" s="68"/>
      <c r="J307">
        <f>IF('House Count'!H307="Y",IF('House Count'!F307="RES-SFU",1,IF('House Count'!F307="RES-MDU",1,IF('House Count'!F307="RES-HOA",1,0))),0)</f>
        <v>0</v>
      </c>
      <c r="K307">
        <f>IF('House Count'!H307="Y",IF('House Count'!F307="COMM-SU",1,IF('House Count'!F307="COM-MTU",1,IF('House Count'!F307="ENT",1,0))),0)</f>
        <v>0</v>
      </c>
    </row>
    <row r="308" spans="1:11" x14ac:dyDescent="0.25">
      <c r="A308" s="109"/>
      <c r="B308" s="109"/>
      <c r="C308" s="109"/>
      <c r="D308" s="109"/>
      <c r="E308" s="109"/>
      <c r="F308" s="109"/>
      <c r="G308" s="109"/>
      <c r="H308" s="109"/>
      <c r="I308" s="68"/>
      <c r="J308">
        <f>IF('House Count'!H308="Y",IF('House Count'!F308="RES-SFU",1,IF('House Count'!F308="RES-MDU",1,IF('House Count'!F308="RES-HOA",1,0))),0)</f>
        <v>0</v>
      </c>
      <c r="K308">
        <f>IF('House Count'!H308="Y",IF('House Count'!F308="COMM-SU",1,IF('House Count'!F308="COM-MTU",1,IF('House Count'!F308="ENT",1,0))),0)</f>
        <v>0</v>
      </c>
    </row>
    <row r="309" spans="1:11" x14ac:dyDescent="0.25">
      <c r="A309" s="109"/>
      <c r="B309" s="109"/>
      <c r="C309" s="109"/>
      <c r="D309" s="109"/>
      <c r="E309" s="109"/>
      <c r="F309" s="109"/>
      <c r="G309" s="109"/>
      <c r="H309" s="109"/>
      <c r="I309" s="68"/>
      <c r="J309">
        <f>IF('House Count'!H309="Y",IF('House Count'!F309="RES-SFU",1,IF('House Count'!F309="RES-MDU",1,IF('House Count'!F309="RES-HOA",1,0))),0)</f>
        <v>0</v>
      </c>
      <c r="K309">
        <f>IF('House Count'!H309="Y",IF('House Count'!F309="COMM-SU",1,IF('House Count'!F309="COM-MTU",1,IF('House Count'!F309="ENT",1,0))),0)</f>
        <v>0</v>
      </c>
    </row>
    <row r="310" spans="1:11" x14ac:dyDescent="0.25">
      <c r="A310" s="109"/>
      <c r="B310" s="109"/>
      <c r="C310" s="109"/>
      <c r="D310" s="109"/>
      <c r="E310" s="109"/>
      <c r="F310" s="109"/>
      <c r="G310" s="109"/>
      <c r="H310" s="109"/>
      <c r="I310" s="68"/>
      <c r="J310">
        <f>IF('House Count'!H310="Y",IF('House Count'!F310="RES-SFU",1,IF('House Count'!F310="RES-MDU",1,IF('House Count'!F310="RES-HOA",1,0))),0)</f>
        <v>0</v>
      </c>
      <c r="K310">
        <f>IF('House Count'!H310="Y",IF('House Count'!F310="COMM-SU",1,IF('House Count'!F310="COM-MTU",1,IF('House Count'!F310="ENT",1,0))),0)</f>
        <v>0</v>
      </c>
    </row>
    <row r="311" spans="1:11" x14ac:dyDescent="0.25">
      <c r="A311" s="109"/>
      <c r="B311" s="109"/>
      <c r="C311" s="109"/>
      <c r="D311" s="109"/>
      <c r="E311" s="109"/>
      <c r="F311" s="109"/>
      <c r="G311" s="109"/>
      <c r="H311" s="109"/>
      <c r="I311" s="68"/>
      <c r="J311">
        <f>IF('House Count'!H311="Y",IF('House Count'!F311="RES-SFU",1,IF('House Count'!F311="RES-MDU",1,IF('House Count'!F311="RES-HOA",1,0))),0)</f>
        <v>0</v>
      </c>
      <c r="K311">
        <f>IF('House Count'!H311="Y",IF('House Count'!F311="COMM-SU",1,IF('House Count'!F311="COM-MTU",1,IF('House Count'!F311="ENT",1,0))),0)</f>
        <v>0</v>
      </c>
    </row>
    <row r="312" spans="1:11" x14ac:dyDescent="0.25">
      <c r="A312" s="109"/>
      <c r="B312" s="109"/>
      <c r="C312" s="109"/>
      <c r="D312" s="109"/>
      <c r="E312" s="109"/>
      <c r="F312" s="109"/>
      <c r="G312" s="109"/>
      <c r="H312" s="109"/>
      <c r="I312" s="68"/>
      <c r="J312">
        <f>IF('House Count'!H312="Y",IF('House Count'!F312="RES-SFU",1,IF('House Count'!F312="RES-MDU",1,IF('House Count'!F312="RES-HOA",1,0))),0)</f>
        <v>0</v>
      </c>
      <c r="K312">
        <f>IF('House Count'!H312="Y",IF('House Count'!F312="COMM-SU",1,IF('House Count'!F312="COM-MTU",1,IF('House Count'!F312="ENT",1,0))),0)</f>
        <v>0</v>
      </c>
    </row>
    <row r="313" spans="1:11" ht="15.75" thickBot="1" x14ac:dyDescent="0.3">
      <c r="A313" s="545"/>
      <c r="B313" s="545"/>
      <c r="C313" s="545"/>
      <c r="D313" s="545"/>
      <c r="E313" s="545"/>
      <c r="F313" s="545"/>
      <c r="G313" s="545"/>
      <c r="H313" s="545"/>
      <c r="I313" s="546"/>
      <c r="J313">
        <f>IF('House Count'!H313="Y",IF('House Count'!F313="RES-SFU",1,IF('House Count'!F313="RES-MDU",1,IF('House Count'!F313="RES-HOA",1,0))),0)</f>
        <v>0</v>
      </c>
      <c r="K313">
        <f>IF('House Count'!H313="Y",IF('House Count'!F313="COMM-SU",1,IF('House Count'!F313="COM-MTU",1,IF('House Count'!F313="ENT",1,0))),0)</f>
        <v>0</v>
      </c>
    </row>
    <row r="314" spans="1:11" ht="15.75" thickTop="1" x14ac:dyDescent="0.25">
      <c r="A314" s="109"/>
      <c r="B314" s="109"/>
      <c r="C314" s="109"/>
      <c r="D314" s="109"/>
      <c r="E314" s="109"/>
      <c r="F314" s="109"/>
      <c r="G314" s="109"/>
      <c r="H314" s="109"/>
      <c r="I314" s="68"/>
      <c r="J314">
        <f>IF('House Count'!H314="Y",IF('House Count'!F314="RES-SFU",1,IF('House Count'!F314="RES-MDU",1,IF('House Count'!F314="RES-HOA",1,0))),0)</f>
        <v>0</v>
      </c>
      <c r="K314">
        <f>IF('House Count'!H314="Y",IF('House Count'!F314="COMM-SU",1,IF('House Count'!F314="COM-MTU",1,IF('House Count'!F314="ENT",1,0))),0)</f>
        <v>0</v>
      </c>
    </row>
    <row r="315" spans="1:11" x14ac:dyDescent="0.25">
      <c r="A315" s="109"/>
      <c r="B315" s="109"/>
      <c r="C315" s="109"/>
      <c r="D315" s="109"/>
      <c r="E315" s="109"/>
      <c r="F315" s="109"/>
      <c r="G315" s="109"/>
      <c r="H315" s="109"/>
      <c r="I315" s="68"/>
      <c r="J315">
        <f>IF('House Count'!H315="Y",IF('House Count'!F315="RES-SFU",1,IF('House Count'!F315="RES-MDU",1,IF('House Count'!F315="RES-HOA",1,0))),0)</f>
        <v>0</v>
      </c>
      <c r="K315">
        <f>IF('House Count'!H315="Y",IF('House Count'!F315="COMM-SU",1,IF('House Count'!F315="COM-MTU",1,IF('House Count'!F315="ENT",1,0))),0)</f>
        <v>0</v>
      </c>
    </row>
    <row r="316" spans="1:11" x14ac:dyDescent="0.25">
      <c r="A316" s="109"/>
      <c r="B316" s="109"/>
      <c r="C316" s="109"/>
      <c r="D316" s="109"/>
      <c r="E316" s="109"/>
      <c r="F316" s="109"/>
      <c r="G316" s="109"/>
      <c r="H316" s="109"/>
      <c r="I316" s="68"/>
      <c r="J316">
        <f>IF('House Count'!H316="Y",IF('House Count'!F316="RES-SFU",1,IF('House Count'!F316="RES-MDU",1,IF('House Count'!F316="RES-HOA",1,0))),0)</f>
        <v>0</v>
      </c>
      <c r="K316">
        <f>IF('House Count'!H316="Y",IF('House Count'!F316="COMM-SU",1,IF('House Count'!F316="COM-MTU",1,IF('House Count'!F316="ENT",1,0))),0)</f>
        <v>0</v>
      </c>
    </row>
    <row r="317" spans="1:11" x14ac:dyDescent="0.25">
      <c r="A317" s="109"/>
      <c r="B317" s="109"/>
      <c r="C317" s="109"/>
      <c r="D317" s="109"/>
      <c r="E317" s="109"/>
      <c r="F317" s="109"/>
      <c r="G317" s="109"/>
      <c r="H317" s="109"/>
      <c r="I317" s="68"/>
      <c r="J317">
        <f>IF('House Count'!H317="Y",IF('House Count'!F317="RES-SFU",1,IF('House Count'!F317="RES-MDU",1,IF('House Count'!F317="RES-HOA",1,0))),0)</f>
        <v>0</v>
      </c>
      <c r="K317">
        <f>IF('House Count'!H317="Y",IF('House Count'!F317="COMM-SU",1,IF('House Count'!F317="COM-MTU",1,IF('House Count'!F317="ENT",1,0))),0)</f>
        <v>0</v>
      </c>
    </row>
    <row r="318" spans="1:11" x14ac:dyDescent="0.25">
      <c r="A318" s="109"/>
      <c r="B318" s="109"/>
      <c r="C318" s="109"/>
      <c r="D318" s="109"/>
      <c r="E318" s="109"/>
      <c r="F318" s="109"/>
      <c r="G318" s="109"/>
      <c r="H318" s="109"/>
      <c r="I318" s="68"/>
      <c r="J318">
        <f>IF('House Count'!H318="Y",IF('House Count'!F318="RES-SFU",1,IF('House Count'!F318="RES-MDU",1,IF('House Count'!F318="RES-HOA",1,0))),0)</f>
        <v>0</v>
      </c>
      <c r="K318">
        <f>IF('House Count'!H318="Y",IF('House Count'!F318="COMM-SU",1,IF('House Count'!F318="COM-MTU",1,IF('House Count'!F318="ENT",1,0))),0)</f>
        <v>0</v>
      </c>
    </row>
    <row r="319" spans="1:11" x14ac:dyDescent="0.25">
      <c r="A319" s="109"/>
      <c r="B319" s="109"/>
      <c r="C319" s="109"/>
      <c r="D319" s="109"/>
      <c r="E319" s="109"/>
      <c r="F319" s="109"/>
      <c r="G319" s="109"/>
      <c r="H319" s="109"/>
      <c r="I319" s="68"/>
      <c r="J319">
        <f>IF('House Count'!H319="Y",IF('House Count'!F319="RES-SFU",1,IF('House Count'!F319="RES-MDU",1,IF('House Count'!F319="RES-HOA",1,0))),0)</f>
        <v>0</v>
      </c>
      <c r="K319">
        <f>IF('House Count'!H319="Y",IF('House Count'!F319="COMM-SU",1,IF('House Count'!F319="COM-MTU",1,IF('House Count'!F319="ENT",1,0))),0)</f>
        <v>0</v>
      </c>
    </row>
    <row r="320" spans="1:11" x14ac:dyDescent="0.25">
      <c r="A320" s="109"/>
      <c r="B320" s="109"/>
      <c r="C320" s="109"/>
      <c r="D320" s="109"/>
      <c r="E320" s="109"/>
      <c r="F320" s="109"/>
      <c r="G320" s="109"/>
      <c r="H320" s="109"/>
      <c r="I320" s="68"/>
      <c r="J320">
        <f>IF('House Count'!H320="Y",IF('House Count'!F320="RES-SFU",1,IF('House Count'!F320="RES-MDU",1,IF('House Count'!F320="RES-HOA",1,0))),0)</f>
        <v>0</v>
      </c>
      <c r="K320">
        <f>IF('House Count'!H320="Y",IF('House Count'!F320="COMM-SU",1,IF('House Count'!F320="COM-MTU",1,IF('House Count'!F320="ENT",1,0))),0)</f>
        <v>0</v>
      </c>
    </row>
    <row r="321" spans="1:11" x14ac:dyDescent="0.25">
      <c r="A321" s="109"/>
      <c r="B321" s="109"/>
      <c r="C321" s="109"/>
      <c r="D321" s="109"/>
      <c r="E321" s="109"/>
      <c r="F321" s="109"/>
      <c r="G321" s="109"/>
      <c r="H321" s="109"/>
      <c r="I321" s="68"/>
      <c r="J321">
        <f>IF('House Count'!H321="Y",IF('House Count'!F321="RES-SFU",1,IF('House Count'!F321="RES-MDU",1,IF('House Count'!F321="RES-HOA",1,0))),0)</f>
        <v>0</v>
      </c>
      <c r="K321">
        <f>IF('House Count'!H321="Y",IF('House Count'!F321="COMM-SU",1,IF('House Count'!F321="COM-MTU",1,IF('House Count'!F321="ENT",1,0))),0)</f>
        <v>0</v>
      </c>
    </row>
    <row r="322" spans="1:11" x14ac:dyDescent="0.25">
      <c r="A322" s="109"/>
      <c r="B322" s="109"/>
      <c r="C322" s="109"/>
      <c r="D322" s="109"/>
      <c r="E322" s="109"/>
      <c r="F322" s="109"/>
      <c r="G322" s="109"/>
      <c r="H322" s="109"/>
      <c r="I322" s="68"/>
      <c r="J322">
        <f>IF('House Count'!H322="Y",IF('House Count'!F322="RES-SFU",1,IF('House Count'!F322="RES-MDU",1,IF('House Count'!F322="RES-HOA",1,0))),0)</f>
        <v>0</v>
      </c>
      <c r="K322">
        <f>IF('House Count'!H322="Y",IF('House Count'!F322="COMM-SU",1,IF('House Count'!F322="COM-MTU",1,IF('House Count'!F322="ENT",1,0))),0)</f>
        <v>0</v>
      </c>
    </row>
    <row r="323" spans="1:11" x14ac:dyDescent="0.25">
      <c r="A323" s="109"/>
      <c r="B323" s="109"/>
      <c r="C323" s="109"/>
      <c r="D323" s="109"/>
      <c r="E323" s="109"/>
      <c r="F323" s="109"/>
      <c r="G323" s="109"/>
      <c r="H323" s="109"/>
      <c r="I323" s="68"/>
      <c r="J323">
        <f>IF('House Count'!H323="Y",IF('House Count'!F323="RES-SFU",1,IF('House Count'!F323="RES-MDU",1,IF('House Count'!F323="RES-HOA",1,0))),0)</f>
        <v>0</v>
      </c>
      <c r="K323">
        <f>IF('House Count'!H323="Y",IF('House Count'!F323="COMM-SU",1,IF('House Count'!F323="COM-MTU",1,IF('House Count'!F323="ENT",1,0))),0)</f>
        <v>0</v>
      </c>
    </row>
    <row r="324" spans="1:11" x14ac:dyDescent="0.25">
      <c r="A324" s="109"/>
      <c r="B324" s="109"/>
      <c r="C324" s="109"/>
      <c r="D324" s="109"/>
      <c r="E324" s="109"/>
      <c r="F324" s="109"/>
      <c r="G324" s="109"/>
      <c r="H324" s="109"/>
      <c r="I324" s="68"/>
      <c r="J324">
        <f>IF('House Count'!H324="Y",IF('House Count'!F324="RES-SFU",1,IF('House Count'!F324="RES-MDU",1,IF('House Count'!F324="RES-HOA",1,0))),0)</f>
        <v>0</v>
      </c>
      <c r="K324">
        <f>IF('House Count'!H324="Y",IF('House Count'!F324="COMM-SU",1,IF('House Count'!F324="COM-MTU",1,IF('House Count'!F324="ENT",1,0))),0)</f>
        <v>0</v>
      </c>
    </row>
    <row r="325" spans="1:11" ht="15.75" thickBot="1" x14ac:dyDescent="0.3">
      <c r="A325" s="545"/>
      <c r="B325" s="545"/>
      <c r="C325" s="545"/>
      <c r="D325" s="545"/>
      <c r="E325" s="545"/>
      <c r="F325" s="545"/>
      <c r="G325" s="545"/>
      <c r="H325" s="545"/>
      <c r="I325" s="546"/>
      <c r="J325">
        <f>IF('House Count'!H325="Y",IF('House Count'!F325="RES-SFU",1,IF('House Count'!F325="RES-MDU",1,IF('House Count'!F325="RES-HOA",1,0))),0)</f>
        <v>0</v>
      </c>
      <c r="K325">
        <f>IF('House Count'!H325="Y",IF('House Count'!F325="COMM-SU",1,IF('House Count'!F325="COM-MTU",1,IF('House Count'!F325="ENT",1,0))),0)</f>
        <v>0</v>
      </c>
    </row>
    <row r="326" spans="1:11" ht="15.75" thickTop="1" x14ac:dyDescent="0.25">
      <c r="A326" s="109"/>
      <c r="B326" s="109"/>
      <c r="C326" s="109"/>
      <c r="D326" s="109"/>
      <c r="E326" s="109"/>
      <c r="F326" s="109"/>
      <c r="G326" s="109"/>
      <c r="H326" s="109"/>
      <c r="I326" s="68"/>
      <c r="J326">
        <f>IF('House Count'!H326="Y",IF('House Count'!F326="RES-SFU",1,IF('House Count'!F326="RES-MDU",1,IF('House Count'!F326="RES-HOA",1,0))),0)</f>
        <v>0</v>
      </c>
      <c r="K326">
        <f>IF('House Count'!H326="Y",IF('House Count'!F326="COMM-SU",1,IF('House Count'!F326="COM-MTU",1,IF('House Count'!F326="ENT",1,0))),0)</f>
        <v>0</v>
      </c>
    </row>
    <row r="327" spans="1:11" x14ac:dyDescent="0.25">
      <c r="A327" s="109"/>
      <c r="B327" s="109"/>
      <c r="C327" s="109"/>
      <c r="D327" s="109"/>
      <c r="E327" s="109"/>
      <c r="F327" s="109"/>
      <c r="G327" s="109"/>
      <c r="H327" s="109"/>
      <c r="I327" s="68"/>
      <c r="J327">
        <f>IF('House Count'!H327="Y",IF('House Count'!F327="RES-SFU",1,IF('House Count'!F327="RES-MDU",1,IF('House Count'!F327="RES-HOA",1,0))),0)</f>
        <v>0</v>
      </c>
      <c r="K327">
        <f>IF('House Count'!H327="Y",IF('House Count'!F327="COMM-SU",1,IF('House Count'!F327="COM-MTU",1,IF('House Count'!F327="ENT",1,0))),0)</f>
        <v>0</v>
      </c>
    </row>
    <row r="328" spans="1:11" x14ac:dyDescent="0.25">
      <c r="A328" s="109"/>
      <c r="B328" s="109"/>
      <c r="C328" s="109"/>
      <c r="D328" s="109"/>
      <c r="E328" s="109"/>
      <c r="F328" s="109"/>
      <c r="G328" s="109"/>
      <c r="H328" s="109"/>
      <c r="I328" s="68"/>
      <c r="J328">
        <f>IF('House Count'!H328="Y",IF('House Count'!F328="RES-SFU",1,IF('House Count'!F328="RES-MDU",1,IF('House Count'!F328="RES-HOA",1,0))),0)</f>
        <v>0</v>
      </c>
      <c r="K328">
        <f>IF('House Count'!H328="Y",IF('House Count'!F328="COMM-SU",1,IF('House Count'!F328="COM-MTU",1,IF('House Count'!F328="ENT",1,0))),0)</f>
        <v>0</v>
      </c>
    </row>
    <row r="329" spans="1:11" x14ac:dyDescent="0.25">
      <c r="A329" s="109"/>
      <c r="B329" s="109"/>
      <c r="C329" s="109"/>
      <c r="D329" s="109"/>
      <c r="E329" s="109"/>
      <c r="F329" s="109"/>
      <c r="G329" s="109"/>
      <c r="H329" s="109"/>
      <c r="I329" s="68"/>
      <c r="J329">
        <f>IF('House Count'!H329="Y",IF('House Count'!F329="RES-SFU",1,IF('House Count'!F329="RES-MDU",1,IF('House Count'!F329="RES-HOA",1,0))),0)</f>
        <v>0</v>
      </c>
      <c r="K329">
        <f>IF('House Count'!H329="Y",IF('House Count'!F329="COMM-SU",1,IF('House Count'!F329="COM-MTU",1,IF('House Count'!F329="ENT",1,0))),0)</f>
        <v>0</v>
      </c>
    </row>
    <row r="330" spans="1:11" x14ac:dyDescent="0.25">
      <c r="A330" s="109"/>
      <c r="B330" s="109"/>
      <c r="C330" s="109"/>
      <c r="D330" s="109"/>
      <c r="E330" s="109"/>
      <c r="F330" s="109"/>
      <c r="G330" s="109"/>
      <c r="H330" s="109"/>
      <c r="I330" s="68"/>
      <c r="J330">
        <f>IF('House Count'!H330="Y",IF('House Count'!F330="RES-SFU",1,IF('House Count'!F330="RES-MDU",1,IF('House Count'!F330="RES-HOA",1,0))),0)</f>
        <v>0</v>
      </c>
      <c r="K330">
        <f>IF('House Count'!H330="Y",IF('House Count'!F330="COMM-SU",1,IF('House Count'!F330="COM-MTU",1,IF('House Count'!F330="ENT",1,0))),0)</f>
        <v>0</v>
      </c>
    </row>
    <row r="331" spans="1:11" x14ac:dyDescent="0.25">
      <c r="A331" s="109"/>
      <c r="B331" s="109"/>
      <c r="C331" s="109"/>
      <c r="D331" s="109"/>
      <c r="E331" s="109"/>
      <c r="F331" s="109"/>
      <c r="G331" s="109"/>
      <c r="H331" s="109"/>
      <c r="I331" s="68"/>
      <c r="J331">
        <f>IF('House Count'!H331="Y",IF('House Count'!F331="RES-SFU",1,IF('House Count'!F331="RES-MDU",1,IF('House Count'!F331="RES-HOA",1,0))),0)</f>
        <v>0</v>
      </c>
      <c r="K331">
        <f>IF('House Count'!H331="Y",IF('House Count'!F331="COMM-SU",1,IF('House Count'!F331="COM-MTU",1,IF('House Count'!F331="ENT",1,0))),0)</f>
        <v>0</v>
      </c>
    </row>
    <row r="332" spans="1:11" x14ac:dyDescent="0.25">
      <c r="A332" s="109"/>
      <c r="B332" s="109"/>
      <c r="C332" s="109"/>
      <c r="D332" s="109"/>
      <c r="E332" s="109"/>
      <c r="F332" s="109"/>
      <c r="G332" s="109"/>
      <c r="H332" s="109"/>
      <c r="I332" s="68"/>
      <c r="J332">
        <f>IF('House Count'!H332="Y",IF('House Count'!F332="RES-SFU",1,IF('House Count'!F332="RES-MDU",1,IF('House Count'!F332="RES-HOA",1,0))),0)</f>
        <v>0</v>
      </c>
      <c r="K332">
        <f>IF('House Count'!H332="Y",IF('House Count'!F332="COMM-SU",1,IF('House Count'!F332="COM-MTU",1,IF('House Count'!F332="ENT",1,0))),0)</f>
        <v>0</v>
      </c>
    </row>
    <row r="333" spans="1:11" x14ac:dyDescent="0.25">
      <c r="A333" s="109"/>
      <c r="B333" s="109"/>
      <c r="C333" s="109"/>
      <c r="D333" s="109"/>
      <c r="E333" s="109"/>
      <c r="F333" s="109"/>
      <c r="G333" s="109"/>
      <c r="H333" s="109"/>
      <c r="I333" s="68"/>
      <c r="J333">
        <f>IF('House Count'!H333="Y",IF('House Count'!F333="RES-SFU",1,IF('House Count'!F333="RES-MDU",1,IF('House Count'!F333="RES-HOA",1,0))),0)</f>
        <v>0</v>
      </c>
      <c r="K333">
        <f>IF('House Count'!H333="Y",IF('House Count'!F333="COMM-SU",1,IF('House Count'!F333="COM-MTU",1,IF('House Count'!F333="ENT",1,0))),0)</f>
        <v>0</v>
      </c>
    </row>
    <row r="334" spans="1:11" x14ac:dyDescent="0.25">
      <c r="A334" s="109"/>
      <c r="B334" s="109"/>
      <c r="C334" s="109"/>
      <c r="D334" s="109"/>
      <c r="E334" s="109"/>
      <c r="F334" s="109"/>
      <c r="G334" s="109"/>
      <c r="H334" s="109"/>
      <c r="I334" s="68"/>
      <c r="J334">
        <f>IF('House Count'!H334="Y",IF('House Count'!F334="RES-SFU",1,IF('House Count'!F334="RES-MDU",1,IF('House Count'!F334="RES-HOA",1,0))),0)</f>
        <v>0</v>
      </c>
      <c r="K334">
        <f>IF('House Count'!H334="Y",IF('House Count'!F334="COMM-SU",1,IF('House Count'!F334="COM-MTU",1,IF('House Count'!F334="ENT",1,0))),0)</f>
        <v>0</v>
      </c>
    </row>
    <row r="335" spans="1:11" x14ac:dyDescent="0.25">
      <c r="A335" s="109"/>
      <c r="B335" s="109"/>
      <c r="C335" s="109"/>
      <c r="D335" s="109"/>
      <c r="E335" s="109"/>
      <c r="F335" s="109"/>
      <c r="G335" s="109"/>
      <c r="H335" s="109"/>
      <c r="I335" s="68"/>
      <c r="J335">
        <f>IF('House Count'!H335="Y",IF('House Count'!F335="RES-SFU",1,IF('House Count'!F335="RES-MDU",1,IF('House Count'!F335="RES-HOA",1,0))),0)</f>
        <v>0</v>
      </c>
      <c r="K335">
        <f>IF('House Count'!H335="Y",IF('House Count'!F335="COMM-SU",1,IF('House Count'!F335="COM-MTU",1,IF('House Count'!F335="ENT",1,0))),0)</f>
        <v>0</v>
      </c>
    </row>
    <row r="336" spans="1:11" x14ac:dyDescent="0.25">
      <c r="A336" s="109"/>
      <c r="B336" s="109"/>
      <c r="C336" s="109"/>
      <c r="D336" s="109"/>
      <c r="E336" s="109"/>
      <c r="F336" s="109"/>
      <c r="G336" s="109"/>
      <c r="H336" s="109"/>
      <c r="I336" s="68"/>
      <c r="J336">
        <f>IF('House Count'!H336="Y",IF('House Count'!F336="RES-SFU",1,IF('House Count'!F336="RES-MDU",1,IF('House Count'!F336="RES-HOA",1,0))),0)</f>
        <v>0</v>
      </c>
      <c r="K336">
        <f>IF('House Count'!H336="Y",IF('House Count'!F336="COMM-SU",1,IF('House Count'!F336="COM-MTU",1,IF('House Count'!F336="ENT",1,0))),0)</f>
        <v>0</v>
      </c>
    </row>
    <row r="337" spans="1:11" ht="15.75" thickBot="1" x14ac:dyDescent="0.3">
      <c r="A337" s="545"/>
      <c r="B337" s="545"/>
      <c r="C337" s="545"/>
      <c r="D337" s="545"/>
      <c r="E337" s="545"/>
      <c r="F337" s="545"/>
      <c r="G337" s="545"/>
      <c r="H337" s="545"/>
      <c r="I337" s="546"/>
      <c r="J337">
        <f>IF('House Count'!H337="Y",IF('House Count'!F337="RES-SFU",1,IF('House Count'!F337="RES-MDU",1,IF('House Count'!F337="RES-HOA",1,0))),0)</f>
        <v>0</v>
      </c>
      <c r="K337">
        <f>IF('House Count'!H337="Y",IF('House Count'!F337="COMM-SU",1,IF('House Count'!F337="COM-MTU",1,IF('House Count'!F337="ENT",1,0))),0)</f>
        <v>0</v>
      </c>
    </row>
    <row r="338" spans="1:11" ht="15.75" thickTop="1" x14ac:dyDescent="0.25">
      <c r="A338" s="109"/>
      <c r="B338" s="109"/>
      <c r="C338" s="109"/>
      <c r="D338" s="109"/>
      <c r="E338" s="109"/>
      <c r="F338" s="109"/>
      <c r="G338" s="109"/>
      <c r="H338" s="109"/>
      <c r="I338" s="68"/>
      <c r="J338">
        <f>IF('House Count'!H338="Y",IF('House Count'!F338="RES-SFU",1,IF('House Count'!F338="RES-MDU",1,IF('House Count'!F338="RES-HOA",1,0))),0)</f>
        <v>0</v>
      </c>
      <c r="K338">
        <f>IF('House Count'!H338="Y",IF('House Count'!F338="COMM-SU",1,IF('House Count'!F338="COM-MTU",1,IF('House Count'!F338="ENT",1,0))),0)</f>
        <v>0</v>
      </c>
    </row>
    <row r="339" spans="1:11" x14ac:dyDescent="0.25">
      <c r="A339" s="109"/>
      <c r="B339" s="109"/>
      <c r="C339" s="109"/>
      <c r="D339" s="109"/>
      <c r="E339" s="109"/>
      <c r="F339" s="109"/>
      <c r="G339" s="109"/>
      <c r="H339" s="109"/>
      <c r="I339" s="68"/>
      <c r="J339">
        <f>IF('House Count'!H339="Y",IF('House Count'!F339="RES-SFU",1,IF('House Count'!F339="RES-MDU",1,IF('House Count'!F339="RES-HOA",1,0))),0)</f>
        <v>0</v>
      </c>
      <c r="K339">
        <f>IF('House Count'!H339="Y",IF('House Count'!F339="COMM-SU",1,IF('House Count'!F339="COM-MTU",1,IF('House Count'!F339="ENT",1,0))),0)</f>
        <v>0</v>
      </c>
    </row>
    <row r="340" spans="1:11" x14ac:dyDescent="0.25">
      <c r="A340" s="109"/>
      <c r="B340" s="109"/>
      <c r="C340" s="109"/>
      <c r="D340" s="109"/>
      <c r="E340" s="109"/>
      <c r="F340" s="109"/>
      <c r="G340" s="109"/>
      <c r="H340" s="109"/>
      <c r="I340" s="68"/>
      <c r="J340">
        <f>IF('House Count'!H340="Y",IF('House Count'!F340="RES-SFU",1,IF('House Count'!F340="RES-MDU",1,IF('House Count'!F340="RES-HOA",1,0))),0)</f>
        <v>0</v>
      </c>
      <c r="K340">
        <f>IF('House Count'!H340="Y",IF('House Count'!F340="COMM-SU",1,IF('House Count'!F340="COM-MTU",1,IF('House Count'!F340="ENT",1,0))),0)</f>
        <v>0</v>
      </c>
    </row>
    <row r="341" spans="1:11" x14ac:dyDescent="0.25">
      <c r="A341" s="109"/>
      <c r="B341" s="109"/>
      <c r="C341" s="109"/>
      <c r="D341" s="109"/>
      <c r="E341" s="109"/>
      <c r="F341" s="109"/>
      <c r="G341" s="109"/>
      <c r="H341" s="109"/>
      <c r="I341" s="68"/>
      <c r="J341">
        <f>IF('House Count'!H341="Y",IF('House Count'!F341="RES-SFU",1,IF('House Count'!F341="RES-MDU",1,IF('House Count'!F341="RES-HOA",1,0))),0)</f>
        <v>0</v>
      </c>
      <c r="K341">
        <f>IF('House Count'!H341="Y",IF('House Count'!F341="COMM-SU",1,IF('House Count'!F341="COM-MTU",1,IF('House Count'!F341="ENT",1,0))),0)</f>
        <v>0</v>
      </c>
    </row>
    <row r="342" spans="1:11" x14ac:dyDescent="0.25">
      <c r="A342" s="109"/>
      <c r="B342" s="109"/>
      <c r="C342" s="109"/>
      <c r="D342" s="109"/>
      <c r="E342" s="109"/>
      <c r="F342" s="109"/>
      <c r="G342" s="109"/>
      <c r="H342" s="109"/>
      <c r="I342" s="68"/>
      <c r="J342">
        <f>IF('House Count'!H342="Y",IF('House Count'!F342="RES-SFU",1,IF('House Count'!F342="RES-MDU",1,IF('House Count'!F342="RES-HOA",1,0))),0)</f>
        <v>0</v>
      </c>
      <c r="K342">
        <f>IF('House Count'!H342="Y",IF('House Count'!F342="COMM-SU",1,IF('House Count'!F342="COM-MTU",1,IF('House Count'!F342="ENT",1,0))),0)</f>
        <v>0</v>
      </c>
    </row>
    <row r="343" spans="1:11" x14ac:dyDescent="0.25">
      <c r="A343" s="109"/>
      <c r="B343" s="109"/>
      <c r="C343" s="109"/>
      <c r="D343" s="109"/>
      <c r="E343" s="109"/>
      <c r="F343" s="109"/>
      <c r="G343" s="109"/>
      <c r="H343" s="109"/>
      <c r="I343" s="68"/>
      <c r="J343">
        <f>IF('House Count'!H343="Y",IF('House Count'!F343="RES-SFU",1,IF('House Count'!F343="RES-MDU",1,IF('House Count'!F343="RES-HOA",1,0))),0)</f>
        <v>0</v>
      </c>
      <c r="K343">
        <f>IF('House Count'!H343="Y",IF('House Count'!F343="COMM-SU",1,IF('House Count'!F343="COM-MTU",1,IF('House Count'!F343="ENT",1,0))),0)</f>
        <v>0</v>
      </c>
    </row>
    <row r="344" spans="1:11" x14ac:dyDescent="0.25">
      <c r="A344" s="109"/>
      <c r="B344" s="109"/>
      <c r="C344" s="109"/>
      <c r="D344" s="109"/>
      <c r="E344" s="109"/>
      <c r="F344" s="109"/>
      <c r="G344" s="109"/>
      <c r="H344" s="109"/>
      <c r="I344" s="68"/>
      <c r="J344">
        <f>IF('House Count'!H344="Y",IF('House Count'!F344="RES-SFU",1,IF('House Count'!F344="RES-MDU",1,IF('House Count'!F344="RES-HOA",1,0))),0)</f>
        <v>0</v>
      </c>
      <c r="K344">
        <f>IF('House Count'!H344="Y",IF('House Count'!F344="COMM-SU",1,IF('House Count'!F344="COM-MTU",1,IF('House Count'!F344="ENT",1,0))),0)</f>
        <v>0</v>
      </c>
    </row>
    <row r="345" spans="1:11" x14ac:dyDescent="0.25">
      <c r="A345" s="109"/>
      <c r="B345" s="109"/>
      <c r="C345" s="109"/>
      <c r="D345" s="109"/>
      <c r="E345" s="109"/>
      <c r="F345" s="109"/>
      <c r="G345" s="109"/>
      <c r="H345" s="109"/>
      <c r="I345" s="68"/>
      <c r="J345">
        <f>IF('House Count'!H345="Y",IF('House Count'!F345="RES-SFU",1,IF('House Count'!F345="RES-MDU",1,IF('House Count'!F345="RES-HOA",1,0))),0)</f>
        <v>0</v>
      </c>
      <c r="K345">
        <f>IF('House Count'!H345="Y",IF('House Count'!F345="COMM-SU",1,IF('House Count'!F345="COM-MTU",1,IF('House Count'!F345="ENT",1,0))),0)</f>
        <v>0</v>
      </c>
    </row>
    <row r="346" spans="1:11" x14ac:dyDescent="0.25">
      <c r="A346" s="109"/>
      <c r="B346" s="109"/>
      <c r="C346" s="109"/>
      <c r="D346" s="109"/>
      <c r="E346" s="109"/>
      <c r="F346" s="109"/>
      <c r="G346" s="109"/>
      <c r="H346" s="109"/>
      <c r="I346" s="68"/>
      <c r="J346">
        <f>IF('House Count'!H346="Y",IF('House Count'!F346="RES-SFU",1,IF('House Count'!F346="RES-MDU",1,IF('House Count'!F346="RES-HOA",1,0))),0)</f>
        <v>0</v>
      </c>
      <c r="K346">
        <f>IF('House Count'!H346="Y",IF('House Count'!F346="COMM-SU",1,IF('House Count'!F346="COM-MTU",1,IF('House Count'!F346="ENT",1,0))),0)</f>
        <v>0</v>
      </c>
    </row>
    <row r="347" spans="1:11" x14ac:dyDescent="0.25">
      <c r="A347" s="109"/>
      <c r="B347" s="109"/>
      <c r="C347" s="109"/>
      <c r="D347" s="109"/>
      <c r="E347" s="109"/>
      <c r="F347" s="109"/>
      <c r="G347" s="109"/>
      <c r="H347" s="109"/>
      <c r="I347" s="68"/>
      <c r="J347">
        <f>IF('House Count'!H347="Y",IF('House Count'!F347="RES-SFU",1,IF('House Count'!F347="RES-MDU",1,IF('House Count'!F347="RES-HOA",1,0))),0)</f>
        <v>0</v>
      </c>
      <c r="K347">
        <f>IF('House Count'!H347="Y",IF('House Count'!F347="COMM-SU",1,IF('House Count'!F347="COM-MTU",1,IF('House Count'!F347="ENT",1,0))),0)</f>
        <v>0</v>
      </c>
    </row>
    <row r="348" spans="1:11" x14ac:dyDescent="0.25">
      <c r="A348" s="109"/>
      <c r="B348" s="109"/>
      <c r="C348" s="109"/>
      <c r="D348" s="109"/>
      <c r="E348" s="109"/>
      <c r="F348" s="109"/>
      <c r="G348" s="109"/>
      <c r="H348" s="109"/>
      <c r="I348" s="68"/>
      <c r="J348">
        <f>IF('House Count'!H348="Y",IF('House Count'!F348="RES-SFU",1,IF('House Count'!F348="RES-MDU",1,IF('House Count'!F348="RES-HOA",1,0))),0)</f>
        <v>0</v>
      </c>
      <c r="K348">
        <f>IF('House Count'!H348="Y",IF('House Count'!F348="COMM-SU",1,IF('House Count'!F348="COM-MTU",1,IF('House Count'!F348="ENT",1,0))),0)</f>
        <v>0</v>
      </c>
    </row>
    <row r="349" spans="1:11" ht="15.75" thickBot="1" x14ac:dyDescent="0.3">
      <c r="A349" s="545"/>
      <c r="B349" s="545"/>
      <c r="C349" s="545"/>
      <c r="D349" s="545"/>
      <c r="E349" s="545"/>
      <c r="F349" s="545"/>
      <c r="G349" s="545"/>
      <c r="H349" s="545"/>
      <c r="I349" s="546"/>
      <c r="J349">
        <f>IF('House Count'!H349="Y",IF('House Count'!F349="RES-SFU",1,IF('House Count'!F349="RES-MDU",1,IF('House Count'!F349="RES-HOA",1,0))),0)</f>
        <v>0</v>
      </c>
      <c r="K349">
        <f>IF('House Count'!H349="Y",IF('House Count'!F349="COMM-SU",1,IF('House Count'!F349="COM-MTU",1,IF('House Count'!F349="ENT",1,0))),0)</f>
        <v>0</v>
      </c>
    </row>
    <row r="350" spans="1:11" ht="15.75" thickTop="1" x14ac:dyDescent="0.25">
      <c r="A350" s="109"/>
      <c r="B350" s="109"/>
      <c r="C350" s="109"/>
      <c r="D350" s="109"/>
      <c r="E350" s="109"/>
      <c r="F350" s="109"/>
      <c r="G350" s="109"/>
      <c r="H350" s="109"/>
      <c r="I350" s="68"/>
      <c r="J350">
        <f>IF('House Count'!H350="Y",IF('House Count'!F350="RES-SFU",1,IF('House Count'!F350="RES-MDU",1,IF('House Count'!F350="RES-HOA",1,0))),0)</f>
        <v>0</v>
      </c>
      <c r="K350">
        <f>IF('House Count'!H350="Y",IF('House Count'!F350="COMM-SU",1,IF('House Count'!F350="COM-MTU",1,IF('House Count'!F350="ENT",1,0))),0)</f>
        <v>0</v>
      </c>
    </row>
    <row r="351" spans="1:11" x14ac:dyDescent="0.25">
      <c r="A351" s="109"/>
      <c r="B351" s="109"/>
      <c r="C351" s="109"/>
      <c r="D351" s="109"/>
      <c r="E351" s="109"/>
      <c r="F351" s="109"/>
      <c r="G351" s="109"/>
      <c r="H351" s="109"/>
      <c r="I351" s="68"/>
      <c r="J351">
        <f>IF('House Count'!H351="Y",IF('House Count'!F351="RES-SFU",1,IF('House Count'!F351="RES-MDU",1,IF('House Count'!F351="RES-HOA",1,0))),0)</f>
        <v>0</v>
      </c>
      <c r="K351">
        <f>IF('House Count'!H351="Y",IF('House Count'!F351="COMM-SU",1,IF('House Count'!F351="COM-MTU",1,IF('House Count'!F351="ENT",1,0))),0)</f>
        <v>0</v>
      </c>
    </row>
    <row r="352" spans="1:11" x14ac:dyDescent="0.25">
      <c r="A352" s="109"/>
      <c r="B352" s="109"/>
      <c r="C352" s="109"/>
      <c r="D352" s="109"/>
      <c r="E352" s="109"/>
      <c r="F352" s="109"/>
      <c r="G352" s="109"/>
      <c r="H352" s="109"/>
      <c r="I352" s="68"/>
      <c r="J352">
        <f>IF('House Count'!H352="Y",IF('House Count'!F352="RES-SFU",1,IF('House Count'!F352="RES-MDU",1,IF('House Count'!F352="RES-HOA",1,0))),0)</f>
        <v>0</v>
      </c>
      <c r="K352">
        <f>IF('House Count'!H352="Y",IF('House Count'!F352="COMM-SU",1,IF('House Count'!F352="COM-MTU",1,IF('House Count'!F352="ENT",1,0))),0)</f>
        <v>0</v>
      </c>
    </row>
    <row r="353" spans="1:11" x14ac:dyDescent="0.25">
      <c r="A353" s="109"/>
      <c r="B353" s="109"/>
      <c r="C353" s="109"/>
      <c r="D353" s="109"/>
      <c r="E353" s="109"/>
      <c r="F353" s="109"/>
      <c r="G353" s="109"/>
      <c r="H353" s="109"/>
      <c r="I353" s="68"/>
      <c r="J353">
        <f>IF('House Count'!H353="Y",IF('House Count'!F353="RES-SFU",1,IF('House Count'!F353="RES-MDU",1,IF('House Count'!F353="RES-HOA",1,0))),0)</f>
        <v>0</v>
      </c>
      <c r="K353">
        <f>IF('House Count'!H353="Y",IF('House Count'!F353="COMM-SU",1,IF('House Count'!F353="COM-MTU",1,IF('House Count'!F353="ENT",1,0))),0)</f>
        <v>0</v>
      </c>
    </row>
    <row r="354" spans="1:11" x14ac:dyDescent="0.25">
      <c r="A354" s="109"/>
      <c r="B354" s="109"/>
      <c r="C354" s="109"/>
      <c r="D354" s="109"/>
      <c r="E354" s="109"/>
      <c r="F354" s="109"/>
      <c r="G354" s="109"/>
      <c r="H354" s="109"/>
      <c r="I354" s="68"/>
      <c r="J354">
        <f>IF('House Count'!H354="Y",IF('House Count'!F354="RES-SFU",1,IF('House Count'!F354="RES-MDU",1,IF('House Count'!F354="RES-HOA",1,0))),0)</f>
        <v>0</v>
      </c>
      <c r="K354">
        <f>IF('House Count'!H354="Y",IF('House Count'!F354="COMM-SU",1,IF('House Count'!F354="COM-MTU",1,IF('House Count'!F354="ENT",1,0))),0)</f>
        <v>0</v>
      </c>
    </row>
    <row r="355" spans="1:11" x14ac:dyDescent="0.25">
      <c r="A355" s="109"/>
      <c r="B355" s="109"/>
      <c r="C355" s="109"/>
      <c r="D355" s="109"/>
      <c r="E355" s="109"/>
      <c r="F355" s="109"/>
      <c r="G355" s="109"/>
      <c r="H355" s="109"/>
      <c r="I355" s="68"/>
      <c r="J355">
        <f>IF('House Count'!H355="Y",IF('House Count'!F355="RES-SFU",1,IF('House Count'!F355="RES-MDU",1,IF('House Count'!F355="RES-HOA",1,0))),0)</f>
        <v>0</v>
      </c>
      <c r="K355">
        <f>IF('House Count'!H355="Y",IF('House Count'!F355="COMM-SU",1,IF('House Count'!F355="COM-MTU",1,IF('House Count'!F355="ENT",1,0))),0)</f>
        <v>0</v>
      </c>
    </row>
    <row r="356" spans="1:11" x14ac:dyDescent="0.25">
      <c r="A356" s="109"/>
      <c r="B356" s="109"/>
      <c r="C356" s="109"/>
      <c r="D356" s="109"/>
      <c r="E356" s="109"/>
      <c r="F356" s="109"/>
      <c r="G356" s="109"/>
      <c r="H356" s="109"/>
      <c r="I356" s="68"/>
      <c r="J356">
        <f>IF('House Count'!H356="Y",IF('House Count'!F356="RES-SFU",1,IF('House Count'!F356="RES-MDU",1,IF('House Count'!F356="RES-HOA",1,0))),0)</f>
        <v>0</v>
      </c>
      <c r="K356">
        <f>IF('House Count'!H356="Y",IF('House Count'!F356="COMM-SU",1,IF('House Count'!F356="COM-MTU",1,IF('House Count'!F356="ENT",1,0))),0)</f>
        <v>0</v>
      </c>
    </row>
    <row r="357" spans="1:11" x14ac:dyDescent="0.25">
      <c r="A357" s="109"/>
      <c r="B357" s="109"/>
      <c r="C357" s="109"/>
      <c r="D357" s="109"/>
      <c r="E357" s="109"/>
      <c r="F357" s="109"/>
      <c r="G357" s="109"/>
      <c r="H357" s="109"/>
      <c r="I357" s="68"/>
      <c r="J357">
        <f>IF('House Count'!H357="Y",IF('House Count'!F357="RES-SFU",1,IF('House Count'!F357="RES-MDU",1,IF('House Count'!F357="RES-HOA",1,0))),0)</f>
        <v>0</v>
      </c>
      <c r="K357">
        <f>IF('House Count'!H357="Y",IF('House Count'!F357="COMM-SU",1,IF('House Count'!F357="COM-MTU",1,IF('House Count'!F357="ENT",1,0))),0)</f>
        <v>0</v>
      </c>
    </row>
    <row r="358" spans="1:11" x14ac:dyDescent="0.25">
      <c r="A358" s="109"/>
      <c r="B358" s="109"/>
      <c r="C358" s="109"/>
      <c r="D358" s="109"/>
      <c r="E358" s="109"/>
      <c r="F358" s="109"/>
      <c r="G358" s="109"/>
      <c r="H358" s="109"/>
      <c r="I358" s="68"/>
      <c r="J358">
        <f>IF('House Count'!H358="Y",IF('House Count'!F358="RES-SFU",1,IF('House Count'!F358="RES-MDU",1,IF('House Count'!F358="RES-HOA",1,0))),0)</f>
        <v>0</v>
      </c>
      <c r="K358">
        <f>IF('House Count'!H358="Y",IF('House Count'!F358="COMM-SU",1,IF('House Count'!F358="COM-MTU",1,IF('House Count'!F358="ENT",1,0))),0)</f>
        <v>0</v>
      </c>
    </row>
    <row r="359" spans="1:11" x14ac:dyDescent="0.25">
      <c r="A359" s="109"/>
      <c r="B359" s="109"/>
      <c r="C359" s="109"/>
      <c r="D359" s="109"/>
      <c r="E359" s="109"/>
      <c r="F359" s="109"/>
      <c r="G359" s="109"/>
      <c r="H359" s="109"/>
      <c r="I359" s="68"/>
      <c r="J359">
        <f>IF('House Count'!H359="Y",IF('House Count'!F359="RES-SFU",1,IF('House Count'!F359="RES-MDU",1,IF('House Count'!F359="RES-HOA",1,0))),0)</f>
        <v>0</v>
      </c>
      <c r="K359">
        <f>IF('House Count'!H359="Y",IF('House Count'!F359="COMM-SU",1,IF('House Count'!F359="COM-MTU",1,IF('House Count'!F359="ENT",1,0))),0)</f>
        <v>0</v>
      </c>
    </row>
    <row r="360" spans="1:11" x14ac:dyDescent="0.25">
      <c r="A360" s="109"/>
      <c r="B360" s="109"/>
      <c r="C360" s="109"/>
      <c r="D360" s="109"/>
      <c r="E360" s="109"/>
      <c r="F360" s="109"/>
      <c r="G360" s="109"/>
      <c r="H360" s="109"/>
      <c r="I360" s="68"/>
      <c r="J360">
        <f>IF('House Count'!H360="Y",IF('House Count'!F360="RES-SFU",1,IF('House Count'!F360="RES-MDU",1,IF('House Count'!F360="RES-HOA",1,0))),0)</f>
        <v>0</v>
      </c>
      <c r="K360">
        <f>IF('House Count'!H360="Y",IF('House Count'!F360="COMM-SU",1,IF('House Count'!F360="COM-MTU",1,IF('House Count'!F360="ENT",1,0))),0)</f>
        <v>0</v>
      </c>
    </row>
    <row r="361" spans="1:11" ht="15.75" thickBot="1" x14ac:dyDescent="0.3">
      <c r="A361" s="545"/>
      <c r="B361" s="545"/>
      <c r="C361" s="545"/>
      <c r="D361" s="545"/>
      <c r="E361" s="545"/>
      <c r="F361" s="545"/>
      <c r="G361" s="545"/>
      <c r="H361" s="545"/>
      <c r="I361" s="546"/>
      <c r="J361">
        <f>IF('House Count'!H361="Y",IF('House Count'!F361="RES-SFU",1,IF('House Count'!F361="RES-MDU",1,IF('House Count'!F361="RES-HOA",1,0))),0)</f>
        <v>0</v>
      </c>
      <c r="K361">
        <f>IF('House Count'!H361="Y",IF('House Count'!F361="COMM-SU",1,IF('House Count'!F361="COM-MTU",1,IF('House Count'!F361="ENT",1,0))),0)</f>
        <v>0</v>
      </c>
    </row>
    <row r="362" spans="1:11" ht="15.75" thickTop="1" x14ac:dyDescent="0.25">
      <c r="A362" s="109"/>
      <c r="B362" s="109"/>
      <c r="C362" s="109"/>
      <c r="D362" s="109"/>
      <c r="E362" s="109"/>
      <c r="F362" s="109"/>
      <c r="G362" s="109"/>
      <c r="H362" s="109"/>
      <c r="I362" s="68"/>
      <c r="J362">
        <f>IF('House Count'!H362="Y",IF('House Count'!F362="RES-SFU",1,IF('House Count'!F362="RES-MDU",1,IF('House Count'!F362="RES-HOA",1,0))),0)</f>
        <v>0</v>
      </c>
      <c r="K362">
        <f>IF('House Count'!H362="Y",IF('House Count'!F362="COMM-SU",1,IF('House Count'!F362="COM-MTU",1,IF('House Count'!F362="ENT",1,0))),0)</f>
        <v>0</v>
      </c>
    </row>
    <row r="363" spans="1:11" x14ac:dyDescent="0.25">
      <c r="A363" s="109"/>
      <c r="B363" s="109"/>
      <c r="C363" s="109"/>
      <c r="D363" s="109"/>
      <c r="E363" s="109"/>
      <c r="F363" s="109"/>
      <c r="G363" s="109"/>
      <c r="H363" s="109"/>
      <c r="I363" s="68"/>
      <c r="J363">
        <f>IF('House Count'!H363="Y",IF('House Count'!F363="RES-SFU",1,IF('House Count'!F363="RES-MDU",1,IF('House Count'!F363="RES-HOA",1,0))),0)</f>
        <v>0</v>
      </c>
      <c r="K363">
        <f>IF('House Count'!H363="Y",IF('House Count'!F363="COMM-SU",1,IF('House Count'!F363="COM-MTU",1,IF('House Count'!F363="ENT",1,0))),0)</f>
        <v>0</v>
      </c>
    </row>
    <row r="364" spans="1:11" x14ac:dyDescent="0.25">
      <c r="A364" s="109"/>
      <c r="B364" s="109"/>
      <c r="C364" s="109"/>
      <c r="D364" s="109"/>
      <c r="E364" s="109"/>
      <c r="F364" s="109"/>
      <c r="G364" s="109"/>
      <c r="H364" s="109"/>
      <c r="I364" s="68"/>
      <c r="J364">
        <f>IF('House Count'!H364="Y",IF('House Count'!F364="RES-SFU",1,IF('House Count'!F364="RES-MDU",1,IF('House Count'!F364="RES-HOA",1,0))),0)</f>
        <v>0</v>
      </c>
      <c r="K364">
        <f>IF('House Count'!H364="Y",IF('House Count'!F364="COMM-SU",1,IF('House Count'!F364="COM-MTU",1,IF('House Count'!F364="ENT",1,0))),0)</f>
        <v>0</v>
      </c>
    </row>
    <row r="365" spans="1:11" x14ac:dyDescent="0.25">
      <c r="A365" s="109"/>
      <c r="B365" s="109"/>
      <c r="C365" s="109"/>
      <c r="D365" s="109"/>
      <c r="E365" s="109"/>
      <c r="F365" s="109"/>
      <c r="G365" s="109"/>
      <c r="H365" s="109"/>
      <c r="I365" s="68"/>
      <c r="J365">
        <f>IF('House Count'!H365="Y",IF('House Count'!F365="RES-SFU",1,IF('House Count'!F365="RES-MDU",1,IF('House Count'!F365="RES-HOA",1,0))),0)</f>
        <v>0</v>
      </c>
      <c r="K365">
        <f>IF('House Count'!H365="Y",IF('House Count'!F365="COMM-SU",1,IF('House Count'!F365="COM-MTU",1,IF('House Count'!F365="ENT",1,0))),0)</f>
        <v>0</v>
      </c>
    </row>
    <row r="366" spans="1:11" x14ac:dyDescent="0.25">
      <c r="A366" s="109"/>
      <c r="B366" s="109"/>
      <c r="C366" s="109"/>
      <c r="D366" s="109"/>
      <c r="E366" s="109"/>
      <c r="F366" s="109"/>
      <c r="G366" s="109"/>
      <c r="H366" s="109"/>
      <c r="I366" s="68"/>
      <c r="J366">
        <f>IF('House Count'!H366="Y",IF('House Count'!F366="RES-SFU",1,IF('House Count'!F366="RES-MDU",1,IF('House Count'!F366="RES-HOA",1,0))),0)</f>
        <v>0</v>
      </c>
      <c r="K366">
        <f>IF('House Count'!H366="Y",IF('House Count'!F366="COMM-SU",1,IF('House Count'!F366="COM-MTU",1,IF('House Count'!F366="ENT",1,0))),0)</f>
        <v>0</v>
      </c>
    </row>
    <row r="367" spans="1:11" x14ac:dyDescent="0.25">
      <c r="A367" s="109"/>
      <c r="B367" s="109"/>
      <c r="C367" s="109"/>
      <c r="D367" s="109"/>
      <c r="E367" s="109"/>
      <c r="F367" s="109"/>
      <c r="G367" s="109"/>
      <c r="H367" s="109"/>
      <c r="I367" s="68"/>
      <c r="J367">
        <f>IF('House Count'!H367="Y",IF('House Count'!F367="RES-SFU",1,IF('House Count'!F367="RES-MDU",1,IF('House Count'!F367="RES-HOA",1,0))),0)</f>
        <v>0</v>
      </c>
      <c r="K367">
        <f>IF('House Count'!H367="Y",IF('House Count'!F367="COMM-SU",1,IF('House Count'!F367="COM-MTU",1,IF('House Count'!F367="ENT",1,0))),0)</f>
        <v>0</v>
      </c>
    </row>
    <row r="368" spans="1:11" x14ac:dyDescent="0.25">
      <c r="A368" s="109"/>
      <c r="B368" s="109"/>
      <c r="C368" s="109"/>
      <c r="D368" s="109"/>
      <c r="E368" s="109"/>
      <c r="F368" s="109"/>
      <c r="G368" s="109"/>
      <c r="H368" s="109"/>
      <c r="I368" s="68"/>
      <c r="J368">
        <f>IF('House Count'!H368="Y",IF('House Count'!F368="RES-SFU",1,IF('House Count'!F368="RES-MDU",1,IF('House Count'!F368="RES-HOA",1,0))),0)</f>
        <v>0</v>
      </c>
      <c r="K368">
        <f>IF('House Count'!H368="Y",IF('House Count'!F368="COMM-SU",1,IF('House Count'!F368="COM-MTU",1,IF('House Count'!F368="ENT",1,0))),0)</f>
        <v>0</v>
      </c>
    </row>
    <row r="369" spans="1:11" x14ac:dyDescent="0.25">
      <c r="A369" s="109"/>
      <c r="B369" s="109"/>
      <c r="C369" s="109"/>
      <c r="D369" s="109"/>
      <c r="E369" s="109"/>
      <c r="F369" s="109"/>
      <c r="G369" s="109"/>
      <c r="H369" s="109"/>
      <c r="I369" s="68"/>
      <c r="J369">
        <f>IF('House Count'!H369="Y",IF('House Count'!F369="RES-SFU",1,IF('House Count'!F369="RES-MDU",1,IF('House Count'!F369="RES-HOA",1,0))),0)</f>
        <v>0</v>
      </c>
      <c r="K369">
        <f>IF('House Count'!H369="Y",IF('House Count'!F369="COMM-SU",1,IF('House Count'!F369="COM-MTU",1,IF('House Count'!F369="ENT",1,0))),0)</f>
        <v>0</v>
      </c>
    </row>
    <row r="370" spans="1:11" x14ac:dyDescent="0.25">
      <c r="A370" s="109"/>
      <c r="B370" s="109"/>
      <c r="C370" s="109"/>
      <c r="D370" s="109"/>
      <c r="E370" s="109"/>
      <c r="F370" s="109"/>
      <c r="G370" s="109"/>
      <c r="H370" s="109"/>
      <c r="I370" s="68"/>
      <c r="J370">
        <f>IF('House Count'!H370="Y",IF('House Count'!F370="RES-SFU",1,IF('House Count'!F370="RES-MDU",1,IF('House Count'!F370="RES-HOA",1,0))),0)</f>
        <v>0</v>
      </c>
      <c r="K370">
        <f>IF('House Count'!H370="Y",IF('House Count'!F370="COMM-SU",1,IF('House Count'!F370="COM-MTU",1,IF('House Count'!F370="ENT",1,0))),0)</f>
        <v>0</v>
      </c>
    </row>
    <row r="371" spans="1:11" x14ac:dyDescent="0.25">
      <c r="A371" s="109"/>
      <c r="B371" s="109"/>
      <c r="C371" s="109"/>
      <c r="D371" s="109"/>
      <c r="E371" s="109"/>
      <c r="F371" s="109"/>
      <c r="G371" s="109"/>
      <c r="H371" s="109"/>
      <c r="I371" s="68"/>
      <c r="J371">
        <f>IF('House Count'!H371="Y",IF('House Count'!F371="RES-SFU",1,IF('House Count'!F371="RES-MDU",1,IF('House Count'!F371="RES-HOA",1,0))),0)</f>
        <v>0</v>
      </c>
      <c r="K371">
        <f>IF('House Count'!H371="Y",IF('House Count'!F371="COMM-SU",1,IF('House Count'!F371="COM-MTU",1,IF('House Count'!F371="ENT",1,0))),0)</f>
        <v>0</v>
      </c>
    </row>
    <row r="372" spans="1:11" x14ac:dyDescent="0.25">
      <c r="A372" s="109"/>
      <c r="B372" s="109"/>
      <c r="C372" s="109"/>
      <c r="D372" s="109"/>
      <c r="E372" s="109"/>
      <c r="F372" s="109"/>
      <c r="G372" s="109"/>
      <c r="H372" s="109"/>
      <c r="I372" s="68"/>
      <c r="J372">
        <f>IF('House Count'!H372="Y",IF('House Count'!F372="RES-SFU",1,IF('House Count'!F372="RES-MDU",1,IF('House Count'!F372="RES-HOA",1,0))),0)</f>
        <v>0</v>
      </c>
      <c r="K372">
        <f>IF('House Count'!H372="Y",IF('House Count'!F372="COMM-SU",1,IF('House Count'!F372="COM-MTU",1,IF('House Count'!F372="ENT",1,0))),0)</f>
        <v>0</v>
      </c>
    </row>
    <row r="373" spans="1:11" ht="15.75" thickBot="1" x14ac:dyDescent="0.3">
      <c r="A373" s="545"/>
      <c r="B373" s="545"/>
      <c r="C373" s="545"/>
      <c r="D373" s="545"/>
      <c r="E373" s="545"/>
      <c r="F373" s="545"/>
      <c r="G373" s="545"/>
      <c r="H373" s="545"/>
      <c r="I373" s="546"/>
      <c r="J373">
        <f>IF('House Count'!H373="Y",IF('House Count'!F373="RES-SFU",1,IF('House Count'!F373="RES-MDU",1,IF('House Count'!F373="RES-HOA",1,0))),0)</f>
        <v>0</v>
      </c>
      <c r="K373">
        <f>IF('House Count'!H373="Y",IF('House Count'!F373="COMM-SU",1,IF('House Count'!F373="COM-MTU",1,IF('House Count'!F373="ENT",1,0))),0)</f>
        <v>0</v>
      </c>
    </row>
    <row r="374" spans="1:11" ht="15.75" thickTop="1" x14ac:dyDescent="0.25">
      <c r="A374" s="109"/>
      <c r="B374" s="109"/>
      <c r="C374" s="109"/>
      <c r="D374" s="109"/>
      <c r="E374" s="109"/>
      <c r="F374" s="109"/>
      <c r="G374" s="109"/>
      <c r="H374" s="109"/>
      <c r="I374" s="68"/>
      <c r="J374">
        <f>IF('House Count'!H374="Y",IF('House Count'!F374="RES-SFU",1,IF('House Count'!F374="RES-MDU",1,IF('House Count'!F374="RES-HOA",1,0))),0)</f>
        <v>0</v>
      </c>
      <c r="K374">
        <f>IF('House Count'!H374="Y",IF('House Count'!F374="COMM-SU",1,IF('House Count'!F374="COM-MTU",1,IF('House Count'!F374="ENT",1,0))),0)</f>
        <v>0</v>
      </c>
    </row>
    <row r="375" spans="1:11" x14ac:dyDescent="0.25">
      <c r="A375" s="109"/>
      <c r="B375" s="109"/>
      <c r="C375" s="109"/>
      <c r="D375" s="109"/>
      <c r="E375" s="109"/>
      <c r="F375" s="109"/>
      <c r="G375" s="109"/>
      <c r="H375" s="109"/>
      <c r="I375" s="68"/>
      <c r="J375">
        <f>IF('House Count'!H375="Y",IF('House Count'!F375="RES-SFU",1,IF('House Count'!F375="RES-MDU",1,IF('House Count'!F375="RES-HOA",1,0))),0)</f>
        <v>0</v>
      </c>
      <c r="K375">
        <f>IF('House Count'!H375="Y",IF('House Count'!F375="COMM-SU",1,IF('House Count'!F375="COM-MTU",1,IF('House Count'!F375="ENT",1,0))),0)</f>
        <v>0</v>
      </c>
    </row>
    <row r="376" spans="1:11" x14ac:dyDescent="0.25">
      <c r="A376" s="109"/>
      <c r="B376" s="109"/>
      <c r="C376" s="109"/>
      <c r="D376" s="109"/>
      <c r="E376" s="109"/>
      <c r="F376" s="109"/>
      <c r="G376" s="109"/>
      <c r="H376" s="109"/>
      <c r="I376" s="68"/>
      <c r="J376">
        <f>IF('House Count'!H376="Y",IF('House Count'!F376="RES-SFU",1,IF('House Count'!F376="RES-MDU",1,IF('House Count'!F376="RES-HOA",1,0))),0)</f>
        <v>0</v>
      </c>
      <c r="K376">
        <f>IF('House Count'!H376="Y",IF('House Count'!F376="COMM-SU",1,IF('House Count'!F376="COM-MTU",1,IF('House Count'!F376="ENT",1,0))),0)</f>
        <v>0</v>
      </c>
    </row>
    <row r="377" spans="1:11" x14ac:dyDescent="0.25">
      <c r="A377" s="109"/>
      <c r="B377" s="109"/>
      <c r="C377" s="109"/>
      <c r="D377" s="109"/>
      <c r="E377" s="109"/>
      <c r="F377" s="109"/>
      <c r="G377" s="109"/>
      <c r="H377" s="109"/>
      <c r="I377" s="68"/>
      <c r="J377">
        <f>IF('House Count'!H377="Y",IF('House Count'!F377="RES-SFU",1,IF('House Count'!F377="RES-MDU",1,IF('House Count'!F377="RES-HOA",1,0))),0)</f>
        <v>0</v>
      </c>
      <c r="K377">
        <f>IF('House Count'!H377="Y",IF('House Count'!F377="COMM-SU",1,IF('House Count'!F377="COM-MTU",1,IF('House Count'!F377="ENT",1,0))),0)</f>
        <v>0</v>
      </c>
    </row>
    <row r="378" spans="1:11" x14ac:dyDescent="0.25">
      <c r="A378" s="109"/>
      <c r="B378" s="109"/>
      <c r="C378" s="109"/>
      <c r="D378" s="109"/>
      <c r="E378" s="109"/>
      <c r="F378" s="109"/>
      <c r="G378" s="109"/>
      <c r="H378" s="109"/>
      <c r="I378" s="68"/>
      <c r="J378">
        <f>IF('House Count'!H378="Y",IF('House Count'!F378="RES-SFU",1,IF('House Count'!F378="RES-MDU",1,IF('House Count'!F378="RES-HOA",1,0))),0)</f>
        <v>0</v>
      </c>
      <c r="K378">
        <f>IF('House Count'!H378="Y",IF('House Count'!F378="COMM-SU",1,IF('House Count'!F378="COM-MTU",1,IF('House Count'!F378="ENT",1,0))),0)</f>
        <v>0</v>
      </c>
    </row>
    <row r="379" spans="1:11" x14ac:dyDescent="0.25">
      <c r="A379" s="109"/>
      <c r="B379" s="109"/>
      <c r="C379" s="109"/>
      <c r="D379" s="109"/>
      <c r="E379" s="109"/>
      <c r="F379" s="109"/>
      <c r="G379" s="109"/>
      <c r="H379" s="109"/>
      <c r="I379" s="68"/>
      <c r="J379">
        <f>IF('House Count'!H379="Y",IF('House Count'!F379="RES-SFU",1,IF('House Count'!F379="RES-MDU",1,IF('House Count'!F379="RES-HOA",1,0))),0)</f>
        <v>0</v>
      </c>
      <c r="K379">
        <f>IF('House Count'!H379="Y",IF('House Count'!F379="COMM-SU",1,IF('House Count'!F379="COM-MTU",1,IF('House Count'!F379="ENT",1,0))),0)</f>
        <v>0</v>
      </c>
    </row>
    <row r="380" spans="1:11" x14ac:dyDescent="0.25">
      <c r="A380" s="109"/>
      <c r="B380" s="109"/>
      <c r="C380" s="109"/>
      <c r="D380" s="109"/>
      <c r="E380" s="109"/>
      <c r="F380" s="109"/>
      <c r="G380" s="109"/>
      <c r="H380" s="109"/>
      <c r="I380" s="68"/>
      <c r="J380">
        <f>IF('House Count'!H380="Y",IF('House Count'!F380="RES-SFU",1,IF('House Count'!F380="RES-MDU",1,IF('House Count'!F380="RES-HOA",1,0))),0)</f>
        <v>0</v>
      </c>
      <c r="K380">
        <f>IF('House Count'!H380="Y",IF('House Count'!F380="COMM-SU",1,IF('House Count'!F380="COM-MTU",1,IF('House Count'!F380="ENT",1,0))),0)</f>
        <v>0</v>
      </c>
    </row>
    <row r="381" spans="1:11" x14ac:dyDescent="0.25">
      <c r="A381" s="109"/>
      <c r="B381" s="109"/>
      <c r="C381" s="109"/>
      <c r="D381" s="109"/>
      <c r="E381" s="109"/>
      <c r="F381" s="109"/>
      <c r="G381" s="109"/>
      <c r="H381" s="109"/>
      <c r="I381" s="68"/>
      <c r="J381">
        <f>IF('House Count'!H381="Y",IF('House Count'!F381="RES-SFU",1,IF('House Count'!F381="RES-MDU",1,IF('House Count'!F381="RES-HOA",1,0))),0)</f>
        <v>0</v>
      </c>
      <c r="K381">
        <f>IF('House Count'!H381="Y",IF('House Count'!F381="COMM-SU",1,IF('House Count'!F381="COM-MTU",1,IF('House Count'!F381="ENT",1,0))),0)</f>
        <v>0</v>
      </c>
    </row>
    <row r="382" spans="1:11" x14ac:dyDescent="0.25">
      <c r="A382" s="109"/>
      <c r="B382" s="109"/>
      <c r="C382" s="109"/>
      <c r="D382" s="109"/>
      <c r="E382" s="109"/>
      <c r="F382" s="109"/>
      <c r="G382" s="109"/>
      <c r="H382" s="109"/>
      <c r="I382" s="68"/>
      <c r="J382">
        <f>IF('House Count'!H382="Y",IF('House Count'!F382="RES-SFU",1,IF('House Count'!F382="RES-MDU",1,IF('House Count'!F382="RES-HOA",1,0))),0)</f>
        <v>0</v>
      </c>
      <c r="K382">
        <f>IF('House Count'!H382="Y",IF('House Count'!F382="COMM-SU",1,IF('House Count'!F382="COM-MTU",1,IF('House Count'!F382="ENT",1,0))),0)</f>
        <v>0</v>
      </c>
    </row>
    <row r="383" spans="1:11" x14ac:dyDescent="0.25">
      <c r="A383" s="109"/>
      <c r="B383" s="109"/>
      <c r="C383" s="109"/>
      <c r="D383" s="109"/>
      <c r="E383" s="109"/>
      <c r="F383" s="109"/>
      <c r="G383" s="109"/>
      <c r="H383" s="109"/>
      <c r="I383" s="68"/>
      <c r="J383">
        <f>IF('House Count'!H383="Y",IF('House Count'!F383="RES-SFU",1,IF('House Count'!F383="RES-MDU",1,IF('House Count'!F383="RES-HOA",1,0))),0)</f>
        <v>0</v>
      </c>
      <c r="K383">
        <f>IF('House Count'!H383="Y",IF('House Count'!F383="COMM-SU",1,IF('House Count'!F383="COM-MTU",1,IF('House Count'!F383="ENT",1,0))),0)</f>
        <v>0</v>
      </c>
    </row>
    <row r="384" spans="1:11" x14ac:dyDescent="0.25">
      <c r="A384" s="109"/>
      <c r="B384" s="109"/>
      <c r="C384" s="109"/>
      <c r="D384" s="109"/>
      <c r="E384" s="109"/>
      <c r="F384" s="109"/>
      <c r="G384" s="109"/>
      <c r="H384" s="109"/>
      <c r="I384" s="68"/>
      <c r="J384">
        <f>IF('House Count'!H384="Y",IF('House Count'!F384="RES-SFU",1,IF('House Count'!F384="RES-MDU",1,IF('House Count'!F384="RES-HOA",1,0))),0)</f>
        <v>0</v>
      </c>
      <c r="K384">
        <f>IF('House Count'!H384="Y",IF('House Count'!F384="COMM-SU",1,IF('House Count'!F384="COM-MTU",1,IF('House Count'!F384="ENT",1,0))),0)</f>
        <v>0</v>
      </c>
    </row>
    <row r="385" spans="1:11" ht="15.75" thickBot="1" x14ac:dyDescent="0.3">
      <c r="A385" s="545"/>
      <c r="B385" s="545"/>
      <c r="C385" s="545"/>
      <c r="D385" s="545"/>
      <c r="E385" s="545"/>
      <c r="F385" s="545"/>
      <c r="G385" s="545"/>
      <c r="H385" s="545"/>
      <c r="I385" s="546"/>
      <c r="J385">
        <f>IF('House Count'!H385="Y",IF('House Count'!F385="RES-SFU",1,IF('House Count'!F385="RES-MDU",1,IF('House Count'!F385="RES-HOA",1,0))),0)</f>
        <v>0</v>
      </c>
      <c r="K385">
        <f>IF('House Count'!H385="Y",IF('House Count'!F385="COMM-SU",1,IF('House Count'!F385="COM-MTU",1,IF('House Count'!F385="ENT",1,0))),0)</f>
        <v>0</v>
      </c>
    </row>
    <row r="386" spans="1:11" ht="15.75" thickTop="1" x14ac:dyDescent="0.25">
      <c r="A386" s="109"/>
      <c r="B386" s="109"/>
      <c r="C386" s="109"/>
      <c r="D386" s="109"/>
      <c r="E386" s="109"/>
      <c r="F386" s="109"/>
      <c r="G386" s="109"/>
      <c r="H386" s="109"/>
      <c r="I386" s="68"/>
      <c r="J386">
        <f>IF('House Count'!H386="Y",IF('House Count'!F386="RES-SFU",1,IF('House Count'!F386="RES-MDU",1,IF('House Count'!F386="RES-HOA",1,0))),0)</f>
        <v>0</v>
      </c>
      <c r="K386">
        <f>IF('House Count'!H386="Y",IF('House Count'!F386="COMM-SU",1,IF('House Count'!F386="COM-MTU",1,IF('House Count'!F386="ENT",1,0))),0)</f>
        <v>0</v>
      </c>
    </row>
    <row r="387" spans="1:11" x14ac:dyDescent="0.25">
      <c r="A387" s="109"/>
      <c r="B387" s="109"/>
      <c r="C387" s="109"/>
      <c r="D387" s="109"/>
      <c r="E387" s="109"/>
      <c r="F387" s="109"/>
      <c r="G387" s="109"/>
      <c r="H387" s="109"/>
      <c r="I387" s="68"/>
      <c r="J387">
        <f>IF('House Count'!H387="Y",IF('House Count'!F387="RES-SFU",1,IF('House Count'!F387="RES-MDU",1,IF('House Count'!F387="RES-HOA",1,0))),0)</f>
        <v>0</v>
      </c>
      <c r="K387">
        <f>IF('House Count'!H387="Y",IF('House Count'!F387="COMM-SU",1,IF('House Count'!F387="COM-MTU",1,IF('House Count'!F387="ENT",1,0))),0)</f>
        <v>0</v>
      </c>
    </row>
    <row r="388" spans="1:11" x14ac:dyDescent="0.25">
      <c r="A388" s="109"/>
      <c r="B388" s="109"/>
      <c r="C388" s="109"/>
      <c r="D388" s="109"/>
      <c r="E388" s="109"/>
      <c r="F388" s="109"/>
      <c r="G388" s="109"/>
      <c r="H388" s="109"/>
      <c r="I388" s="68"/>
      <c r="J388">
        <f>IF('House Count'!H388="Y",IF('House Count'!F388="RES-SFU",1,IF('House Count'!F388="RES-MDU",1,IF('House Count'!F388="RES-HOA",1,0))),0)</f>
        <v>0</v>
      </c>
      <c r="K388">
        <f>IF('House Count'!H388="Y",IF('House Count'!F388="COMM-SU",1,IF('House Count'!F388="COM-MTU",1,IF('House Count'!F388="ENT",1,0))),0)</f>
        <v>0</v>
      </c>
    </row>
    <row r="389" spans="1:11" x14ac:dyDescent="0.25">
      <c r="A389" s="109"/>
      <c r="B389" s="109"/>
      <c r="C389" s="109"/>
      <c r="D389" s="109"/>
      <c r="E389" s="109"/>
      <c r="F389" s="109"/>
      <c r="G389" s="109"/>
      <c r="H389" s="109"/>
      <c r="I389" s="68"/>
      <c r="J389">
        <f>IF('House Count'!H389="Y",IF('House Count'!F389="RES-SFU",1,IF('House Count'!F389="RES-MDU",1,IF('House Count'!F389="RES-HOA",1,0))),0)</f>
        <v>0</v>
      </c>
      <c r="K389">
        <f>IF('House Count'!H389="Y",IF('House Count'!F389="COMM-SU",1,IF('House Count'!F389="COM-MTU",1,IF('House Count'!F389="ENT",1,0))),0)</f>
        <v>0</v>
      </c>
    </row>
    <row r="390" spans="1:11" x14ac:dyDescent="0.25">
      <c r="A390" s="109"/>
      <c r="B390" s="109"/>
      <c r="C390" s="109"/>
      <c r="D390" s="109"/>
      <c r="E390" s="109"/>
      <c r="F390" s="109"/>
      <c r="G390" s="109"/>
      <c r="H390" s="109"/>
      <c r="I390" s="68"/>
      <c r="J390">
        <f>IF('House Count'!H390="Y",IF('House Count'!F390="RES-SFU",1,IF('House Count'!F390="RES-MDU",1,IF('House Count'!F390="RES-HOA",1,0))),0)</f>
        <v>0</v>
      </c>
      <c r="K390">
        <f>IF('House Count'!H390="Y",IF('House Count'!F390="COMM-SU",1,IF('House Count'!F390="COM-MTU",1,IF('House Count'!F390="ENT",1,0))),0)</f>
        <v>0</v>
      </c>
    </row>
    <row r="391" spans="1:11" x14ac:dyDescent="0.25">
      <c r="A391" s="109"/>
      <c r="B391" s="109"/>
      <c r="C391" s="109"/>
      <c r="D391" s="109"/>
      <c r="E391" s="109"/>
      <c r="F391" s="109"/>
      <c r="G391" s="109"/>
      <c r="H391" s="109"/>
      <c r="I391" s="68"/>
      <c r="J391">
        <f>IF('House Count'!H391="Y",IF('House Count'!F391="RES-SFU",1,IF('House Count'!F391="RES-MDU",1,IF('House Count'!F391="RES-HOA",1,0))),0)</f>
        <v>0</v>
      </c>
      <c r="K391">
        <f>IF('House Count'!H391="Y",IF('House Count'!F391="COMM-SU",1,IF('House Count'!F391="COM-MTU",1,IF('House Count'!F391="ENT",1,0))),0)</f>
        <v>0</v>
      </c>
    </row>
    <row r="392" spans="1:11" x14ac:dyDescent="0.25">
      <c r="A392" s="109"/>
      <c r="B392" s="109"/>
      <c r="C392" s="109"/>
      <c r="D392" s="109"/>
      <c r="E392" s="109"/>
      <c r="F392" s="109"/>
      <c r="G392" s="109"/>
      <c r="H392" s="109"/>
      <c r="I392" s="68"/>
      <c r="J392">
        <f>IF('House Count'!H392="Y",IF('House Count'!F392="RES-SFU",1,IF('House Count'!F392="RES-MDU",1,IF('House Count'!F392="RES-HOA",1,0))),0)</f>
        <v>0</v>
      </c>
      <c r="K392">
        <f>IF('House Count'!H392="Y",IF('House Count'!F392="COMM-SU",1,IF('House Count'!F392="COM-MTU",1,IF('House Count'!F392="ENT",1,0))),0)</f>
        <v>0</v>
      </c>
    </row>
    <row r="393" spans="1:11" x14ac:dyDescent="0.25">
      <c r="A393" s="109"/>
      <c r="B393" s="109"/>
      <c r="C393" s="109"/>
      <c r="D393" s="109"/>
      <c r="E393" s="109"/>
      <c r="F393" s="109"/>
      <c r="G393" s="109"/>
      <c r="H393" s="109"/>
      <c r="I393" s="68"/>
      <c r="J393">
        <f>IF('House Count'!H393="Y",IF('House Count'!F393="RES-SFU",1,IF('House Count'!F393="RES-MDU",1,IF('House Count'!F393="RES-HOA",1,0))),0)</f>
        <v>0</v>
      </c>
      <c r="K393">
        <f>IF('House Count'!H393="Y",IF('House Count'!F393="COMM-SU",1,IF('House Count'!F393="COM-MTU",1,IF('House Count'!F393="ENT",1,0))),0)</f>
        <v>0</v>
      </c>
    </row>
    <row r="394" spans="1:11" x14ac:dyDescent="0.25">
      <c r="A394" s="109"/>
      <c r="B394" s="109"/>
      <c r="C394" s="109"/>
      <c r="D394" s="109"/>
      <c r="E394" s="109"/>
      <c r="F394" s="109"/>
      <c r="G394" s="109"/>
      <c r="H394" s="109"/>
      <c r="I394" s="68"/>
      <c r="J394">
        <f>IF('House Count'!H394="Y",IF('House Count'!F394="RES-SFU",1,IF('House Count'!F394="RES-MDU",1,IF('House Count'!F394="RES-HOA",1,0))),0)</f>
        <v>0</v>
      </c>
      <c r="K394">
        <f>IF('House Count'!H394="Y",IF('House Count'!F394="COMM-SU",1,IF('House Count'!F394="COM-MTU",1,IF('House Count'!F394="ENT",1,0))),0)</f>
        <v>0</v>
      </c>
    </row>
    <row r="395" spans="1:11" x14ac:dyDescent="0.25">
      <c r="A395" s="109"/>
      <c r="B395" s="109"/>
      <c r="C395" s="109"/>
      <c r="D395" s="109"/>
      <c r="E395" s="109"/>
      <c r="F395" s="109"/>
      <c r="G395" s="109"/>
      <c r="H395" s="109"/>
      <c r="I395" s="68"/>
      <c r="J395">
        <f>IF('House Count'!H395="Y",IF('House Count'!F395="RES-SFU",1,IF('House Count'!F395="RES-MDU",1,IF('House Count'!F395="RES-HOA",1,0))),0)</f>
        <v>0</v>
      </c>
      <c r="K395">
        <f>IF('House Count'!H395="Y",IF('House Count'!F395="COMM-SU",1,IF('House Count'!F395="COM-MTU",1,IF('House Count'!F395="ENT",1,0))),0)</f>
        <v>0</v>
      </c>
    </row>
    <row r="396" spans="1:11" x14ac:dyDescent="0.25">
      <c r="A396" s="109"/>
      <c r="B396" s="109"/>
      <c r="C396" s="109"/>
      <c r="D396" s="109"/>
      <c r="E396" s="109"/>
      <c r="F396" s="109"/>
      <c r="G396" s="109"/>
      <c r="H396" s="109"/>
      <c r="I396" s="68"/>
      <c r="J396">
        <f>IF('House Count'!H396="Y",IF('House Count'!F396="RES-SFU",1,IF('House Count'!F396="RES-MDU",1,IF('House Count'!F396="RES-HOA",1,0))),0)</f>
        <v>0</v>
      </c>
      <c r="K396">
        <f>IF('House Count'!H396="Y",IF('House Count'!F396="COMM-SU",1,IF('House Count'!F396="COM-MTU",1,IF('House Count'!F396="ENT",1,0))),0)</f>
        <v>0</v>
      </c>
    </row>
    <row r="397" spans="1:11" ht="15.75" thickBot="1" x14ac:dyDescent="0.3">
      <c r="A397" s="545"/>
      <c r="B397" s="545"/>
      <c r="C397" s="545"/>
      <c r="D397" s="545"/>
      <c r="E397" s="545"/>
      <c r="F397" s="545"/>
      <c r="G397" s="545"/>
      <c r="H397" s="545"/>
      <c r="I397" s="546"/>
      <c r="J397">
        <f>IF('House Count'!H397="Y",IF('House Count'!F397="RES-SFU",1,IF('House Count'!F397="RES-MDU",1,IF('House Count'!F397="RES-HOA",1,0))),0)</f>
        <v>0</v>
      </c>
      <c r="K397">
        <f>IF('House Count'!H397="Y",IF('House Count'!F397="COMM-SU",1,IF('House Count'!F397="COM-MTU",1,IF('House Count'!F397="ENT",1,0))),0)</f>
        <v>0</v>
      </c>
    </row>
    <row r="398" spans="1:11" ht="15.75" thickTop="1" x14ac:dyDescent="0.25">
      <c r="A398" s="109"/>
      <c r="B398" s="109"/>
      <c r="C398" s="109"/>
      <c r="D398" s="109"/>
      <c r="E398" s="109"/>
      <c r="F398" s="109"/>
      <c r="G398" s="109"/>
      <c r="H398" s="109"/>
      <c r="I398" s="68"/>
      <c r="J398">
        <f>IF('House Count'!H398="Y",IF('House Count'!F398="RES-SFU",1,IF('House Count'!F398="RES-MDU",1,IF('House Count'!F398="RES-HOA",1,0))),0)</f>
        <v>0</v>
      </c>
      <c r="K398">
        <f>IF('House Count'!H398="Y",IF('House Count'!F398="COMM-SU",1,IF('House Count'!F398="COM-MTU",1,IF('House Count'!F398="ENT",1,0))),0)</f>
        <v>0</v>
      </c>
    </row>
    <row r="399" spans="1:11" x14ac:dyDescent="0.25">
      <c r="A399" s="109"/>
      <c r="B399" s="109"/>
      <c r="C399" s="109"/>
      <c r="D399" s="109"/>
      <c r="E399" s="109"/>
      <c r="F399" s="109"/>
      <c r="G399" s="109"/>
      <c r="H399" s="109"/>
      <c r="I399" s="68"/>
      <c r="J399">
        <f>IF('House Count'!H399="Y",IF('House Count'!F399="RES-SFU",1,IF('House Count'!F399="RES-MDU",1,IF('House Count'!F399="RES-HOA",1,0))),0)</f>
        <v>0</v>
      </c>
      <c r="K399">
        <f>IF('House Count'!H399="Y",IF('House Count'!F399="COMM-SU",1,IF('House Count'!F399="COM-MTU",1,IF('House Count'!F399="ENT",1,0))),0)</f>
        <v>0</v>
      </c>
    </row>
    <row r="400" spans="1:11" x14ac:dyDescent="0.25">
      <c r="A400" s="109"/>
      <c r="B400" s="109"/>
      <c r="C400" s="109"/>
      <c r="D400" s="109"/>
      <c r="E400" s="109"/>
      <c r="F400" s="109"/>
      <c r="G400" s="109"/>
      <c r="H400" s="109"/>
      <c r="I400" s="68"/>
      <c r="J400">
        <f>IF('House Count'!H400="Y",IF('House Count'!F400="RES-SFU",1,IF('House Count'!F400="RES-MDU",1,IF('House Count'!F400="RES-HOA",1,0))),0)</f>
        <v>0</v>
      </c>
      <c r="K400">
        <f>IF('House Count'!H400="Y",IF('House Count'!F400="COMM-SU",1,IF('House Count'!F400="COM-MTU",1,IF('House Count'!F400="ENT",1,0))),0)</f>
        <v>0</v>
      </c>
    </row>
    <row r="401" spans="1:11" x14ac:dyDescent="0.25">
      <c r="A401" s="109"/>
      <c r="B401" s="109"/>
      <c r="C401" s="109"/>
      <c r="D401" s="109"/>
      <c r="E401" s="109"/>
      <c r="F401" s="109"/>
      <c r="G401" s="109"/>
      <c r="H401" s="109"/>
      <c r="I401" s="68"/>
      <c r="J401">
        <f>IF('House Count'!H401="Y",IF('House Count'!F401="RES-SFU",1,IF('House Count'!F401="RES-MDU",1,IF('House Count'!F401="RES-HOA",1,0))),0)</f>
        <v>0</v>
      </c>
      <c r="K401">
        <f>IF('House Count'!H401="Y",IF('House Count'!F401="COMM-SU",1,IF('House Count'!F401="COM-MTU",1,IF('House Count'!F401="ENT",1,0))),0)</f>
        <v>0</v>
      </c>
    </row>
    <row r="402" spans="1:11" x14ac:dyDescent="0.25">
      <c r="A402" s="109"/>
      <c r="B402" s="109"/>
      <c r="C402" s="109"/>
      <c r="D402" s="109"/>
      <c r="E402" s="109"/>
      <c r="F402" s="109"/>
      <c r="G402" s="109"/>
      <c r="H402" s="109"/>
      <c r="I402" s="68"/>
      <c r="J402">
        <f>IF('House Count'!H402="Y",IF('House Count'!F402="RES-SFU",1,IF('House Count'!F402="RES-MDU",1,IF('House Count'!F402="RES-HOA",1,0))),0)</f>
        <v>0</v>
      </c>
      <c r="K402">
        <f>IF('House Count'!H402="Y",IF('House Count'!F402="COMM-SU",1,IF('House Count'!F402="COM-MTU",1,IF('House Count'!F402="ENT",1,0))),0)</f>
        <v>0</v>
      </c>
    </row>
    <row r="403" spans="1:11" x14ac:dyDescent="0.25">
      <c r="A403" s="109"/>
      <c r="B403" s="109"/>
      <c r="C403" s="109"/>
      <c r="D403" s="109"/>
      <c r="E403" s="109"/>
      <c r="F403" s="109"/>
      <c r="G403" s="109"/>
      <c r="H403" s="109"/>
      <c r="I403" s="68"/>
      <c r="J403">
        <f>IF('House Count'!H403="Y",IF('House Count'!F403="RES-SFU",1,IF('House Count'!F403="RES-MDU",1,IF('House Count'!F403="RES-HOA",1,0))),0)</f>
        <v>0</v>
      </c>
      <c r="K403">
        <f>IF('House Count'!H403="Y",IF('House Count'!F403="COMM-SU",1,IF('House Count'!F403="COM-MTU",1,IF('House Count'!F403="ENT",1,0))),0)</f>
        <v>0</v>
      </c>
    </row>
    <row r="404" spans="1:11" x14ac:dyDescent="0.25">
      <c r="A404" s="109"/>
      <c r="B404" s="109"/>
      <c r="C404" s="109"/>
      <c r="D404" s="109"/>
      <c r="E404" s="109"/>
      <c r="F404" s="109"/>
      <c r="G404" s="109"/>
      <c r="H404" s="109"/>
      <c r="I404" s="68"/>
      <c r="J404">
        <f>IF('House Count'!H404="Y",IF('House Count'!F404="RES-SFU",1,IF('House Count'!F404="RES-MDU",1,IF('House Count'!F404="RES-HOA",1,0))),0)</f>
        <v>0</v>
      </c>
      <c r="K404">
        <f>IF('House Count'!H404="Y",IF('House Count'!F404="COMM-SU",1,IF('House Count'!F404="COM-MTU",1,IF('House Count'!F404="ENT",1,0))),0)</f>
        <v>0</v>
      </c>
    </row>
    <row r="405" spans="1:11" x14ac:dyDescent="0.25">
      <c r="A405" s="109"/>
      <c r="B405" s="109"/>
      <c r="C405" s="109"/>
      <c r="D405" s="109"/>
      <c r="E405" s="109"/>
      <c r="F405" s="109"/>
      <c r="G405" s="109"/>
      <c r="H405" s="109"/>
      <c r="I405" s="68"/>
      <c r="J405">
        <f>IF('House Count'!H405="Y",IF('House Count'!F405="RES-SFU",1,IF('House Count'!F405="RES-MDU",1,IF('House Count'!F405="RES-HOA",1,0))),0)</f>
        <v>0</v>
      </c>
      <c r="K405">
        <f>IF('House Count'!H405="Y",IF('House Count'!F405="COMM-SU",1,IF('House Count'!F405="COM-MTU",1,IF('House Count'!F405="ENT",1,0))),0)</f>
        <v>0</v>
      </c>
    </row>
    <row r="406" spans="1:11" x14ac:dyDescent="0.25">
      <c r="A406" s="109"/>
      <c r="B406" s="109"/>
      <c r="C406" s="109"/>
      <c r="D406" s="109"/>
      <c r="E406" s="109"/>
      <c r="F406" s="109"/>
      <c r="G406" s="109"/>
      <c r="H406" s="109"/>
      <c r="I406" s="68"/>
      <c r="J406">
        <f>IF('House Count'!H406="Y",IF('House Count'!F406="RES-SFU",1,IF('House Count'!F406="RES-MDU",1,IF('House Count'!F406="RES-HOA",1,0))),0)</f>
        <v>0</v>
      </c>
      <c r="K406">
        <f>IF('House Count'!H406="Y",IF('House Count'!F406="COMM-SU",1,IF('House Count'!F406="COM-MTU",1,IF('House Count'!F406="ENT",1,0))),0)</f>
        <v>0</v>
      </c>
    </row>
    <row r="407" spans="1:11" x14ac:dyDescent="0.25">
      <c r="A407" s="109"/>
      <c r="B407" s="109"/>
      <c r="C407" s="109"/>
      <c r="D407" s="109"/>
      <c r="E407" s="109"/>
      <c r="F407" s="109"/>
      <c r="G407" s="109"/>
      <c r="H407" s="109"/>
      <c r="I407" s="68"/>
      <c r="J407">
        <f>IF('House Count'!H407="Y",IF('House Count'!F407="RES-SFU",1,IF('House Count'!F407="RES-MDU",1,IF('House Count'!F407="RES-HOA",1,0))),0)</f>
        <v>0</v>
      </c>
      <c r="K407">
        <f>IF('House Count'!H407="Y",IF('House Count'!F407="COMM-SU",1,IF('House Count'!F407="COM-MTU",1,IF('House Count'!F407="ENT",1,0))),0)</f>
        <v>0</v>
      </c>
    </row>
    <row r="408" spans="1:11" x14ac:dyDescent="0.25">
      <c r="A408" s="109"/>
      <c r="B408" s="109"/>
      <c r="C408" s="109"/>
      <c r="D408" s="109"/>
      <c r="E408" s="109"/>
      <c r="F408" s="109"/>
      <c r="G408" s="109"/>
      <c r="H408" s="109"/>
      <c r="I408" s="68"/>
      <c r="J408">
        <f>IF('House Count'!H408="Y",IF('House Count'!F408="RES-SFU",1,IF('House Count'!F408="RES-MDU",1,IF('House Count'!F408="RES-HOA",1,0))),0)</f>
        <v>0</v>
      </c>
      <c r="K408">
        <f>IF('House Count'!H408="Y",IF('House Count'!F408="COMM-SU",1,IF('House Count'!F408="COM-MTU",1,IF('House Count'!F408="ENT",1,0))),0)</f>
        <v>0</v>
      </c>
    </row>
    <row r="409" spans="1:11" ht="15.75" thickBot="1" x14ac:dyDescent="0.3">
      <c r="A409" s="545"/>
      <c r="B409" s="545"/>
      <c r="C409" s="545"/>
      <c r="D409" s="545"/>
      <c r="E409" s="545"/>
      <c r="F409" s="545"/>
      <c r="G409" s="545"/>
      <c r="H409" s="545"/>
      <c r="I409" s="546"/>
      <c r="J409">
        <f>IF('House Count'!H409="Y",IF('House Count'!F409="RES-SFU",1,IF('House Count'!F409="RES-MDU",1,IF('House Count'!F409="RES-HOA",1,0))),0)</f>
        <v>0</v>
      </c>
      <c r="K409">
        <f>IF('House Count'!H409="Y",IF('House Count'!F409="COMM-SU",1,IF('House Count'!F409="COM-MTU",1,IF('House Count'!F409="ENT",1,0))),0)</f>
        <v>0</v>
      </c>
    </row>
    <row r="410" spans="1:11" ht="15.75" thickTop="1" x14ac:dyDescent="0.25">
      <c r="A410" s="109"/>
      <c r="B410" s="109"/>
      <c r="C410" s="109"/>
      <c r="D410" s="109"/>
      <c r="E410" s="109"/>
      <c r="F410" s="109"/>
      <c r="G410" s="109"/>
      <c r="H410" s="109"/>
      <c r="I410" s="68"/>
      <c r="J410">
        <f>IF('House Count'!H410="Y",IF('House Count'!F410="RES-SFU",1,IF('House Count'!F410="RES-MDU",1,IF('House Count'!F410="RES-HOA",1,0))),0)</f>
        <v>0</v>
      </c>
      <c r="K410">
        <f>IF('House Count'!H410="Y",IF('House Count'!F410="COMM-SU",1,IF('House Count'!F410="COM-MTU",1,IF('House Count'!F410="ENT",1,0))),0)</f>
        <v>0</v>
      </c>
    </row>
    <row r="411" spans="1:11" x14ac:dyDescent="0.25">
      <c r="A411" s="109"/>
      <c r="B411" s="109"/>
      <c r="C411" s="109"/>
      <c r="D411" s="109"/>
      <c r="E411" s="109"/>
      <c r="F411" s="109"/>
      <c r="G411" s="109"/>
      <c r="H411" s="109"/>
      <c r="I411" s="68"/>
      <c r="J411">
        <f>IF('House Count'!H411="Y",IF('House Count'!F411="RES-SFU",1,IF('House Count'!F411="RES-MDU",1,IF('House Count'!F411="RES-HOA",1,0))),0)</f>
        <v>0</v>
      </c>
      <c r="K411">
        <f>IF('House Count'!H411="Y",IF('House Count'!F411="COMM-SU",1,IF('House Count'!F411="COM-MTU",1,IF('House Count'!F411="ENT",1,0))),0)</f>
        <v>0</v>
      </c>
    </row>
    <row r="412" spans="1:11" x14ac:dyDescent="0.25">
      <c r="A412" s="109"/>
      <c r="B412" s="109"/>
      <c r="C412" s="109"/>
      <c r="D412" s="109"/>
      <c r="E412" s="109"/>
      <c r="F412" s="109"/>
      <c r="G412" s="109"/>
      <c r="H412" s="109"/>
      <c r="I412" s="68"/>
      <c r="J412">
        <f>IF('House Count'!H412="Y",IF('House Count'!F412="RES-SFU",1,IF('House Count'!F412="RES-MDU",1,IF('House Count'!F412="RES-HOA",1,0))),0)</f>
        <v>0</v>
      </c>
      <c r="K412">
        <f>IF('House Count'!H412="Y",IF('House Count'!F412="COMM-SU",1,IF('House Count'!F412="COM-MTU",1,IF('House Count'!F412="ENT",1,0))),0)</f>
        <v>0</v>
      </c>
    </row>
    <row r="413" spans="1:11" x14ac:dyDescent="0.25">
      <c r="A413" s="109"/>
      <c r="B413" s="109"/>
      <c r="C413" s="109"/>
      <c r="D413" s="109"/>
      <c r="E413" s="109"/>
      <c r="F413" s="109"/>
      <c r="G413" s="109"/>
      <c r="H413" s="109"/>
      <c r="I413" s="68"/>
      <c r="J413">
        <f>IF('House Count'!H413="Y",IF('House Count'!F413="RES-SFU",1,IF('House Count'!F413="RES-MDU",1,IF('House Count'!F413="RES-HOA",1,0))),0)</f>
        <v>0</v>
      </c>
      <c r="K413">
        <f>IF('House Count'!H413="Y",IF('House Count'!F413="COMM-SU",1,IF('House Count'!F413="COM-MTU",1,IF('House Count'!F413="ENT",1,0))),0)</f>
        <v>0</v>
      </c>
    </row>
    <row r="414" spans="1:11" x14ac:dyDescent="0.25">
      <c r="A414" s="109"/>
      <c r="B414" s="109"/>
      <c r="C414" s="109"/>
      <c r="D414" s="109"/>
      <c r="E414" s="109"/>
      <c r="F414" s="109"/>
      <c r="G414" s="109"/>
      <c r="H414" s="109"/>
      <c r="I414" s="68"/>
      <c r="J414">
        <f>IF('House Count'!H414="Y",IF('House Count'!F414="RES-SFU",1,IF('House Count'!F414="RES-MDU",1,IF('House Count'!F414="RES-HOA",1,0))),0)</f>
        <v>0</v>
      </c>
      <c r="K414">
        <f>IF('House Count'!H414="Y",IF('House Count'!F414="COMM-SU",1,IF('House Count'!F414="COM-MTU",1,IF('House Count'!F414="ENT",1,0))),0)</f>
        <v>0</v>
      </c>
    </row>
    <row r="415" spans="1:11" x14ac:dyDescent="0.25">
      <c r="A415" s="109"/>
      <c r="B415" s="109"/>
      <c r="C415" s="109"/>
      <c r="D415" s="109"/>
      <c r="E415" s="109"/>
      <c r="F415" s="109"/>
      <c r="G415" s="109"/>
      <c r="H415" s="109"/>
      <c r="I415" s="68"/>
      <c r="J415">
        <f>IF('House Count'!H415="Y",IF('House Count'!F415="RES-SFU",1,IF('House Count'!F415="RES-MDU",1,IF('House Count'!F415="RES-HOA",1,0))),0)</f>
        <v>0</v>
      </c>
      <c r="K415">
        <f>IF('House Count'!H415="Y",IF('House Count'!F415="COMM-SU",1,IF('House Count'!F415="COM-MTU",1,IF('House Count'!F415="ENT",1,0))),0)</f>
        <v>0</v>
      </c>
    </row>
    <row r="416" spans="1:11" x14ac:dyDescent="0.25">
      <c r="A416" s="109"/>
      <c r="B416" s="109"/>
      <c r="C416" s="109"/>
      <c r="D416" s="109"/>
      <c r="E416" s="109"/>
      <c r="F416" s="109"/>
      <c r="G416" s="109"/>
      <c r="H416" s="109"/>
      <c r="I416" s="68"/>
      <c r="J416">
        <f>IF('House Count'!H416="Y",IF('House Count'!F416="RES-SFU",1,IF('House Count'!F416="RES-MDU",1,IF('House Count'!F416="RES-HOA",1,0))),0)</f>
        <v>0</v>
      </c>
      <c r="K416">
        <f>IF('House Count'!H416="Y",IF('House Count'!F416="COMM-SU",1,IF('House Count'!F416="COM-MTU",1,IF('House Count'!F416="ENT",1,0))),0)</f>
        <v>0</v>
      </c>
    </row>
    <row r="417" spans="1:11" x14ac:dyDescent="0.25">
      <c r="A417" s="109"/>
      <c r="B417" s="109"/>
      <c r="C417" s="109"/>
      <c r="D417" s="109"/>
      <c r="E417" s="109"/>
      <c r="F417" s="109"/>
      <c r="G417" s="109"/>
      <c r="H417" s="109"/>
      <c r="I417" s="68"/>
      <c r="J417">
        <f>IF('House Count'!H417="Y",IF('House Count'!F417="RES-SFU",1,IF('House Count'!F417="RES-MDU",1,IF('House Count'!F417="RES-HOA",1,0))),0)</f>
        <v>0</v>
      </c>
      <c r="K417">
        <f>IF('House Count'!H417="Y",IF('House Count'!F417="COMM-SU",1,IF('House Count'!F417="COM-MTU",1,IF('House Count'!F417="ENT",1,0))),0)</f>
        <v>0</v>
      </c>
    </row>
    <row r="418" spans="1:11" x14ac:dyDescent="0.25">
      <c r="A418" s="109"/>
      <c r="B418" s="109"/>
      <c r="C418" s="109"/>
      <c r="D418" s="109"/>
      <c r="E418" s="109"/>
      <c r="F418" s="109"/>
      <c r="G418" s="109"/>
      <c r="H418" s="109"/>
      <c r="I418" s="68"/>
      <c r="J418">
        <f>IF('House Count'!H418="Y",IF('House Count'!F418="RES-SFU",1,IF('House Count'!F418="RES-MDU",1,IF('House Count'!F418="RES-HOA",1,0))),0)</f>
        <v>0</v>
      </c>
      <c r="K418">
        <f>IF('House Count'!H418="Y",IF('House Count'!F418="COMM-SU",1,IF('House Count'!F418="COM-MTU",1,IF('House Count'!F418="ENT",1,0))),0)</f>
        <v>0</v>
      </c>
    </row>
    <row r="419" spans="1:11" x14ac:dyDescent="0.25">
      <c r="A419" s="109"/>
      <c r="B419" s="109"/>
      <c r="C419" s="109"/>
      <c r="D419" s="109"/>
      <c r="E419" s="109"/>
      <c r="F419" s="109"/>
      <c r="G419" s="109"/>
      <c r="H419" s="109"/>
      <c r="I419" s="68"/>
      <c r="J419">
        <f>IF('House Count'!H419="Y",IF('House Count'!F419="RES-SFU",1,IF('House Count'!F419="RES-MDU",1,IF('House Count'!F419="RES-HOA",1,0))),0)</f>
        <v>0</v>
      </c>
      <c r="K419">
        <f>IF('House Count'!H419="Y",IF('House Count'!F419="COMM-SU",1,IF('House Count'!F419="COM-MTU",1,IF('House Count'!F419="ENT",1,0))),0)</f>
        <v>0</v>
      </c>
    </row>
    <row r="420" spans="1:11" x14ac:dyDescent="0.25">
      <c r="A420" s="109"/>
      <c r="B420" s="109"/>
      <c r="C420" s="109"/>
      <c r="D420" s="109"/>
      <c r="E420" s="109"/>
      <c r="F420" s="109"/>
      <c r="G420" s="109"/>
      <c r="H420" s="109"/>
      <c r="I420" s="68"/>
      <c r="J420">
        <f>IF('House Count'!H420="Y",IF('House Count'!F420="RES-SFU",1,IF('House Count'!F420="RES-MDU",1,IF('House Count'!F420="RES-HOA",1,0))),0)</f>
        <v>0</v>
      </c>
      <c r="K420">
        <f>IF('House Count'!H420="Y",IF('House Count'!F420="COMM-SU",1,IF('House Count'!F420="COM-MTU",1,IF('House Count'!F420="ENT",1,0))),0)</f>
        <v>0</v>
      </c>
    </row>
    <row r="421" spans="1:11" ht="15.75" thickBot="1" x14ac:dyDescent="0.3">
      <c r="A421" s="545"/>
      <c r="B421" s="545"/>
      <c r="C421" s="545"/>
      <c r="D421" s="545"/>
      <c r="E421" s="545"/>
      <c r="F421" s="545"/>
      <c r="G421" s="545"/>
      <c r="H421" s="545"/>
      <c r="I421" s="546"/>
      <c r="J421">
        <f>IF('House Count'!H421="Y",IF('House Count'!F421="RES-SFU",1,IF('House Count'!F421="RES-MDU",1,IF('House Count'!F421="RES-HOA",1,0))),0)</f>
        <v>0</v>
      </c>
      <c r="K421">
        <f>IF('House Count'!H421="Y",IF('House Count'!F421="COMM-SU",1,IF('House Count'!F421="COM-MTU",1,IF('House Count'!F421="ENT",1,0))),0)</f>
        <v>0</v>
      </c>
    </row>
    <row r="422" spans="1:11" ht="15.75" thickTop="1" x14ac:dyDescent="0.25">
      <c r="A422" s="109"/>
      <c r="B422" s="109"/>
      <c r="C422" s="109"/>
      <c r="D422" s="109"/>
      <c r="E422" s="109"/>
      <c r="F422" s="109"/>
      <c r="G422" s="109"/>
      <c r="H422" s="109"/>
      <c r="I422" s="68"/>
      <c r="J422">
        <f>IF('House Count'!H422="Y",IF('House Count'!F422="RES-SFU",1,IF('House Count'!F422="RES-MDU",1,IF('House Count'!F422="RES-HOA",1,0))),0)</f>
        <v>0</v>
      </c>
      <c r="K422">
        <f>IF('House Count'!H422="Y",IF('House Count'!F422="COMM-SU",1,IF('House Count'!F422="COM-MTU",1,IF('House Count'!F422="ENT",1,0))),0)</f>
        <v>0</v>
      </c>
    </row>
    <row r="423" spans="1:11" x14ac:dyDescent="0.25">
      <c r="A423" s="109"/>
      <c r="B423" s="109"/>
      <c r="C423" s="109"/>
      <c r="D423" s="109"/>
      <c r="E423" s="109"/>
      <c r="F423" s="109"/>
      <c r="G423" s="109"/>
      <c r="H423" s="109"/>
      <c r="I423" s="68"/>
      <c r="J423">
        <f>IF('House Count'!H423="Y",IF('House Count'!F423="RES-SFU",1,IF('House Count'!F423="RES-MDU",1,IF('House Count'!F423="RES-HOA",1,0))),0)</f>
        <v>0</v>
      </c>
      <c r="K423">
        <f>IF('House Count'!H423="Y",IF('House Count'!F423="COMM-SU",1,IF('House Count'!F423="COM-MTU",1,IF('House Count'!F423="ENT",1,0))),0)</f>
        <v>0</v>
      </c>
    </row>
    <row r="424" spans="1:11" x14ac:dyDescent="0.25">
      <c r="A424" s="109"/>
      <c r="B424" s="109"/>
      <c r="C424" s="109"/>
      <c r="D424" s="109"/>
      <c r="E424" s="109"/>
      <c r="F424" s="109"/>
      <c r="G424" s="109"/>
      <c r="H424" s="109"/>
      <c r="I424" s="68"/>
      <c r="J424">
        <f>IF('House Count'!H424="Y",IF('House Count'!F424="RES-SFU",1,IF('House Count'!F424="RES-MDU",1,IF('House Count'!F424="RES-HOA",1,0))),0)</f>
        <v>0</v>
      </c>
      <c r="K424">
        <f>IF('House Count'!H424="Y",IF('House Count'!F424="COMM-SU",1,IF('House Count'!F424="COM-MTU",1,IF('House Count'!F424="ENT",1,0))),0)</f>
        <v>0</v>
      </c>
    </row>
    <row r="425" spans="1:11" x14ac:dyDescent="0.25">
      <c r="A425" s="109"/>
      <c r="B425" s="109"/>
      <c r="C425" s="109"/>
      <c r="D425" s="109"/>
      <c r="E425" s="109"/>
      <c r="F425" s="109"/>
      <c r="G425" s="109"/>
      <c r="H425" s="109"/>
      <c r="I425" s="68"/>
      <c r="J425">
        <f>IF('House Count'!H425="Y",IF('House Count'!F425="RES-SFU",1,IF('House Count'!F425="RES-MDU",1,IF('House Count'!F425="RES-HOA",1,0))),0)</f>
        <v>0</v>
      </c>
      <c r="K425">
        <f>IF('House Count'!H425="Y",IF('House Count'!F425="COMM-SU",1,IF('House Count'!F425="COM-MTU",1,IF('House Count'!F425="ENT",1,0))),0)</f>
        <v>0</v>
      </c>
    </row>
    <row r="426" spans="1:11" x14ac:dyDescent="0.25">
      <c r="A426" s="109"/>
      <c r="B426" s="109"/>
      <c r="C426" s="109"/>
      <c r="D426" s="109"/>
      <c r="E426" s="109"/>
      <c r="F426" s="109"/>
      <c r="G426" s="109"/>
      <c r="H426" s="109"/>
      <c r="I426" s="68"/>
      <c r="J426">
        <f>IF('House Count'!H426="Y",IF('House Count'!F426="RES-SFU",1,IF('House Count'!F426="RES-MDU",1,IF('House Count'!F426="RES-HOA",1,0))),0)</f>
        <v>0</v>
      </c>
      <c r="K426">
        <f>IF('House Count'!H426="Y",IF('House Count'!F426="COMM-SU",1,IF('House Count'!F426="COM-MTU",1,IF('House Count'!F426="ENT",1,0))),0)</f>
        <v>0</v>
      </c>
    </row>
    <row r="427" spans="1:11" x14ac:dyDescent="0.25">
      <c r="A427" s="109"/>
      <c r="B427" s="109"/>
      <c r="C427" s="109"/>
      <c r="D427" s="109"/>
      <c r="E427" s="109"/>
      <c r="F427" s="109"/>
      <c r="G427" s="109"/>
      <c r="H427" s="109"/>
      <c r="I427" s="68"/>
      <c r="J427">
        <f>IF('House Count'!H427="Y",IF('House Count'!F427="RES-SFU",1,IF('House Count'!F427="RES-MDU",1,IF('House Count'!F427="RES-HOA",1,0))),0)</f>
        <v>0</v>
      </c>
      <c r="K427">
        <f>IF('House Count'!H427="Y",IF('House Count'!F427="COMM-SU",1,IF('House Count'!F427="COM-MTU",1,IF('House Count'!F427="ENT",1,0))),0)</f>
        <v>0</v>
      </c>
    </row>
    <row r="428" spans="1:11" x14ac:dyDescent="0.25">
      <c r="A428" s="109"/>
      <c r="B428" s="109"/>
      <c r="C428" s="109"/>
      <c r="D428" s="109"/>
      <c r="E428" s="109"/>
      <c r="F428" s="109"/>
      <c r="G428" s="109"/>
      <c r="H428" s="109"/>
      <c r="I428" s="68"/>
      <c r="J428">
        <f>IF('House Count'!H428="Y",IF('House Count'!F428="RES-SFU",1,IF('House Count'!F428="RES-MDU",1,IF('House Count'!F428="RES-HOA",1,0))),0)</f>
        <v>0</v>
      </c>
      <c r="K428">
        <f>IF('House Count'!H428="Y",IF('House Count'!F428="COMM-SU",1,IF('House Count'!F428="COM-MTU",1,IF('House Count'!F428="ENT",1,0))),0)</f>
        <v>0</v>
      </c>
    </row>
    <row r="429" spans="1:11" x14ac:dyDescent="0.25">
      <c r="A429" s="109"/>
      <c r="B429" s="109"/>
      <c r="C429" s="109"/>
      <c r="D429" s="109"/>
      <c r="E429" s="109"/>
      <c r="F429" s="109"/>
      <c r="G429" s="109"/>
      <c r="H429" s="109"/>
      <c r="I429" s="68"/>
      <c r="J429">
        <f>IF('House Count'!H429="Y",IF('House Count'!F429="RES-SFU",1,IF('House Count'!F429="RES-MDU",1,IF('House Count'!F429="RES-HOA",1,0))),0)</f>
        <v>0</v>
      </c>
      <c r="K429">
        <f>IF('House Count'!H429="Y",IF('House Count'!F429="COMM-SU",1,IF('House Count'!F429="COM-MTU",1,IF('House Count'!F429="ENT",1,0))),0)</f>
        <v>0</v>
      </c>
    </row>
    <row r="430" spans="1:11" x14ac:dyDescent="0.25">
      <c r="A430" s="109"/>
      <c r="B430" s="109"/>
      <c r="C430" s="109"/>
      <c r="D430" s="109"/>
      <c r="E430" s="109"/>
      <c r="F430" s="109"/>
      <c r="G430" s="109"/>
      <c r="H430" s="109"/>
      <c r="I430" s="68"/>
      <c r="J430">
        <f>IF('House Count'!H430="Y",IF('House Count'!F430="RES-SFU",1,IF('House Count'!F430="RES-MDU",1,IF('House Count'!F430="RES-HOA",1,0))),0)</f>
        <v>0</v>
      </c>
      <c r="K430">
        <f>IF('House Count'!H430="Y",IF('House Count'!F430="COMM-SU",1,IF('House Count'!F430="COM-MTU",1,IF('House Count'!F430="ENT",1,0))),0)</f>
        <v>0</v>
      </c>
    </row>
    <row r="431" spans="1:11" x14ac:dyDescent="0.25">
      <c r="A431" s="109"/>
      <c r="B431" s="109"/>
      <c r="C431" s="109"/>
      <c r="D431" s="109"/>
      <c r="E431" s="109"/>
      <c r="F431" s="109"/>
      <c r="G431" s="109"/>
      <c r="H431" s="109"/>
      <c r="I431" s="68"/>
      <c r="J431">
        <f>IF('House Count'!H431="Y",IF('House Count'!F431="RES-SFU",1,IF('House Count'!F431="RES-MDU",1,IF('House Count'!F431="RES-HOA",1,0))),0)</f>
        <v>0</v>
      </c>
      <c r="K431">
        <f>IF('House Count'!H431="Y",IF('House Count'!F431="COMM-SU",1,IF('House Count'!F431="COM-MTU",1,IF('House Count'!F431="ENT",1,0))),0)</f>
        <v>0</v>
      </c>
    </row>
    <row r="432" spans="1:11" x14ac:dyDescent="0.25">
      <c r="A432" s="109"/>
      <c r="B432" s="109"/>
      <c r="C432" s="109"/>
      <c r="D432" s="109"/>
      <c r="E432" s="109"/>
      <c r="F432" s="109"/>
      <c r="G432" s="109"/>
      <c r="H432" s="109"/>
      <c r="I432" s="68"/>
      <c r="J432">
        <f>IF('House Count'!H432="Y",IF('House Count'!F432="RES-SFU",1,IF('House Count'!F432="RES-MDU",1,IF('House Count'!F432="RES-HOA",1,0))),0)</f>
        <v>0</v>
      </c>
      <c r="K432">
        <f>IF('House Count'!H432="Y",IF('House Count'!F432="COMM-SU",1,IF('House Count'!F432="COM-MTU",1,IF('House Count'!F432="ENT",1,0))),0)</f>
        <v>0</v>
      </c>
    </row>
    <row r="433" spans="1:11" ht="15.75" thickBot="1" x14ac:dyDescent="0.3">
      <c r="A433" s="545"/>
      <c r="B433" s="545"/>
      <c r="C433" s="545"/>
      <c r="D433" s="545"/>
      <c r="E433" s="545"/>
      <c r="F433" s="545"/>
      <c r="G433" s="545"/>
      <c r="H433" s="545"/>
      <c r="I433" s="546"/>
      <c r="J433">
        <f>IF('House Count'!H433="Y",IF('House Count'!F433="RES-SFU",1,IF('House Count'!F433="RES-MDU",1,IF('House Count'!F433="RES-HOA",1,0))),0)</f>
        <v>0</v>
      </c>
      <c r="K433">
        <f>IF('House Count'!H433="Y",IF('House Count'!F433="COMM-SU",1,IF('House Count'!F433="COM-MTU",1,IF('House Count'!F433="ENT",1,0))),0)</f>
        <v>0</v>
      </c>
    </row>
    <row r="434" spans="1:11" ht="15.75" thickTop="1" x14ac:dyDescent="0.25">
      <c r="A434" s="109"/>
      <c r="B434" s="109"/>
      <c r="C434" s="109"/>
      <c r="D434" s="109"/>
      <c r="E434" s="109"/>
      <c r="F434" s="109"/>
      <c r="G434" s="109"/>
      <c r="H434" s="109"/>
      <c r="I434" s="68"/>
      <c r="J434">
        <f>IF('House Count'!H434="Y",IF('House Count'!F434="RES-SFU",1,IF('House Count'!F434="RES-MDU",1,IF('House Count'!F434="RES-HOA",1,0))),0)</f>
        <v>0</v>
      </c>
      <c r="K434">
        <f>IF('House Count'!H434="Y",IF('House Count'!F434="COMM-SU",1,IF('House Count'!F434="COM-MTU",1,IF('House Count'!F434="ENT",1,0))),0)</f>
        <v>0</v>
      </c>
    </row>
    <row r="435" spans="1:11" x14ac:dyDescent="0.25">
      <c r="A435" s="109"/>
      <c r="B435" s="109"/>
      <c r="C435" s="109"/>
      <c r="D435" s="109"/>
      <c r="E435" s="109"/>
      <c r="F435" s="109"/>
      <c r="G435" s="109"/>
      <c r="H435" s="109"/>
      <c r="I435" s="68"/>
      <c r="J435">
        <f>IF('House Count'!H435="Y",IF('House Count'!F435="RES-SFU",1,IF('House Count'!F435="RES-MDU",1,IF('House Count'!F435="RES-HOA",1,0))),0)</f>
        <v>0</v>
      </c>
      <c r="K435">
        <f>IF('House Count'!H435="Y",IF('House Count'!F435="COMM-SU",1,IF('House Count'!F435="COM-MTU",1,IF('House Count'!F435="ENT",1,0))),0)</f>
        <v>0</v>
      </c>
    </row>
    <row r="436" spans="1:11" x14ac:dyDescent="0.25">
      <c r="A436" s="109"/>
      <c r="B436" s="109"/>
      <c r="C436" s="109"/>
      <c r="D436" s="109"/>
      <c r="E436" s="109"/>
      <c r="F436" s="109"/>
      <c r="G436" s="109"/>
      <c r="H436" s="109"/>
      <c r="I436" s="68"/>
      <c r="J436">
        <f>IF('House Count'!H436="Y",IF('House Count'!F436="RES-SFU",1,IF('House Count'!F436="RES-MDU",1,IF('House Count'!F436="RES-HOA",1,0))),0)</f>
        <v>0</v>
      </c>
      <c r="K436">
        <f>IF('House Count'!H436="Y",IF('House Count'!F436="COMM-SU",1,IF('House Count'!F436="COM-MTU",1,IF('House Count'!F436="ENT",1,0))),0)</f>
        <v>0</v>
      </c>
    </row>
    <row r="437" spans="1:11" x14ac:dyDescent="0.25">
      <c r="A437" s="109"/>
      <c r="B437" s="109"/>
      <c r="C437" s="109"/>
      <c r="D437" s="109"/>
      <c r="E437" s="109"/>
      <c r="F437" s="109"/>
      <c r="G437" s="109"/>
      <c r="H437" s="109"/>
      <c r="I437" s="68"/>
      <c r="J437">
        <f>IF('House Count'!H437="Y",IF('House Count'!F437="RES-SFU",1,IF('House Count'!F437="RES-MDU",1,IF('House Count'!F437="RES-HOA",1,0))),0)</f>
        <v>0</v>
      </c>
      <c r="K437">
        <f>IF('House Count'!H437="Y",IF('House Count'!F437="COMM-SU",1,IF('House Count'!F437="COM-MTU",1,IF('House Count'!F437="ENT",1,0))),0)</f>
        <v>0</v>
      </c>
    </row>
    <row r="438" spans="1:11" x14ac:dyDescent="0.25">
      <c r="A438" s="109"/>
      <c r="B438" s="109"/>
      <c r="C438" s="109"/>
      <c r="D438" s="109"/>
      <c r="E438" s="109"/>
      <c r="F438" s="109"/>
      <c r="G438" s="109"/>
      <c r="H438" s="109"/>
      <c r="I438" s="68"/>
      <c r="J438">
        <f>IF('House Count'!H438="Y",IF('House Count'!F438="RES-SFU",1,IF('House Count'!F438="RES-MDU",1,IF('House Count'!F438="RES-HOA",1,0))),0)</f>
        <v>0</v>
      </c>
      <c r="K438">
        <f>IF('House Count'!H438="Y",IF('House Count'!F438="COMM-SU",1,IF('House Count'!F438="COM-MTU",1,IF('House Count'!F438="ENT",1,0))),0)</f>
        <v>0</v>
      </c>
    </row>
    <row r="439" spans="1:11" x14ac:dyDescent="0.25">
      <c r="A439" s="109"/>
      <c r="B439" s="109"/>
      <c r="C439" s="109"/>
      <c r="D439" s="109"/>
      <c r="E439" s="109"/>
      <c r="F439" s="109"/>
      <c r="G439" s="109"/>
      <c r="H439" s="109"/>
      <c r="I439" s="68"/>
      <c r="J439">
        <f>IF('House Count'!H439="Y",IF('House Count'!F439="RES-SFU",1,IF('House Count'!F439="RES-MDU",1,IF('House Count'!F439="RES-HOA",1,0))),0)</f>
        <v>0</v>
      </c>
      <c r="K439">
        <f>IF('House Count'!H439="Y",IF('House Count'!F439="COMM-SU",1,IF('House Count'!F439="COM-MTU",1,IF('House Count'!F439="ENT",1,0))),0)</f>
        <v>0</v>
      </c>
    </row>
    <row r="440" spans="1:11" x14ac:dyDescent="0.25">
      <c r="A440" s="109"/>
      <c r="B440" s="109"/>
      <c r="C440" s="109"/>
      <c r="D440" s="109"/>
      <c r="E440" s="109"/>
      <c r="F440" s="109"/>
      <c r="G440" s="109"/>
      <c r="H440" s="109"/>
      <c r="I440" s="68"/>
      <c r="J440">
        <f>IF('House Count'!H440="Y",IF('House Count'!F440="RES-SFU",1,IF('House Count'!F440="RES-MDU",1,IF('House Count'!F440="RES-HOA",1,0))),0)</f>
        <v>0</v>
      </c>
      <c r="K440">
        <f>IF('House Count'!H440="Y",IF('House Count'!F440="COMM-SU",1,IF('House Count'!F440="COM-MTU",1,IF('House Count'!F440="ENT",1,0))),0)</f>
        <v>0</v>
      </c>
    </row>
    <row r="441" spans="1:11" x14ac:dyDescent="0.25">
      <c r="A441" s="109"/>
      <c r="B441" s="109"/>
      <c r="C441" s="109"/>
      <c r="D441" s="109"/>
      <c r="E441" s="109"/>
      <c r="F441" s="109"/>
      <c r="G441" s="109"/>
      <c r="H441" s="109"/>
      <c r="I441" s="68"/>
      <c r="J441">
        <f>IF('House Count'!H441="Y",IF('House Count'!F441="RES-SFU",1,IF('House Count'!F441="RES-MDU",1,IF('House Count'!F441="RES-HOA",1,0))),0)</f>
        <v>0</v>
      </c>
      <c r="K441">
        <f>IF('House Count'!H441="Y",IF('House Count'!F441="COMM-SU",1,IF('House Count'!F441="COM-MTU",1,IF('House Count'!F441="ENT",1,0))),0)</f>
        <v>0</v>
      </c>
    </row>
    <row r="442" spans="1:11" x14ac:dyDescent="0.25">
      <c r="A442" s="109"/>
      <c r="B442" s="109"/>
      <c r="C442" s="109"/>
      <c r="D442" s="109"/>
      <c r="E442" s="109"/>
      <c r="F442" s="109"/>
      <c r="G442" s="109"/>
      <c r="H442" s="109"/>
      <c r="I442" s="68"/>
      <c r="J442">
        <f>IF('House Count'!H442="Y",IF('House Count'!F442="RES-SFU",1,IF('House Count'!F442="RES-MDU",1,IF('House Count'!F442="RES-HOA",1,0))),0)</f>
        <v>0</v>
      </c>
      <c r="K442">
        <f>IF('House Count'!H442="Y",IF('House Count'!F442="COMM-SU",1,IF('House Count'!F442="COM-MTU",1,IF('House Count'!F442="ENT",1,0))),0)</f>
        <v>0</v>
      </c>
    </row>
    <row r="443" spans="1:11" x14ac:dyDescent="0.25">
      <c r="A443" s="109"/>
      <c r="B443" s="109"/>
      <c r="C443" s="109"/>
      <c r="D443" s="109"/>
      <c r="E443" s="109"/>
      <c r="F443" s="109"/>
      <c r="G443" s="109"/>
      <c r="H443" s="109"/>
      <c r="I443" s="68"/>
      <c r="J443">
        <f>IF('House Count'!H443="Y",IF('House Count'!F443="RES-SFU",1,IF('House Count'!F443="RES-MDU",1,IF('House Count'!F443="RES-HOA",1,0))),0)</f>
        <v>0</v>
      </c>
      <c r="K443">
        <f>IF('House Count'!H443="Y",IF('House Count'!F443="COMM-SU",1,IF('House Count'!F443="COM-MTU",1,IF('House Count'!F443="ENT",1,0))),0)</f>
        <v>0</v>
      </c>
    </row>
    <row r="444" spans="1:11" x14ac:dyDescent="0.25">
      <c r="A444" s="109"/>
      <c r="B444" s="109"/>
      <c r="C444" s="109"/>
      <c r="D444" s="109"/>
      <c r="E444" s="109"/>
      <c r="F444" s="109"/>
      <c r="G444" s="109"/>
      <c r="H444" s="109"/>
      <c r="I444" s="68"/>
      <c r="J444">
        <f>IF('House Count'!H444="Y",IF('House Count'!F444="RES-SFU",1,IF('House Count'!F444="RES-MDU",1,IF('House Count'!F444="RES-HOA",1,0))),0)</f>
        <v>0</v>
      </c>
      <c r="K444">
        <f>IF('House Count'!H444="Y",IF('House Count'!F444="COMM-SU",1,IF('House Count'!F444="COM-MTU",1,IF('House Count'!F444="ENT",1,0))),0)</f>
        <v>0</v>
      </c>
    </row>
    <row r="445" spans="1:11" ht="15.75" thickBot="1" x14ac:dyDescent="0.3">
      <c r="A445" s="545"/>
      <c r="B445" s="545"/>
      <c r="C445" s="545"/>
      <c r="D445" s="545"/>
      <c r="E445" s="545"/>
      <c r="F445" s="545"/>
      <c r="G445" s="545"/>
      <c r="H445" s="545"/>
      <c r="I445" s="546"/>
      <c r="J445">
        <f>IF('House Count'!H445="Y",IF('House Count'!F445="RES-SFU",1,IF('House Count'!F445="RES-MDU",1,IF('House Count'!F445="RES-HOA",1,0))),0)</f>
        <v>0</v>
      </c>
      <c r="K445">
        <f>IF('House Count'!H445="Y",IF('House Count'!F445="COMM-SU",1,IF('House Count'!F445="COM-MTU",1,IF('House Count'!F445="ENT",1,0))),0)</f>
        <v>0</v>
      </c>
    </row>
    <row r="446" spans="1:11" ht="15.75" thickTop="1" x14ac:dyDescent="0.25">
      <c r="A446" s="109"/>
      <c r="B446" s="109"/>
      <c r="C446" s="109"/>
      <c r="D446" s="109"/>
      <c r="E446" s="109"/>
      <c r="F446" s="109"/>
      <c r="G446" s="109"/>
      <c r="H446" s="109"/>
      <c r="I446" s="68"/>
      <c r="J446">
        <f>IF('House Count'!H446="Y",IF('House Count'!F446="RES-SFU",1,IF('House Count'!F446="RES-MDU",1,IF('House Count'!F446="RES-HOA",1,0))),0)</f>
        <v>0</v>
      </c>
      <c r="K446">
        <f>IF('House Count'!H446="Y",IF('House Count'!F446="COMM-SU",1,IF('House Count'!F446="COM-MTU",1,IF('House Count'!F446="ENT",1,0))),0)</f>
        <v>0</v>
      </c>
    </row>
    <row r="447" spans="1:11" x14ac:dyDescent="0.25">
      <c r="A447" s="109"/>
      <c r="B447" s="109"/>
      <c r="C447" s="109"/>
      <c r="D447" s="109"/>
      <c r="E447" s="109"/>
      <c r="F447" s="109"/>
      <c r="G447" s="109"/>
      <c r="H447" s="109"/>
      <c r="I447" s="68"/>
      <c r="J447">
        <f>IF('House Count'!H447="Y",IF('House Count'!F447="RES-SFU",1,IF('House Count'!F447="RES-MDU",1,IF('House Count'!F447="RES-HOA",1,0))),0)</f>
        <v>0</v>
      </c>
      <c r="K447">
        <f>IF('House Count'!H447="Y",IF('House Count'!F447="COMM-SU",1,IF('House Count'!F447="COM-MTU",1,IF('House Count'!F447="ENT",1,0))),0)</f>
        <v>0</v>
      </c>
    </row>
    <row r="448" spans="1:11" x14ac:dyDescent="0.25">
      <c r="A448" s="109"/>
      <c r="B448" s="109"/>
      <c r="C448" s="109"/>
      <c r="D448" s="109"/>
      <c r="E448" s="109"/>
      <c r="F448" s="109"/>
      <c r="G448" s="109"/>
      <c r="H448" s="109"/>
      <c r="I448" s="68"/>
      <c r="J448">
        <f>IF('House Count'!H448="Y",IF('House Count'!F448="RES-SFU",1,IF('House Count'!F448="RES-MDU",1,IF('House Count'!F448="RES-HOA",1,0))),0)</f>
        <v>0</v>
      </c>
      <c r="K448">
        <f>IF('House Count'!H448="Y",IF('House Count'!F448="COMM-SU",1,IF('House Count'!F448="COM-MTU",1,IF('House Count'!F448="ENT",1,0))),0)</f>
        <v>0</v>
      </c>
    </row>
    <row r="449" spans="1:11" x14ac:dyDescent="0.25">
      <c r="A449" s="109"/>
      <c r="B449" s="109"/>
      <c r="C449" s="109"/>
      <c r="D449" s="109"/>
      <c r="E449" s="109"/>
      <c r="F449" s="109"/>
      <c r="G449" s="109"/>
      <c r="H449" s="109"/>
      <c r="I449" s="68"/>
      <c r="J449">
        <f>IF('House Count'!H449="Y",IF('House Count'!F449="RES-SFU",1,IF('House Count'!F449="RES-MDU",1,IF('House Count'!F449="RES-HOA",1,0))),0)</f>
        <v>0</v>
      </c>
      <c r="K449">
        <f>IF('House Count'!H449="Y",IF('House Count'!F449="COMM-SU",1,IF('House Count'!F449="COM-MTU",1,IF('House Count'!F449="ENT",1,0))),0)</f>
        <v>0</v>
      </c>
    </row>
    <row r="450" spans="1:11" x14ac:dyDescent="0.25">
      <c r="A450" s="109"/>
      <c r="B450" s="109"/>
      <c r="C450" s="109"/>
      <c r="D450" s="109"/>
      <c r="E450" s="109"/>
      <c r="F450" s="109"/>
      <c r="G450" s="109"/>
      <c r="H450" s="109"/>
      <c r="I450" s="68"/>
      <c r="J450">
        <f>IF('House Count'!H450="Y",IF('House Count'!F450="RES-SFU",1,IF('House Count'!F450="RES-MDU",1,IF('House Count'!F450="RES-HOA",1,0))),0)</f>
        <v>0</v>
      </c>
      <c r="K450">
        <f>IF('House Count'!H450="Y",IF('House Count'!F450="COMM-SU",1,IF('House Count'!F450="COM-MTU",1,IF('House Count'!F450="ENT",1,0))),0)</f>
        <v>0</v>
      </c>
    </row>
    <row r="451" spans="1:11" x14ac:dyDescent="0.25">
      <c r="A451" s="109"/>
      <c r="B451" s="109"/>
      <c r="C451" s="109"/>
      <c r="D451" s="109"/>
      <c r="E451" s="109"/>
      <c r="F451" s="109"/>
      <c r="G451" s="109"/>
      <c r="H451" s="109"/>
      <c r="I451" s="68"/>
      <c r="J451">
        <f>IF('House Count'!H451="Y",IF('House Count'!F451="RES-SFU",1,IF('House Count'!F451="RES-MDU",1,IF('House Count'!F451="RES-HOA",1,0))),0)</f>
        <v>0</v>
      </c>
      <c r="K451">
        <f>IF('House Count'!H451="Y",IF('House Count'!F451="COMM-SU",1,IF('House Count'!F451="COM-MTU",1,IF('House Count'!F451="ENT",1,0))),0)</f>
        <v>0</v>
      </c>
    </row>
    <row r="452" spans="1:11" x14ac:dyDescent="0.25">
      <c r="A452" s="109"/>
      <c r="B452" s="109"/>
      <c r="C452" s="109"/>
      <c r="D452" s="109"/>
      <c r="E452" s="109"/>
      <c r="F452" s="109"/>
      <c r="G452" s="109"/>
      <c r="H452" s="109"/>
      <c r="I452" s="68"/>
      <c r="J452">
        <f>IF('House Count'!H452="Y",IF('House Count'!F452="RES-SFU",1,IF('House Count'!F452="RES-MDU",1,IF('House Count'!F452="RES-HOA",1,0))),0)</f>
        <v>0</v>
      </c>
      <c r="K452">
        <f>IF('House Count'!H452="Y",IF('House Count'!F452="COMM-SU",1,IF('House Count'!F452="COM-MTU",1,IF('House Count'!F452="ENT",1,0))),0)</f>
        <v>0</v>
      </c>
    </row>
    <row r="453" spans="1:11" x14ac:dyDescent="0.25">
      <c r="A453" s="109"/>
      <c r="B453" s="109"/>
      <c r="C453" s="109"/>
      <c r="D453" s="109"/>
      <c r="E453" s="109"/>
      <c r="F453" s="109"/>
      <c r="G453" s="109"/>
      <c r="H453" s="109"/>
      <c r="I453" s="68"/>
      <c r="J453">
        <f>IF('House Count'!H453="Y",IF('House Count'!F453="RES-SFU",1,IF('House Count'!F453="RES-MDU",1,IF('House Count'!F453="RES-HOA",1,0))),0)</f>
        <v>0</v>
      </c>
      <c r="K453">
        <f>IF('House Count'!H453="Y",IF('House Count'!F453="COMM-SU",1,IF('House Count'!F453="COM-MTU",1,IF('House Count'!F453="ENT",1,0))),0)</f>
        <v>0</v>
      </c>
    </row>
    <row r="454" spans="1:11" x14ac:dyDescent="0.25">
      <c r="A454" s="109"/>
      <c r="B454" s="109"/>
      <c r="C454" s="109"/>
      <c r="D454" s="109"/>
      <c r="E454" s="109"/>
      <c r="F454" s="109"/>
      <c r="G454" s="109"/>
      <c r="H454" s="109"/>
      <c r="I454" s="68"/>
      <c r="J454">
        <f>IF('House Count'!H454="Y",IF('House Count'!F454="RES-SFU",1,IF('House Count'!F454="RES-MDU",1,IF('House Count'!F454="RES-HOA",1,0))),0)</f>
        <v>0</v>
      </c>
      <c r="K454">
        <f>IF('House Count'!H454="Y",IF('House Count'!F454="COMM-SU",1,IF('House Count'!F454="COM-MTU",1,IF('House Count'!F454="ENT",1,0))),0)</f>
        <v>0</v>
      </c>
    </row>
    <row r="455" spans="1:11" x14ac:dyDescent="0.25">
      <c r="A455" s="109"/>
      <c r="B455" s="109"/>
      <c r="C455" s="109"/>
      <c r="D455" s="109"/>
      <c r="E455" s="109"/>
      <c r="F455" s="109"/>
      <c r="G455" s="109"/>
      <c r="H455" s="109"/>
      <c r="I455" s="68"/>
      <c r="J455">
        <f>IF('House Count'!H455="Y",IF('House Count'!F455="RES-SFU",1,IF('House Count'!F455="RES-MDU",1,IF('House Count'!F455="RES-HOA",1,0))),0)</f>
        <v>0</v>
      </c>
      <c r="K455">
        <f>IF('House Count'!H455="Y",IF('House Count'!F455="COMM-SU",1,IF('House Count'!F455="COM-MTU",1,IF('House Count'!F455="ENT",1,0))),0)</f>
        <v>0</v>
      </c>
    </row>
    <row r="456" spans="1:11" x14ac:dyDescent="0.25">
      <c r="A456" s="109"/>
      <c r="B456" s="109"/>
      <c r="C456" s="109"/>
      <c r="D456" s="109"/>
      <c r="E456" s="109"/>
      <c r="F456" s="109"/>
      <c r="G456" s="109"/>
      <c r="H456" s="109"/>
      <c r="I456" s="68"/>
      <c r="J456">
        <f>IF('House Count'!H456="Y",IF('House Count'!F456="RES-SFU",1,IF('House Count'!F456="RES-MDU",1,IF('House Count'!F456="RES-HOA",1,0))),0)</f>
        <v>0</v>
      </c>
      <c r="K456">
        <f>IF('House Count'!H456="Y",IF('House Count'!F456="COMM-SU",1,IF('House Count'!F456="COM-MTU",1,IF('House Count'!F456="ENT",1,0))),0)</f>
        <v>0</v>
      </c>
    </row>
    <row r="457" spans="1:11" ht="15.75" thickBot="1" x14ac:dyDescent="0.3">
      <c r="A457" s="545"/>
      <c r="B457" s="545"/>
      <c r="C457" s="545"/>
      <c r="D457" s="545"/>
      <c r="E457" s="545"/>
      <c r="F457" s="545"/>
      <c r="G457" s="545"/>
      <c r="H457" s="545"/>
      <c r="I457" s="546"/>
      <c r="J457">
        <f>IF('House Count'!H457="Y",IF('House Count'!F457="RES-SFU",1,IF('House Count'!F457="RES-MDU",1,IF('House Count'!F457="RES-HOA",1,0))),0)</f>
        <v>0</v>
      </c>
      <c r="K457">
        <f>IF('House Count'!H457="Y",IF('House Count'!F457="COMM-SU",1,IF('House Count'!F457="COM-MTU",1,IF('House Count'!F457="ENT",1,0))),0)</f>
        <v>0</v>
      </c>
    </row>
    <row r="458" spans="1:11" ht="15.75" thickTop="1" x14ac:dyDescent="0.25">
      <c r="A458" s="109"/>
      <c r="B458" s="109"/>
      <c r="C458" s="109"/>
      <c r="D458" s="109"/>
      <c r="E458" s="109"/>
      <c r="F458" s="109"/>
      <c r="G458" s="109"/>
      <c r="H458" s="109"/>
      <c r="I458" s="68"/>
      <c r="J458">
        <f>IF('House Count'!H458="Y",IF('House Count'!F458="RES-SFU",1,IF('House Count'!F458="RES-MDU",1,IF('House Count'!F458="RES-HOA",1,0))),0)</f>
        <v>0</v>
      </c>
      <c r="K458">
        <f>IF('House Count'!H458="Y",IF('House Count'!F458="COMM-SU",1,IF('House Count'!F458="COM-MTU",1,IF('House Count'!F458="ENT",1,0))),0)</f>
        <v>0</v>
      </c>
    </row>
    <row r="459" spans="1:11" x14ac:dyDescent="0.25">
      <c r="A459" s="109"/>
      <c r="B459" s="109"/>
      <c r="C459" s="109"/>
      <c r="D459" s="109"/>
      <c r="E459" s="109"/>
      <c r="F459" s="109"/>
      <c r="G459" s="109"/>
      <c r="H459" s="109"/>
      <c r="I459" s="68"/>
      <c r="J459">
        <f>IF('House Count'!H459="Y",IF('House Count'!F459="RES-SFU",1,IF('House Count'!F459="RES-MDU",1,IF('House Count'!F459="RES-HOA",1,0))),0)</f>
        <v>0</v>
      </c>
      <c r="K459">
        <f>IF('House Count'!H459="Y",IF('House Count'!F459="COMM-SU",1,IF('House Count'!F459="COM-MTU",1,IF('House Count'!F459="ENT",1,0))),0)</f>
        <v>0</v>
      </c>
    </row>
    <row r="460" spans="1:11" x14ac:dyDescent="0.25">
      <c r="A460" s="109"/>
      <c r="B460" s="109"/>
      <c r="C460" s="109"/>
      <c r="D460" s="109"/>
      <c r="E460" s="109"/>
      <c r="F460" s="109"/>
      <c r="G460" s="109"/>
      <c r="H460" s="109"/>
      <c r="I460" s="68"/>
      <c r="J460">
        <f>IF('House Count'!H460="Y",IF('House Count'!F460="RES-SFU",1,IF('House Count'!F460="RES-MDU",1,IF('House Count'!F460="RES-HOA",1,0))),0)</f>
        <v>0</v>
      </c>
      <c r="K460">
        <f>IF('House Count'!H460="Y",IF('House Count'!F460="COMM-SU",1,IF('House Count'!F460="COM-MTU",1,IF('House Count'!F460="ENT",1,0))),0)</f>
        <v>0</v>
      </c>
    </row>
    <row r="461" spans="1:11" x14ac:dyDescent="0.25">
      <c r="A461" s="109"/>
      <c r="B461" s="109"/>
      <c r="C461" s="109"/>
      <c r="D461" s="109"/>
      <c r="E461" s="109"/>
      <c r="F461" s="109"/>
      <c r="G461" s="109"/>
      <c r="H461" s="109"/>
      <c r="I461" s="68"/>
      <c r="J461">
        <f>IF('House Count'!H461="Y",IF('House Count'!F461="RES-SFU",1,IF('House Count'!F461="RES-MDU",1,IF('House Count'!F461="RES-HOA",1,0))),0)</f>
        <v>0</v>
      </c>
      <c r="K461">
        <f>IF('House Count'!H461="Y",IF('House Count'!F461="COMM-SU",1,IF('House Count'!F461="COM-MTU",1,IF('House Count'!F461="ENT",1,0))),0)</f>
        <v>0</v>
      </c>
    </row>
    <row r="462" spans="1:11" x14ac:dyDescent="0.25">
      <c r="A462" s="109"/>
      <c r="B462" s="109"/>
      <c r="C462" s="109"/>
      <c r="D462" s="109"/>
      <c r="E462" s="109"/>
      <c r="F462" s="109"/>
      <c r="G462" s="109"/>
      <c r="H462" s="109"/>
      <c r="I462" s="68"/>
      <c r="J462">
        <f>IF('House Count'!H462="Y",IF('House Count'!F462="RES-SFU",1,IF('House Count'!F462="RES-MDU",1,IF('House Count'!F462="RES-HOA",1,0))),0)</f>
        <v>0</v>
      </c>
      <c r="K462">
        <f>IF('House Count'!H462="Y",IF('House Count'!F462="COMM-SU",1,IF('House Count'!F462="COM-MTU",1,IF('House Count'!F462="ENT",1,0))),0)</f>
        <v>0</v>
      </c>
    </row>
    <row r="463" spans="1:11" x14ac:dyDescent="0.25">
      <c r="A463" s="109"/>
      <c r="B463" s="109"/>
      <c r="C463" s="109"/>
      <c r="D463" s="109"/>
      <c r="E463" s="109"/>
      <c r="F463" s="109"/>
      <c r="G463" s="109"/>
      <c r="H463" s="109"/>
      <c r="I463" s="68"/>
      <c r="J463">
        <f>IF('House Count'!H463="Y",IF('House Count'!F463="RES-SFU",1,IF('House Count'!F463="RES-MDU",1,IF('House Count'!F463="RES-HOA",1,0))),0)</f>
        <v>0</v>
      </c>
      <c r="K463">
        <f>IF('House Count'!H463="Y",IF('House Count'!F463="COMM-SU",1,IF('House Count'!F463="COM-MTU",1,IF('House Count'!F463="ENT",1,0))),0)</f>
        <v>0</v>
      </c>
    </row>
    <row r="464" spans="1:11" x14ac:dyDescent="0.25">
      <c r="A464" s="109"/>
      <c r="B464" s="109"/>
      <c r="C464" s="109"/>
      <c r="D464" s="109"/>
      <c r="E464" s="109"/>
      <c r="F464" s="109"/>
      <c r="G464" s="109"/>
      <c r="H464" s="109"/>
      <c r="I464" s="68"/>
      <c r="J464">
        <f>IF('House Count'!H464="Y",IF('House Count'!F464="RES-SFU",1,IF('House Count'!F464="RES-MDU",1,IF('House Count'!F464="RES-HOA",1,0))),0)</f>
        <v>0</v>
      </c>
      <c r="K464">
        <f>IF('House Count'!H464="Y",IF('House Count'!F464="COMM-SU",1,IF('House Count'!F464="COM-MTU",1,IF('House Count'!F464="ENT",1,0))),0)</f>
        <v>0</v>
      </c>
    </row>
    <row r="465" spans="1:11" x14ac:dyDescent="0.25">
      <c r="A465" s="109"/>
      <c r="B465" s="109"/>
      <c r="C465" s="109"/>
      <c r="D465" s="109"/>
      <c r="E465" s="109"/>
      <c r="F465" s="109"/>
      <c r="G465" s="109"/>
      <c r="H465" s="109"/>
      <c r="I465" s="68"/>
      <c r="J465">
        <f>IF('House Count'!H465="Y",IF('House Count'!F465="RES-SFU",1,IF('House Count'!F465="RES-MDU",1,IF('House Count'!F465="RES-HOA",1,0))),0)</f>
        <v>0</v>
      </c>
      <c r="K465">
        <f>IF('House Count'!H465="Y",IF('House Count'!F465="COMM-SU",1,IF('House Count'!F465="COM-MTU",1,IF('House Count'!F465="ENT",1,0))),0)</f>
        <v>0</v>
      </c>
    </row>
    <row r="466" spans="1:11" x14ac:dyDescent="0.25">
      <c r="A466" s="109"/>
      <c r="B466" s="109"/>
      <c r="C466" s="109"/>
      <c r="D466" s="109"/>
      <c r="E466" s="109"/>
      <c r="F466" s="109"/>
      <c r="G466" s="109"/>
      <c r="H466" s="109"/>
      <c r="I466" s="68"/>
      <c r="J466">
        <f>IF('House Count'!H466="Y",IF('House Count'!F466="RES-SFU",1,IF('House Count'!F466="RES-MDU",1,IF('House Count'!F466="RES-HOA",1,0))),0)</f>
        <v>0</v>
      </c>
      <c r="K466">
        <f>IF('House Count'!H466="Y",IF('House Count'!F466="COMM-SU",1,IF('House Count'!F466="COM-MTU",1,IF('House Count'!F466="ENT",1,0))),0)</f>
        <v>0</v>
      </c>
    </row>
    <row r="467" spans="1:11" x14ac:dyDescent="0.25">
      <c r="A467" s="109"/>
      <c r="B467" s="109"/>
      <c r="C467" s="109"/>
      <c r="D467" s="109"/>
      <c r="E467" s="109"/>
      <c r="F467" s="109"/>
      <c r="G467" s="109"/>
      <c r="H467" s="109"/>
      <c r="I467" s="68"/>
      <c r="J467">
        <f>IF('House Count'!H467="Y",IF('House Count'!F467="RES-SFU",1,IF('House Count'!F467="RES-MDU",1,IF('House Count'!F467="RES-HOA",1,0))),0)</f>
        <v>0</v>
      </c>
      <c r="K467">
        <f>IF('House Count'!H467="Y",IF('House Count'!F467="COMM-SU",1,IF('House Count'!F467="COM-MTU",1,IF('House Count'!F467="ENT",1,0))),0)</f>
        <v>0</v>
      </c>
    </row>
    <row r="468" spans="1:11" x14ac:dyDescent="0.25">
      <c r="A468" s="109"/>
      <c r="B468" s="109"/>
      <c r="C468" s="109"/>
      <c r="D468" s="109"/>
      <c r="E468" s="109"/>
      <c r="F468" s="109"/>
      <c r="G468" s="109"/>
      <c r="H468" s="109"/>
      <c r="I468" s="68"/>
      <c r="J468">
        <f>IF('House Count'!H468="Y",IF('House Count'!F468="RES-SFU",1,IF('House Count'!F468="RES-MDU",1,IF('House Count'!F468="RES-HOA",1,0))),0)</f>
        <v>0</v>
      </c>
      <c r="K468">
        <f>IF('House Count'!H468="Y",IF('House Count'!F468="COMM-SU",1,IF('House Count'!F468="COM-MTU",1,IF('House Count'!F468="ENT",1,0))),0)</f>
        <v>0</v>
      </c>
    </row>
    <row r="469" spans="1:11" ht="15.75" thickBot="1" x14ac:dyDescent="0.3">
      <c r="A469" s="545"/>
      <c r="B469" s="545"/>
      <c r="C469" s="545"/>
      <c r="D469" s="545"/>
      <c r="E469" s="545"/>
      <c r="F469" s="545"/>
      <c r="G469" s="545"/>
      <c r="H469" s="545"/>
      <c r="I469" s="546"/>
      <c r="J469">
        <f>IF('House Count'!H469="Y",IF('House Count'!F469="RES-SFU",1,IF('House Count'!F469="RES-MDU",1,IF('House Count'!F469="RES-HOA",1,0))),0)</f>
        <v>0</v>
      </c>
      <c r="K469">
        <f>IF('House Count'!H469="Y",IF('House Count'!F469="COMM-SU",1,IF('House Count'!F469="COM-MTU",1,IF('House Count'!F469="ENT",1,0))),0)</f>
        <v>0</v>
      </c>
    </row>
    <row r="470" spans="1:11" ht="15.75" thickTop="1" x14ac:dyDescent="0.25">
      <c r="A470" s="109"/>
      <c r="B470" s="109"/>
      <c r="C470" s="109"/>
      <c r="D470" s="109"/>
      <c r="E470" s="109"/>
      <c r="F470" s="109"/>
      <c r="G470" s="109"/>
      <c r="H470" s="109"/>
      <c r="I470" s="68"/>
      <c r="J470">
        <f>IF('House Count'!H470="Y",IF('House Count'!F470="RES-SFU",1,IF('House Count'!F470="RES-MDU",1,IF('House Count'!F470="RES-HOA",1,0))),0)</f>
        <v>0</v>
      </c>
      <c r="K470">
        <f>IF('House Count'!H470="Y",IF('House Count'!F470="COMM-SU",1,IF('House Count'!F470="COM-MTU",1,IF('House Count'!F470="ENT",1,0))),0)</f>
        <v>0</v>
      </c>
    </row>
    <row r="471" spans="1:11" x14ac:dyDescent="0.25">
      <c r="A471" s="109"/>
      <c r="B471" s="109"/>
      <c r="C471" s="109"/>
      <c r="D471" s="109"/>
      <c r="E471" s="109"/>
      <c r="F471" s="109"/>
      <c r="G471" s="109"/>
      <c r="H471" s="109"/>
      <c r="I471" s="68"/>
      <c r="J471">
        <f>IF('House Count'!H471="Y",IF('House Count'!F471="RES-SFU",1,IF('House Count'!F471="RES-MDU",1,IF('House Count'!F471="RES-HOA",1,0))),0)</f>
        <v>0</v>
      </c>
      <c r="K471">
        <f>IF('House Count'!H471="Y",IF('House Count'!F471="COMM-SU",1,IF('House Count'!F471="COM-MTU",1,IF('House Count'!F471="ENT",1,0))),0)</f>
        <v>0</v>
      </c>
    </row>
    <row r="472" spans="1:11" x14ac:dyDescent="0.25">
      <c r="A472" s="109"/>
      <c r="B472" s="109"/>
      <c r="C472" s="109"/>
      <c r="D472" s="109"/>
      <c r="E472" s="109"/>
      <c r="F472" s="109"/>
      <c r="G472" s="109"/>
      <c r="H472" s="109"/>
      <c r="I472" s="68"/>
      <c r="J472">
        <f>IF('House Count'!H472="Y",IF('House Count'!F472="RES-SFU",1,IF('House Count'!F472="RES-MDU",1,IF('House Count'!F472="RES-HOA",1,0))),0)</f>
        <v>0</v>
      </c>
      <c r="K472">
        <f>IF('House Count'!H472="Y",IF('House Count'!F472="COMM-SU",1,IF('House Count'!F472="COM-MTU",1,IF('House Count'!F472="ENT",1,0))),0)</f>
        <v>0</v>
      </c>
    </row>
    <row r="473" spans="1:11" x14ac:dyDescent="0.25">
      <c r="A473" s="109"/>
      <c r="B473" s="109"/>
      <c r="C473" s="109"/>
      <c r="D473" s="109"/>
      <c r="E473" s="109"/>
      <c r="F473" s="109"/>
      <c r="G473" s="109"/>
      <c r="H473" s="109"/>
      <c r="I473" s="68"/>
      <c r="J473">
        <f>IF('House Count'!H473="Y",IF('House Count'!F473="RES-SFU",1,IF('House Count'!F473="RES-MDU",1,IF('House Count'!F473="RES-HOA",1,0))),0)</f>
        <v>0</v>
      </c>
      <c r="K473">
        <f>IF('House Count'!H473="Y",IF('House Count'!F473="COMM-SU",1,IF('House Count'!F473="COM-MTU",1,IF('House Count'!F473="ENT",1,0))),0)</f>
        <v>0</v>
      </c>
    </row>
    <row r="474" spans="1:11" x14ac:dyDescent="0.25">
      <c r="A474" s="109"/>
      <c r="B474" s="109"/>
      <c r="C474" s="109"/>
      <c r="D474" s="109"/>
      <c r="E474" s="109"/>
      <c r="F474" s="109"/>
      <c r="G474" s="109"/>
      <c r="H474" s="109"/>
      <c r="I474" s="68"/>
      <c r="J474">
        <f>IF('House Count'!H474="Y",IF('House Count'!F474="RES-SFU",1,IF('House Count'!F474="RES-MDU",1,IF('House Count'!F474="RES-HOA",1,0))),0)</f>
        <v>0</v>
      </c>
      <c r="K474">
        <f>IF('House Count'!H474="Y",IF('House Count'!F474="COMM-SU",1,IF('House Count'!F474="COM-MTU",1,IF('House Count'!F474="ENT",1,0))),0)</f>
        <v>0</v>
      </c>
    </row>
    <row r="475" spans="1:11" x14ac:dyDescent="0.25">
      <c r="A475" s="109"/>
      <c r="B475" s="109"/>
      <c r="C475" s="109"/>
      <c r="D475" s="109"/>
      <c r="E475" s="109"/>
      <c r="F475" s="109"/>
      <c r="G475" s="109"/>
      <c r="H475" s="109"/>
      <c r="I475" s="68"/>
      <c r="J475">
        <f>IF('House Count'!H475="Y",IF('House Count'!F475="RES-SFU",1,IF('House Count'!F475="RES-MDU",1,IF('House Count'!F475="RES-HOA",1,0))),0)</f>
        <v>0</v>
      </c>
      <c r="K475">
        <f>IF('House Count'!H475="Y",IF('House Count'!F475="COMM-SU",1,IF('House Count'!F475="COM-MTU",1,IF('House Count'!F475="ENT",1,0))),0)</f>
        <v>0</v>
      </c>
    </row>
    <row r="476" spans="1:11" x14ac:dyDescent="0.25">
      <c r="A476" s="109"/>
      <c r="B476" s="109"/>
      <c r="C476" s="109"/>
      <c r="D476" s="109"/>
      <c r="E476" s="109"/>
      <c r="F476" s="109"/>
      <c r="G476" s="109"/>
      <c r="H476" s="109"/>
      <c r="I476" s="68"/>
      <c r="J476">
        <f>IF('House Count'!H476="Y",IF('House Count'!F476="RES-SFU",1,IF('House Count'!F476="RES-MDU",1,IF('House Count'!F476="RES-HOA",1,0))),0)</f>
        <v>0</v>
      </c>
      <c r="K476">
        <f>IF('House Count'!H476="Y",IF('House Count'!F476="COMM-SU",1,IF('House Count'!F476="COM-MTU",1,IF('House Count'!F476="ENT",1,0))),0)</f>
        <v>0</v>
      </c>
    </row>
    <row r="477" spans="1:11" x14ac:dyDescent="0.25">
      <c r="A477" s="109"/>
      <c r="B477" s="109"/>
      <c r="C477" s="109"/>
      <c r="D477" s="109"/>
      <c r="E477" s="109"/>
      <c r="F477" s="109"/>
      <c r="G477" s="109"/>
      <c r="H477" s="109"/>
      <c r="I477" s="68"/>
      <c r="J477">
        <f>IF('House Count'!H477="Y",IF('House Count'!F477="RES-SFU",1,IF('House Count'!F477="RES-MDU",1,IF('House Count'!F477="RES-HOA",1,0))),0)</f>
        <v>0</v>
      </c>
      <c r="K477">
        <f>IF('House Count'!H477="Y",IF('House Count'!F477="COMM-SU",1,IF('House Count'!F477="COM-MTU",1,IF('House Count'!F477="ENT",1,0))),0)</f>
        <v>0</v>
      </c>
    </row>
    <row r="478" spans="1:11" x14ac:dyDescent="0.25">
      <c r="A478" s="109"/>
      <c r="B478" s="109"/>
      <c r="C478" s="109"/>
      <c r="D478" s="109"/>
      <c r="E478" s="109"/>
      <c r="F478" s="109"/>
      <c r="G478" s="109"/>
      <c r="H478" s="109"/>
      <c r="I478" s="68"/>
      <c r="J478">
        <f>IF('House Count'!H478="Y",IF('House Count'!F478="RES-SFU",1,IF('House Count'!F478="RES-MDU",1,IF('House Count'!F478="RES-HOA",1,0))),0)</f>
        <v>0</v>
      </c>
      <c r="K478">
        <f>IF('House Count'!H478="Y",IF('House Count'!F478="COMM-SU",1,IF('House Count'!F478="COM-MTU",1,IF('House Count'!F478="ENT",1,0))),0)</f>
        <v>0</v>
      </c>
    </row>
    <row r="479" spans="1:11" x14ac:dyDescent="0.25">
      <c r="A479" s="109"/>
      <c r="B479" s="109"/>
      <c r="C479" s="109"/>
      <c r="D479" s="109"/>
      <c r="E479" s="109"/>
      <c r="F479" s="109"/>
      <c r="G479" s="109"/>
      <c r="H479" s="109"/>
      <c r="I479" s="68"/>
      <c r="J479">
        <f>IF('House Count'!H479="Y",IF('House Count'!F479="RES-SFU",1,IF('House Count'!F479="RES-MDU",1,IF('House Count'!F479="RES-HOA",1,0))),0)</f>
        <v>0</v>
      </c>
      <c r="K479">
        <f>IF('House Count'!H479="Y",IF('House Count'!F479="COMM-SU",1,IF('House Count'!F479="COM-MTU",1,IF('House Count'!F479="ENT",1,0))),0)</f>
        <v>0</v>
      </c>
    </row>
    <row r="480" spans="1:11" x14ac:dyDescent="0.25">
      <c r="A480" s="109"/>
      <c r="B480" s="109"/>
      <c r="C480" s="109"/>
      <c r="D480" s="109"/>
      <c r="E480" s="109"/>
      <c r="F480" s="109"/>
      <c r="G480" s="109"/>
      <c r="H480" s="109"/>
      <c r="I480" s="68"/>
      <c r="J480">
        <f>IF('House Count'!H480="Y",IF('House Count'!F480="RES-SFU",1,IF('House Count'!F480="RES-MDU",1,IF('House Count'!F480="RES-HOA",1,0))),0)</f>
        <v>0</v>
      </c>
      <c r="K480">
        <f>IF('House Count'!H480="Y",IF('House Count'!F480="COMM-SU",1,IF('House Count'!F480="COM-MTU",1,IF('House Count'!F480="ENT",1,0))),0)</f>
        <v>0</v>
      </c>
    </row>
    <row r="481" spans="1:11" ht="15.75" thickBot="1" x14ac:dyDescent="0.3">
      <c r="A481" s="545"/>
      <c r="B481" s="545"/>
      <c r="C481" s="545"/>
      <c r="D481" s="545"/>
      <c r="E481" s="545"/>
      <c r="F481" s="545"/>
      <c r="G481" s="545"/>
      <c r="H481" s="545"/>
      <c r="I481" s="546"/>
      <c r="J481">
        <f>IF('House Count'!H481="Y",IF('House Count'!F481="RES-SFU",1,IF('House Count'!F481="RES-MDU",1,IF('House Count'!F481="RES-HOA",1,0))),0)</f>
        <v>0</v>
      </c>
      <c r="K481">
        <f>IF('House Count'!H481="Y",IF('House Count'!F481="COMM-SU",1,IF('House Count'!F481="COM-MTU",1,IF('House Count'!F481="ENT",1,0))),0)</f>
        <v>0</v>
      </c>
    </row>
    <row r="482" spans="1:11" ht="15.75" thickTop="1" x14ac:dyDescent="0.25">
      <c r="A482" s="109"/>
      <c r="B482" s="109"/>
      <c r="C482" s="109"/>
      <c r="D482" s="109"/>
      <c r="E482" s="109"/>
      <c r="F482" s="109"/>
      <c r="G482" s="109"/>
      <c r="H482" s="109"/>
      <c r="I482" s="68"/>
      <c r="J482">
        <f>IF('House Count'!H482="Y",IF('House Count'!F482="RES-SFU",1,IF('House Count'!F482="RES-MDU",1,IF('House Count'!F482="RES-HOA",1,0))),0)</f>
        <v>0</v>
      </c>
      <c r="K482">
        <f>IF('House Count'!H482="Y",IF('House Count'!F482="COMM-SU",1,IF('House Count'!F482="COM-MTU",1,IF('House Count'!F482="ENT",1,0))),0)</f>
        <v>0</v>
      </c>
    </row>
    <row r="483" spans="1:11" x14ac:dyDescent="0.25">
      <c r="A483" s="109"/>
      <c r="B483" s="109"/>
      <c r="C483" s="109"/>
      <c r="D483" s="109"/>
      <c r="E483" s="109"/>
      <c r="F483" s="109"/>
      <c r="G483" s="109"/>
      <c r="H483" s="109"/>
      <c r="I483" s="68"/>
      <c r="J483">
        <f>IF('House Count'!H483="Y",IF('House Count'!F483="RES-SFU",1,IF('House Count'!F483="RES-MDU",1,IF('House Count'!F483="RES-HOA",1,0))),0)</f>
        <v>0</v>
      </c>
      <c r="K483">
        <f>IF('House Count'!H483="Y",IF('House Count'!F483="COMM-SU",1,IF('House Count'!F483="COM-MTU",1,IF('House Count'!F483="ENT",1,0))),0)</f>
        <v>0</v>
      </c>
    </row>
    <row r="484" spans="1:11" x14ac:dyDescent="0.25">
      <c r="A484" s="109"/>
      <c r="B484" s="109"/>
      <c r="C484" s="109"/>
      <c r="D484" s="109"/>
      <c r="E484" s="109"/>
      <c r="F484" s="109"/>
      <c r="G484" s="109"/>
      <c r="H484" s="109"/>
      <c r="I484" s="68"/>
      <c r="J484">
        <f>IF('House Count'!H484="Y",IF('House Count'!F484="RES-SFU",1,IF('House Count'!F484="RES-MDU",1,IF('House Count'!F484="RES-HOA",1,0))),0)</f>
        <v>0</v>
      </c>
      <c r="K484">
        <f>IF('House Count'!H484="Y",IF('House Count'!F484="COMM-SU",1,IF('House Count'!F484="COM-MTU",1,IF('House Count'!F484="ENT",1,0))),0)</f>
        <v>0</v>
      </c>
    </row>
    <row r="485" spans="1:11" x14ac:dyDescent="0.25">
      <c r="A485" s="109"/>
      <c r="B485" s="109"/>
      <c r="C485" s="109"/>
      <c r="D485" s="109"/>
      <c r="E485" s="109"/>
      <c r="F485" s="109"/>
      <c r="G485" s="109"/>
      <c r="H485" s="109"/>
      <c r="I485" s="68"/>
      <c r="J485">
        <f>IF('House Count'!H485="Y",IF('House Count'!F485="RES-SFU",1,IF('House Count'!F485="RES-MDU",1,IF('House Count'!F485="RES-HOA",1,0))),0)</f>
        <v>0</v>
      </c>
      <c r="K485">
        <f>IF('House Count'!H485="Y",IF('House Count'!F485="COMM-SU",1,IF('House Count'!F485="COM-MTU",1,IF('House Count'!F485="ENT",1,0))),0)</f>
        <v>0</v>
      </c>
    </row>
    <row r="486" spans="1:11" x14ac:dyDescent="0.25">
      <c r="A486" s="109"/>
      <c r="B486" s="109"/>
      <c r="C486" s="109"/>
      <c r="D486" s="109"/>
      <c r="E486" s="109"/>
      <c r="F486" s="109"/>
      <c r="G486" s="109"/>
      <c r="H486" s="109"/>
      <c r="I486" s="68"/>
      <c r="J486">
        <f>IF('House Count'!H486="Y",IF('House Count'!F486="RES-SFU",1,IF('House Count'!F486="RES-MDU",1,IF('House Count'!F486="RES-HOA",1,0))),0)</f>
        <v>0</v>
      </c>
      <c r="K486">
        <f>IF('House Count'!H486="Y",IF('House Count'!F486="COMM-SU",1,IF('House Count'!F486="COM-MTU",1,IF('House Count'!F486="ENT",1,0))),0)</f>
        <v>0</v>
      </c>
    </row>
    <row r="487" spans="1:11" x14ac:dyDescent="0.25">
      <c r="A487" s="109"/>
      <c r="B487" s="109"/>
      <c r="C487" s="109"/>
      <c r="D487" s="109"/>
      <c r="E487" s="109"/>
      <c r="F487" s="109"/>
      <c r="G487" s="109"/>
      <c r="H487" s="109"/>
      <c r="I487" s="68"/>
      <c r="J487">
        <f>IF('House Count'!H487="Y",IF('House Count'!F487="RES-SFU",1,IF('House Count'!F487="RES-MDU",1,IF('House Count'!F487="RES-HOA",1,0))),0)</f>
        <v>0</v>
      </c>
      <c r="K487">
        <f>IF('House Count'!H487="Y",IF('House Count'!F487="COMM-SU",1,IF('House Count'!F487="COM-MTU",1,IF('House Count'!F487="ENT",1,0))),0)</f>
        <v>0</v>
      </c>
    </row>
    <row r="488" spans="1:11" x14ac:dyDescent="0.25">
      <c r="A488" s="109"/>
      <c r="B488" s="109"/>
      <c r="C488" s="109"/>
      <c r="D488" s="109"/>
      <c r="E488" s="109"/>
      <c r="F488" s="109"/>
      <c r="G488" s="109"/>
      <c r="H488" s="109"/>
      <c r="I488" s="68"/>
      <c r="J488">
        <f>IF('House Count'!H488="Y",IF('House Count'!F488="RES-SFU",1,IF('House Count'!F488="RES-MDU",1,IF('House Count'!F488="RES-HOA",1,0))),0)</f>
        <v>0</v>
      </c>
      <c r="K488">
        <f>IF('House Count'!H488="Y",IF('House Count'!F488="COMM-SU",1,IF('House Count'!F488="COM-MTU",1,IF('House Count'!F488="ENT",1,0))),0)</f>
        <v>0</v>
      </c>
    </row>
    <row r="489" spans="1:11" x14ac:dyDescent="0.25">
      <c r="A489" s="109"/>
      <c r="B489" s="109"/>
      <c r="C489" s="109"/>
      <c r="D489" s="109"/>
      <c r="E489" s="109"/>
      <c r="F489" s="109"/>
      <c r="G489" s="109"/>
      <c r="H489" s="109"/>
      <c r="I489" s="68"/>
      <c r="J489">
        <f>IF('House Count'!H489="Y",IF('House Count'!F489="RES-SFU",1,IF('House Count'!F489="RES-MDU",1,IF('House Count'!F489="RES-HOA",1,0))),0)</f>
        <v>0</v>
      </c>
      <c r="K489">
        <f>IF('House Count'!H489="Y",IF('House Count'!F489="COMM-SU",1,IF('House Count'!F489="COM-MTU",1,IF('House Count'!F489="ENT",1,0))),0)</f>
        <v>0</v>
      </c>
    </row>
    <row r="490" spans="1:11" x14ac:dyDescent="0.25">
      <c r="A490" s="109"/>
      <c r="B490" s="109"/>
      <c r="C490" s="109"/>
      <c r="D490" s="109"/>
      <c r="E490" s="109"/>
      <c r="F490" s="109"/>
      <c r="G490" s="109"/>
      <c r="H490" s="109"/>
      <c r="I490" s="68"/>
      <c r="J490">
        <f>IF('House Count'!H490="Y",IF('House Count'!F490="RES-SFU",1,IF('House Count'!F490="RES-MDU",1,IF('House Count'!F490="RES-HOA",1,0))),0)</f>
        <v>0</v>
      </c>
      <c r="K490">
        <f>IF('House Count'!H490="Y",IF('House Count'!F490="COMM-SU",1,IF('House Count'!F490="COM-MTU",1,IF('House Count'!F490="ENT",1,0))),0)</f>
        <v>0</v>
      </c>
    </row>
    <row r="491" spans="1:11" x14ac:dyDescent="0.25">
      <c r="A491" s="109"/>
      <c r="B491" s="109"/>
      <c r="C491" s="109"/>
      <c r="D491" s="109"/>
      <c r="E491" s="109"/>
      <c r="F491" s="109"/>
      <c r="G491" s="109"/>
      <c r="H491" s="109"/>
      <c r="I491" s="68"/>
      <c r="J491">
        <f>IF('House Count'!H491="Y",IF('House Count'!F491="RES-SFU",1,IF('House Count'!F491="RES-MDU",1,IF('House Count'!F491="RES-HOA",1,0))),0)</f>
        <v>0</v>
      </c>
      <c r="K491">
        <f>IF('House Count'!H491="Y",IF('House Count'!F491="COMM-SU",1,IF('House Count'!F491="COM-MTU",1,IF('House Count'!F491="ENT",1,0))),0)</f>
        <v>0</v>
      </c>
    </row>
    <row r="492" spans="1:11" x14ac:dyDescent="0.25">
      <c r="A492" s="109"/>
      <c r="B492" s="109"/>
      <c r="C492" s="109"/>
      <c r="D492" s="109"/>
      <c r="E492" s="109"/>
      <c r="F492" s="109"/>
      <c r="G492" s="109"/>
      <c r="H492" s="109"/>
      <c r="I492" s="68"/>
      <c r="J492">
        <f>IF('House Count'!H492="Y",IF('House Count'!F492="RES-SFU",1,IF('House Count'!F492="RES-MDU",1,IF('House Count'!F492="RES-HOA",1,0))),0)</f>
        <v>0</v>
      </c>
      <c r="K492">
        <f>IF('House Count'!H492="Y",IF('House Count'!F492="COMM-SU",1,IF('House Count'!F492="COM-MTU",1,IF('House Count'!F492="ENT",1,0))),0)</f>
        <v>0</v>
      </c>
    </row>
    <row r="493" spans="1:11" ht="15.75" thickBot="1" x14ac:dyDescent="0.3">
      <c r="A493" s="545"/>
      <c r="B493" s="545"/>
      <c r="C493" s="545"/>
      <c r="D493" s="545"/>
      <c r="E493" s="545"/>
      <c r="F493" s="545"/>
      <c r="G493" s="545"/>
      <c r="H493" s="545"/>
      <c r="I493" s="546"/>
      <c r="J493">
        <f>IF('House Count'!H493="Y",IF('House Count'!F493="RES-SFU",1,IF('House Count'!F493="RES-MDU",1,IF('House Count'!F493="RES-HOA",1,0))),0)</f>
        <v>0</v>
      </c>
      <c r="K493">
        <f>IF('House Count'!H493="Y",IF('House Count'!F493="COMM-SU",1,IF('House Count'!F493="COM-MTU",1,IF('House Count'!F493="ENT",1,0))),0)</f>
        <v>0</v>
      </c>
    </row>
    <row r="494" spans="1:11" ht="15.75" thickTop="1" x14ac:dyDescent="0.25">
      <c r="A494" s="109"/>
      <c r="B494" s="109"/>
      <c r="C494" s="109"/>
      <c r="D494" s="109"/>
      <c r="E494" s="109"/>
      <c r="F494" s="109"/>
      <c r="G494" s="109"/>
      <c r="H494" s="109"/>
      <c r="I494" s="68"/>
      <c r="J494">
        <f>IF('House Count'!H494="Y",IF('House Count'!F494="RES-SFU",1,IF('House Count'!F494="RES-MDU",1,IF('House Count'!F494="RES-HOA",1,0))),0)</f>
        <v>0</v>
      </c>
      <c r="K494">
        <f>IF('House Count'!H494="Y",IF('House Count'!F494="COMM-SU",1,IF('House Count'!F494="COM-MTU",1,IF('House Count'!F494="ENT",1,0))),0)</f>
        <v>0</v>
      </c>
    </row>
    <row r="495" spans="1:11" x14ac:dyDescent="0.25">
      <c r="A495" s="109"/>
      <c r="B495" s="109"/>
      <c r="C495" s="109"/>
      <c r="D495" s="109"/>
      <c r="E495" s="109"/>
      <c r="F495" s="109"/>
      <c r="G495" s="109"/>
      <c r="H495" s="109"/>
      <c r="I495" s="68"/>
      <c r="J495">
        <f>IF('House Count'!H495="Y",IF('House Count'!F495="RES-SFU",1,IF('House Count'!F495="RES-MDU",1,IF('House Count'!F495="RES-HOA",1,0))),0)</f>
        <v>0</v>
      </c>
      <c r="K495">
        <f>IF('House Count'!H495="Y",IF('House Count'!F495="COMM-SU",1,IF('House Count'!F495="COM-MTU",1,IF('House Count'!F495="ENT",1,0))),0)</f>
        <v>0</v>
      </c>
    </row>
    <row r="496" spans="1:11" x14ac:dyDescent="0.25">
      <c r="A496" s="109"/>
      <c r="B496" s="109"/>
      <c r="C496" s="109"/>
      <c r="D496" s="109"/>
      <c r="E496" s="109"/>
      <c r="F496" s="109"/>
      <c r="G496" s="109"/>
      <c r="H496" s="109"/>
      <c r="I496" s="68"/>
      <c r="J496">
        <f>IF('House Count'!H496="Y",IF('House Count'!F496="RES-SFU",1,IF('House Count'!F496="RES-MDU",1,IF('House Count'!F496="RES-HOA",1,0))),0)</f>
        <v>0</v>
      </c>
      <c r="K496">
        <f>IF('House Count'!H496="Y",IF('House Count'!F496="COMM-SU",1,IF('House Count'!F496="COM-MTU",1,IF('House Count'!F496="ENT",1,0))),0)</f>
        <v>0</v>
      </c>
    </row>
    <row r="497" spans="1:11" x14ac:dyDescent="0.25">
      <c r="A497" s="109"/>
      <c r="B497" s="109"/>
      <c r="C497" s="109"/>
      <c r="D497" s="109"/>
      <c r="E497" s="109"/>
      <c r="F497" s="109"/>
      <c r="G497" s="109"/>
      <c r="H497" s="109"/>
      <c r="I497" s="68"/>
      <c r="J497">
        <f>IF('House Count'!H497="Y",IF('House Count'!F497="RES-SFU",1,IF('House Count'!F497="RES-MDU",1,IF('House Count'!F497="RES-HOA",1,0))),0)</f>
        <v>0</v>
      </c>
      <c r="K497">
        <f>IF('House Count'!H497="Y",IF('House Count'!F497="COMM-SU",1,IF('House Count'!F497="COM-MTU",1,IF('House Count'!F497="ENT",1,0))),0)</f>
        <v>0</v>
      </c>
    </row>
    <row r="498" spans="1:11" x14ac:dyDescent="0.25">
      <c r="A498" s="109"/>
      <c r="B498" s="109"/>
      <c r="C498" s="109"/>
      <c r="D498" s="109"/>
      <c r="E498" s="109"/>
      <c r="F498" s="109"/>
      <c r="G498" s="109"/>
      <c r="H498" s="109"/>
      <c r="I498" s="68"/>
      <c r="J498">
        <f>IF('House Count'!H498="Y",IF('House Count'!F498="RES-SFU",1,IF('House Count'!F498="RES-MDU",1,IF('House Count'!F498="RES-HOA",1,0))),0)</f>
        <v>0</v>
      </c>
      <c r="K498">
        <f>IF('House Count'!H498="Y",IF('House Count'!F498="COMM-SU",1,IF('House Count'!F498="COM-MTU",1,IF('House Count'!F498="ENT",1,0))),0)</f>
        <v>0</v>
      </c>
    </row>
    <row r="499" spans="1:11" x14ac:dyDescent="0.25">
      <c r="A499" s="109"/>
      <c r="B499" s="109"/>
      <c r="C499" s="109"/>
      <c r="D499" s="109"/>
      <c r="E499" s="109"/>
      <c r="F499" s="109"/>
      <c r="G499" s="109"/>
      <c r="H499" s="109"/>
      <c r="I499" s="68"/>
      <c r="J499">
        <f>IF('House Count'!H499="Y",IF('House Count'!F499="RES-SFU",1,IF('House Count'!F499="RES-MDU",1,IF('House Count'!F499="RES-HOA",1,0))),0)</f>
        <v>0</v>
      </c>
      <c r="K499">
        <f>IF('House Count'!H499="Y",IF('House Count'!F499="COMM-SU",1,IF('House Count'!F499="COM-MTU",1,IF('House Count'!F499="ENT",1,0))),0)</f>
        <v>0</v>
      </c>
    </row>
    <row r="500" spans="1:11" x14ac:dyDescent="0.25">
      <c r="A500" s="109"/>
      <c r="B500" s="109"/>
      <c r="C500" s="109"/>
      <c r="D500" s="109"/>
      <c r="E500" s="109"/>
      <c r="F500" s="109"/>
      <c r="G500" s="109"/>
      <c r="H500" s="109"/>
      <c r="I500" s="68"/>
      <c r="J500">
        <f>IF('House Count'!H500="Y",IF('House Count'!F500="RES-SFU",1,IF('House Count'!F500="RES-MDU",1,IF('House Count'!F500="RES-HOA",1,0))),0)</f>
        <v>0</v>
      </c>
      <c r="K500">
        <f>IF('House Count'!H500="Y",IF('House Count'!F500="COMM-SU",1,IF('House Count'!F500="COM-MTU",1,IF('House Count'!F500="ENT",1,0))),0)</f>
        <v>0</v>
      </c>
    </row>
    <row r="501" spans="1:11" x14ac:dyDescent="0.25">
      <c r="A501" s="109"/>
      <c r="B501" s="109"/>
      <c r="C501" s="109"/>
      <c r="D501" s="109"/>
      <c r="E501" s="109"/>
      <c r="F501" s="109"/>
      <c r="G501" s="109"/>
      <c r="H501" s="109"/>
      <c r="I501" s="68"/>
      <c r="J501">
        <f>IF('House Count'!H501="Y",IF('House Count'!F501="RES-SFU",1,IF('House Count'!F501="RES-MDU",1,IF('House Count'!F501="RES-HOA",1,0))),0)</f>
        <v>0</v>
      </c>
      <c r="K501">
        <f>IF('House Count'!H501="Y",IF('House Count'!F501="COMM-SU",1,IF('House Count'!F501="COM-MTU",1,IF('House Count'!F501="ENT",1,0))),0)</f>
        <v>0</v>
      </c>
    </row>
    <row r="502" spans="1:11" x14ac:dyDescent="0.25">
      <c r="A502" s="109"/>
      <c r="B502" s="109"/>
      <c r="C502" s="109"/>
      <c r="D502" s="109"/>
      <c r="E502" s="109"/>
      <c r="F502" s="109"/>
      <c r="G502" s="109"/>
      <c r="H502" s="109"/>
      <c r="I502" s="68"/>
      <c r="J502">
        <f>IF('House Count'!H502="Y",IF('House Count'!F502="RES-SFU",1,IF('House Count'!F502="RES-MDU",1,IF('House Count'!F502="RES-HOA",1,0))),0)</f>
        <v>0</v>
      </c>
      <c r="K502">
        <f>IF('House Count'!H502="Y",IF('House Count'!F502="COMM-SU",1,IF('House Count'!F502="COM-MTU",1,IF('House Count'!F502="ENT",1,0))),0)</f>
        <v>0</v>
      </c>
    </row>
    <row r="503" spans="1:11" x14ac:dyDescent="0.25">
      <c r="A503" s="109"/>
      <c r="B503" s="109"/>
      <c r="C503" s="109"/>
      <c r="D503" s="109"/>
      <c r="E503" s="109"/>
      <c r="F503" s="109"/>
      <c r="G503" s="109"/>
      <c r="H503" s="109"/>
      <c r="I503" s="68"/>
      <c r="J503">
        <f>IF('House Count'!H503="Y",IF('House Count'!F503="RES-SFU",1,IF('House Count'!F503="RES-MDU",1,IF('House Count'!F503="RES-HOA",1,0))),0)</f>
        <v>0</v>
      </c>
      <c r="K503">
        <f>IF('House Count'!H503="Y",IF('House Count'!F503="COMM-SU",1,IF('House Count'!F503="COM-MTU",1,IF('House Count'!F503="ENT",1,0))),0)</f>
        <v>0</v>
      </c>
    </row>
    <row r="504" spans="1:11" x14ac:dyDescent="0.25">
      <c r="A504" s="109"/>
      <c r="B504" s="109"/>
      <c r="C504" s="109"/>
      <c r="D504" s="109"/>
      <c r="E504" s="109"/>
      <c r="F504" s="109"/>
      <c r="G504" s="109"/>
      <c r="H504" s="109"/>
      <c r="I504" s="68"/>
      <c r="J504">
        <f>IF('House Count'!H504="Y",IF('House Count'!F504="RES-SFU",1,IF('House Count'!F504="RES-MDU",1,IF('House Count'!F504="RES-HOA",1,0))),0)</f>
        <v>0</v>
      </c>
      <c r="K504">
        <f>IF('House Count'!H504="Y",IF('House Count'!F504="COMM-SU",1,IF('House Count'!F504="COM-MTU",1,IF('House Count'!F504="ENT",1,0))),0)</f>
        <v>0</v>
      </c>
    </row>
    <row r="505" spans="1:11" ht="15.75" thickBot="1" x14ac:dyDescent="0.3">
      <c r="A505" s="545"/>
      <c r="B505" s="545"/>
      <c r="C505" s="545"/>
      <c r="D505" s="545"/>
      <c r="E505" s="545"/>
      <c r="F505" s="545"/>
      <c r="G505" s="545"/>
      <c r="H505" s="545"/>
      <c r="I505" s="546"/>
      <c r="J505">
        <f>IF('House Count'!H505="Y",IF('House Count'!F505="RES-SFU",1,IF('House Count'!F505="RES-MDU",1,IF('House Count'!F505="RES-HOA",1,0))),0)</f>
        <v>0</v>
      </c>
      <c r="K505">
        <f>IF('House Count'!H505="Y",IF('House Count'!F505="COMM-SU",1,IF('House Count'!F505="COM-MTU",1,IF('House Count'!F505="ENT",1,0))),0)</f>
        <v>0</v>
      </c>
    </row>
    <row r="506" spans="1:11" ht="15.75" thickTop="1" x14ac:dyDescent="0.25">
      <c r="A506" s="109"/>
      <c r="B506" s="109"/>
      <c r="C506" s="109"/>
      <c r="D506" s="109"/>
      <c r="E506" s="109"/>
      <c r="F506" s="109"/>
      <c r="G506" s="109"/>
      <c r="H506" s="109"/>
      <c r="I506" s="68"/>
      <c r="J506">
        <f>IF('House Count'!H506="Y",IF('House Count'!F506="RES-SFU",1,IF('House Count'!F506="RES-MDU",1,IF('House Count'!F506="RES-HOA",1,0))),0)</f>
        <v>0</v>
      </c>
      <c r="K506">
        <f>IF('House Count'!H506="Y",IF('House Count'!F506="COMM-SU",1,IF('House Count'!F506="COM-MTU",1,IF('House Count'!F506="ENT",1,0))),0)</f>
        <v>0</v>
      </c>
    </row>
    <row r="507" spans="1:11" x14ac:dyDescent="0.25">
      <c r="A507" s="109"/>
      <c r="B507" s="109"/>
      <c r="C507" s="109"/>
      <c r="D507" s="109"/>
      <c r="E507" s="109"/>
      <c r="F507" s="109"/>
      <c r="G507" s="109"/>
      <c r="H507" s="109"/>
      <c r="I507" s="68"/>
      <c r="J507">
        <f>IF('House Count'!H507="Y",IF('House Count'!F507="RES-SFU",1,IF('House Count'!F507="RES-MDU",1,IF('House Count'!F507="RES-HOA",1,0))),0)</f>
        <v>0</v>
      </c>
      <c r="K507">
        <f>IF('House Count'!H507="Y",IF('House Count'!F507="COMM-SU",1,IF('House Count'!F507="COM-MTU",1,IF('House Count'!F507="ENT",1,0))),0)</f>
        <v>0</v>
      </c>
    </row>
    <row r="508" spans="1:11" x14ac:dyDescent="0.25">
      <c r="A508" s="109"/>
      <c r="B508" s="109"/>
      <c r="C508" s="109"/>
      <c r="D508" s="109"/>
      <c r="E508" s="109"/>
      <c r="F508" s="109"/>
      <c r="G508" s="109"/>
      <c r="H508" s="109"/>
      <c r="I508" s="68"/>
      <c r="J508">
        <f>IF('House Count'!H508="Y",IF('House Count'!F508="RES-SFU",1,IF('House Count'!F508="RES-MDU",1,IF('House Count'!F508="RES-HOA",1,0))),0)</f>
        <v>0</v>
      </c>
      <c r="K508">
        <f>IF('House Count'!H508="Y",IF('House Count'!F508="COMM-SU",1,IF('House Count'!F508="COM-MTU",1,IF('House Count'!F508="ENT",1,0))),0)</f>
        <v>0</v>
      </c>
    </row>
    <row r="509" spans="1:11" x14ac:dyDescent="0.25">
      <c r="A509" s="109"/>
      <c r="B509" s="109"/>
      <c r="C509" s="109"/>
      <c r="D509" s="109"/>
      <c r="E509" s="109"/>
      <c r="F509" s="109"/>
      <c r="G509" s="109"/>
      <c r="H509" s="109"/>
      <c r="I509" s="68"/>
      <c r="J509">
        <f>IF('House Count'!H509="Y",IF('House Count'!F509="RES-SFU",1,IF('House Count'!F509="RES-MDU",1,IF('House Count'!F509="RES-HOA",1,0))),0)</f>
        <v>0</v>
      </c>
      <c r="K509">
        <f>IF('House Count'!H509="Y",IF('House Count'!F509="COMM-SU",1,IF('House Count'!F509="COM-MTU",1,IF('House Count'!F509="ENT",1,0))),0)</f>
        <v>0</v>
      </c>
    </row>
    <row r="510" spans="1:11" x14ac:dyDescent="0.25">
      <c r="A510" s="109"/>
      <c r="B510" s="109"/>
      <c r="C510" s="109"/>
      <c r="D510" s="109"/>
      <c r="E510" s="109"/>
      <c r="F510" s="109"/>
      <c r="G510" s="109"/>
      <c r="H510" s="109"/>
      <c r="I510" s="68"/>
      <c r="J510">
        <f>IF('House Count'!H510="Y",IF('House Count'!F510="RES-SFU",1,IF('House Count'!F510="RES-MDU",1,IF('House Count'!F510="RES-HOA",1,0))),0)</f>
        <v>0</v>
      </c>
      <c r="K510">
        <f>IF('House Count'!H510="Y",IF('House Count'!F510="COMM-SU",1,IF('House Count'!F510="COM-MTU",1,IF('House Count'!F510="ENT",1,0))),0)</f>
        <v>0</v>
      </c>
    </row>
    <row r="511" spans="1:11" x14ac:dyDescent="0.25">
      <c r="A511" s="109"/>
      <c r="B511" s="109"/>
      <c r="C511" s="109"/>
      <c r="D511" s="109"/>
      <c r="E511" s="109"/>
      <c r="F511" s="109"/>
      <c r="G511" s="109"/>
      <c r="H511" s="109"/>
      <c r="I511" s="68"/>
      <c r="J511">
        <f>IF('House Count'!H511="Y",IF('House Count'!F511="RES-SFU",1,IF('House Count'!F511="RES-MDU",1,IF('House Count'!F511="RES-HOA",1,0))),0)</f>
        <v>0</v>
      </c>
      <c r="K511">
        <f>IF('House Count'!H511="Y",IF('House Count'!F511="COMM-SU",1,IF('House Count'!F511="COM-MTU",1,IF('House Count'!F511="ENT",1,0))),0)</f>
        <v>0</v>
      </c>
    </row>
    <row r="512" spans="1:11" x14ac:dyDescent="0.25">
      <c r="A512" s="109"/>
      <c r="B512" s="109"/>
      <c r="C512" s="109"/>
      <c r="D512" s="109"/>
      <c r="E512" s="109"/>
      <c r="F512" s="109"/>
      <c r="G512" s="109"/>
      <c r="H512" s="109"/>
      <c r="I512" s="68"/>
      <c r="J512">
        <f>IF('House Count'!H512="Y",IF('House Count'!F512="RES-SFU",1,IF('House Count'!F512="RES-MDU",1,IF('House Count'!F512="RES-HOA",1,0))),0)</f>
        <v>0</v>
      </c>
      <c r="K512">
        <f>IF('House Count'!H512="Y",IF('House Count'!F512="COMM-SU",1,IF('House Count'!F512="COM-MTU",1,IF('House Count'!F512="ENT",1,0))),0)</f>
        <v>0</v>
      </c>
    </row>
    <row r="513" spans="1:11" x14ac:dyDescent="0.25">
      <c r="A513" s="109"/>
      <c r="B513" s="109"/>
      <c r="C513" s="109"/>
      <c r="D513" s="109"/>
      <c r="E513" s="109"/>
      <c r="F513" s="109"/>
      <c r="G513" s="109"/>
      <c r="H513" s="109"/>
      <c r="I513" s="68"/>
      <c r="J513">
        <f>IF('House Count'!H513="Y",IF('House Count'!F513="RES-SFU",1,IF('House Count'!F513="RES-MDU",1,IF('House Count'!F513="RES-HOA",1,0))),0)</f>
        <v>0</v>
      </c>
      <c r="K513">
        <f>IF('House Count'!H513="Y",IF('House Count'!F513="COMM-SU",1,IF('House Count'!F513="COM-MTU",1,IF('House Count'!F513="ENT",1,0))),0)</f>
        <v>0</v>
      </c>
    </row>
    <row r="514" spans="1:11" x14ac:dyDescent="0.25">
      <c r="A514" s="109"/>
      <c r="B514" s="109"/>
      <c r="C514" s="109"/>
      <c r="D514" s="109"/>
      <c r="E514" s="109"/>
      <c r="F514" s="109"/>
      <c r="G514" s="109"/>
      <c r="H514" s="109"/>
      <c r="I514" s="68"/>
      <c r="J514">
        <f>IF('House Count'!H514="Y",IF('House Count'!F514="RES-SFU",1,IF('House Count'!F514="RES-MDU",1,IF('House Count'!F514="RES-HOA",1,0))),0)</f>
        <v>0</v>
      </c>
      <c r="K514">
        <f>IF('House Count'!H514="Y",IF('House Count'!F514="COMM-SU",1,IF('House Count'!F514="COM-MTU",1,IF('House Count'!F514="ENT",1,0))),0)</f>
        <v>0</v>
      </c>
    </row>
    <row r="515" spans="1:11" x14ac:dyDescent="0.25">
      <c r="A515" s="109"/>
      <c r="B515" s="109"/>
      <c r="C515" s="109"/>
      <c r="D515" s="109"/>
      <c r="E515" s="109"/>
      <c r="F515" s="109"/>
      <c r="G515" s="109"/>
      <c r="H515" s="109"/>
      <c r="I515" s="68"/>
      <c r="J515">
        <f>IF('House Count'!H515="Y",IF('House Count'!F515="RES-SFU",1,IF('House Count'!F515="RES-MDU",1,IF('House Count'!F515="RES-HOA",1,0))),0)</f>
        <v>0</v>
      </c>
      <c r="K515">
        <f>IF('House Count'!H515="Y",IF('House Count'!F515="COMM-SU",1,IF('House Count'!F515="COM-MTU",1,IF('House Count'!F515="ENT",1,0))),0)</f>
        <v>0</v>
      </c>
    </row>
    <row r="516" spans="1:11" x14ac:dyDescent="0.25">
      <c r="A516" s="109"/>
      <c r="B516" s="109"/>
      <c r="C516" s="109"/>
      <c r="D516" s="109"/>
      <c r="E516" s="109"/>
      <c r="F516" s="109"/>
      <c r="G516" s="109"/>
      <c r="H516" s="109"/>
      <c r="I516" s="68"/>
      <c r="J516">
        <f>IF('House Count'!H516="Y",IF('House Count'!F516="RES-SFU",1,IF('House Count'!F516="RES-MDU",1,IF('House Count'!F516="RES-HOA",1,0))),0)</f>
        <v>0</v>
      </c>
      <c r="K516">
        <f>IF('House Count'!H516="Y",IF('House Count'!F516="COMM-SU",1,IF('House Count'!F516="COM-MTU",1,IF('House Count'!F516="ENT",1,0))),0)</f>
        <v>0</v>
      </c>
    </row>
    <row r="517" spans="1:11" ht="15.75" thickBot="1" x14ac:dyDescent="0.3">
      <c r="A517" s="545"/>
      <c r="B517" s="545"/>
      <c r="C517" s="545"/>
      <c r="D517" s="545"/>
      <c r="E517" s="545"/>
      <c r="F517" s="545"/>
      <c r="G517" s="545"/>
      <c r="H517" s="545"/>
      <c r="I517" s="546"/>
      <c r="J517">
        <f>IF('House Count'!H517="Y",IF('House Count'!F517="RES-SFU",1,IF('House Count'!F517="RES-MDU",1,IF('House Count'!F517="RES-HOA",1,0))),0)</f>
        <v>0</v>
      </c>
      <c r="K517">
        <f>IF('House Count'!H517="Y",IF('House Count'!F517="COMM-SU",1,IF('House Count'!F517="COM-MTU",1,IF('House Count'!F517="ENT",1,0))),0)</f>
        <v>0</v>
      </c>
    </row>
    <row r="518" spans="1:11" ht="15.75" thickTop="1" x14ac:dyDescent="0.25">
      <c r="A518" s="109"/>
      <c r="B518" s="109"/>
      <c r="C518" s="109"/>
      <c r="D518" s="109"/>
      <c r="E518" s="109"/>
      <c r="F518" s="109"/>
      <c r="G518" s="109"/>
      <c r="H518" s="109"/>
      <c r="I518" s="68"/>
      <c r="J518">
        <f>IF('House Count'!H518="Y",IF('House Count'!F518="RES-SFU",1,IF('House Count'!F518="RES-MDU",1,IF('House Count'!F518="RES-HOA",1,0))),0)</f>
        <v>0</v>
      </c>
      <c r="K518">
        <f>IF('House Count'!H518="Y",IF('House Count'!F518="COMM-SU",1,IF('House Count'!F518="COM-MTU",1,IF('House Count'!F518="ENT",1,0))),0)</f>
        <v>0</v>
      </c>
    </row>
    <row r="519" spans="1:11" x14ac:dyDescent="0.25">
      <c r="A519" s="109"/>
      <c r="B519" s="109"/>
      <c r="C519" s="109"/>
      <c r="D519" s="109"/>
      <c r="E519" s="109"/>
      <c r="F519" s="109"/>
      <c r="G519" s="109"/>
      <c r="H519" s="109"/>
      <c r="I519" s="68"/>
      <c r="J519">
        <f>IF('House Count'!H519="Y",IF('House Count'!F519="RES-SFU",1,IF('House Count'!F519="RES-MDU",1,IF('House Count'!F519="RES-HOA",1,0))),0)</f>
        <v>0</v>
      </c>
      <c r="K519">
        <f>IF('House Count'!H519="Y",IF('House Count'!F519="COMM-SU",1,IF('House Count'!F519="COM-MTU",1,IF('House Count'!F519="ENT",1,0))),0)</f>
        <v>0</v>
      </c>
    </row>
    <row r="520" spans="1:11" x14ac:dyDescent="0.25">
      <c r="A520" s="109"/>
      <c r="B520" s="109"/>
      <c r="C520" s="109"/>
      <c r="D520" s="109"/>
      <c r="E520" s="109"/>
      <c r="F520" s="109"/>
      <c r="G520" s="109"/>
      <c r="H520" s="109"/>
      <c r="I520" s="68"/>
      <c r="J520">
        <f>IF('House Count'!H520="Y",IF('House Count'!F520="RES-SFU",1,IF('House Count'!F520="RES-MDU",1,IF('House Count'!F520="RES-HOA",1,0))),0)</f>
        <v>0</v>
      </c>
      <c r="K520">
        <f>IF('House Count'!H520="Y",IF('House Count'!F520="COMM-SU",1,IF('House Count'!F520="COM-MTU",1,IF('House Count'!F520="ENT",1,0))),0)</f>
        <v>0</v>
      </c>
    </row>
    <row r="521" spans="1:11" x14ac:dyDescent="0.25">
      <c r="A521" s="109"/>
      <c r="B521" s="109"/>
      <c r="C521" s="109"/>
      <c r="D521" s="109"/>
      <c r="E521" s="109"/>
      <c r="F521" s="109"/>
      <c r="G521" s="109"/>
      <c r="H521" s="109"/>
      <c r="I521" s="68"/>
      <c r="J521">
        <f>IF('House Count'!H521="Y",IF('House Count'!F521="RES-SFU",1,IF('House Count'!F521="RES-MDU",1,IF('House Count'!F521="RES-HOA",1,0))),0)</f>
        <v>0</v>
      </c>
      <c r="K521">
        <f>IF('House Count'!H521="Y",IF('House Count'!F521="COMM-SU",1,IF('House Count'!F521="COM-MTU",1,IF('House Count'!F521="ENT",1,0))),0)</f>
        <v>0</v>
      </c>
    </row>
    <row r="522" spans="1:11" x14ac:dyDescent="0.25">
      <c r="A522" s="109"/>
      <c r="B522" s="109"/>
      <c r="C522" s="109"/>
      <c r="D522" s="109"/>
      <c r="E522" s="109"/>
      <c r="F522" s="109"/>
      <c r="G522" s="109"/>
      <c r="H522" s="109"/>
      <c r="I522" s="68"/>
      <c r="J522">
        <f>IF('House Count'!H522="Y",IF('House Count'!F522="RES-SFU",1,IF('House Count'!F522="RES-MDU",1,IF('House Count'!F522="RES-HOA",1,0))),0)</f>
        <v>0</v>
      </c>
      <c r="K522">
        <f>IF('House Count'!H522="Y",IF('House Count'!F522="COMM-SU",1,IF('House Count'!F522="COM-MTU",1,IF('House Count'!F522="ENT",1,0))),0)</f>
        <v>0</v>
      </c>
    </row>
    <row r="523" spans="1:11" x14ac:dyDescent="0.25">
      <c r="A523" s="109"/>
      <c r="B523" s="109"/>
      <c r="C523" s="109"/>
      <c r="D523" s="109"/>
      <c r="E523" s="109"/>
      <c r="F523" s="109"/>
      <c r="G523" s="109"/>
      <c r="H523" s="109"/>
      <c r="I523" s="68"/>
      <c r="J523">
        <f>IF('House Count'!H523="Y",IF('House Count'!F523="RES-SFU",1,IF('House Count'!F523="RES-MDU",1,IF('House Count'!F523="RES-HOA",1,0))),0)</f>
        <v>0</v>
      </c>
      <c r="K523">
        <f>IF('House Count'!H523="Y",IF('House Count'!F523="COMM-SU",1,IF('House Count'!F523="COM-MTU",1,IF('House Count'!F523="ENT",1,0))),0)</f>
        <v>0</v>
      </c>
    </row>
    <row r="524" spans="1:11" x14ac:dyDescent="0.25">
      <c r="A524" s="109"/>
      <c r="B524" s="109"/>
      <c r="C524" s="109"/>
      <c r="D524" s="109"/>
      <c r="E524" s="109"/>
      <c r="F524" s="109"/>
      <c r="G524" s="109"/>
      <c r="H524" s="109"/>
      <c r="I524" s="68"/>
      <c r="J524">
        <f>IF('House Count'!H524="Y",IF('House Count'!F524="RES-SFU",1,IF('House Count'!F524="RES-MDU",1,IF('House Count'!F524="RES-HOA",1,0))),0)</f>
        <v>0</v>
      </c>
      <c r="K524">
        <f>IF('House Count'!H524="Y",IF('House Count'!F524="COMM-SU",1,IF('House Count'!F524="COM-MTU",1,IF('House Count'!F524="ENT",1,0))),0)</f>
        <v>0</v>
      </c>
    </row>
    <row r="525" spans="1:11" x14ac:dyDescent="0.25">
      <c r="A525" s="109"/>
      <c r="B525" s="109"/>
      <c r="C525" s="109"/>
      <c r="D525" s="109"/>
      <c r="E525" s="109"/>
      <c r="F525" s="109"/>
      <c r="G525" s="109"/>
      <c r="H525" s="109"/>
      <c r="I525" s="68"/>
      <c r="J525">
        <f>IF('House Count'!H525="Y",IF('House Count'!F525="RES-SFU",1,IF('House Count'!F525="RES-MDU",1,IF('House Count'!F525="RES-HOA",1,0))),0)</f>
        <v>0</v>
      </c>
      <c r="K525">
        <f>IF('House Count'!H525="Y",IF('House Count'!F525="COMM-SU",1,IF('House Count'!F525="COM-MTU",1,IF('House Count'!F525="ENT",1,0))),0)</f>
        <v>0</v>
      </c>
    </row>
    <row r="526" spans="1:11" x14ac:dyDescent="0.25">
      <c r="A526" s="109"/>
      <c r="B526" s="109"/>
      <c r="C526" s="109"/>
      <c r="D526" s="109"/>
      <c r="E526" s="109"/>
      <c r="F526" s="109"/>
      <c r="G526" s="109"/>
      <c r="H526" s="109"/>
      <c r="I526" s="68"/>
      <c r="J526">
        <f>IF('House Count'!H526="Y",IF('House Count'!F526="RES-SFU",1,IF('House Count'!F526="RES-MDU",1,IF('House Count'!F526="RES-HOA",1,0))),0)</f>
        <v>0</v>
      </c>
      <c r="K526">
        <f>IF('House Count'!H526="Y",IF('House Count'!F526="COMM-SU",1,IF('House Count'!F526="COM-MTU",1,IF('House Count'!F526="ENT",1,0))),0)</f>
        <v>0</v>
      </c>
    </row>
    <row r="527" spans="1:11" x14ac:dyDescent="0.25">
      <c r="A527" s="109"/>
      <c r="B527" s="109"/>
      <c r="C527" s="109"/>
      <c r="D527" s="109"/>
      <c r="E527" s="109"/>
      <c r="F527" s="109"/>
      <c r="G527" s="109"/>
      <c r="H527" s="109"/>
      <c r="I527" s="68"/>
      <c r="J527">
        <f>IF('House Count'!H527="Y",IF('House Count'!F527="RES-SFU",1,IF('House Count'!F527="RES-MDU",1,IF('House Count'!F527="RES-HOA",1,0))),0)</f>
        <v>0</v>
      </c>
      <c r="K527">
        <f>IF('House Count'!H527="Y",IF('House Count'!F527="COMM-SU",1,IF('House Count'!F527="COM-MTU",1,IF('House Count'!F527="ENT",1,0))),0)</f>
        <v>0</v>
      </c>
    </row>
    <row r="528" spans="1:11" x14ac:dyDescent="0.25">
      <c r="A528" s="109"/>
      <c r="B528" s="109"/>
      <c r="C528" s="109"/>
      <c r="D528" s="109"/>
      <c r="E528" s="109"/>
      <c r="F528" s="109"/>
      <c r="G528" s="109"/>
      <c r="H528" s="109"/>
      <c r="I528" s="68"/>
      <c r="J528">
        <f>IF('House Count'!H528="Y",IF('House Count'!F528="RES-SFU",1,IF('House Count'!F528="RES-MDU",1,IF('House Count'!F528="RES-HOA",1,0))),0)</f>
        <v>0</v>
      </c>
      <c r="K528">
        <f>IF('House Count'!H528="Y",IF('House Count'!F528="COMM-SU",1,IF('House Count'!F528="COM-MTU",1,IF('House Count'!F528="ENT",1,0))),0)</f>
        <v>0</v>
      </c>
    </row>
    <row r="529" spans="1:11" ht="15.75" thickBot="1" x14ac:dyDescent="0.3">
      <c r="A529" s="545"/>
      <c r="B529" s="545"/>
      <c r="C529" s="545"/>
      <c r="D529" s="545"/>
      <c r="E529" s="545"/>
      <c r="F529" s="545"/>
      <c r="G529" s="545"/>
      <c r="H529" s="545"/>
      <c r="I529" s="546"/>
      <c r="J529">
        <f>IF('House Count'!H529="Y",IF('House Count'!F529="RES-SFU",1,IF('House Count'!F529="RES-MDU",1,IF('House Count'!F529="RES-HOA",1,0))),0)</f>
        <v>0</v>
      </c>
      <c r="K529">
        <f>IF('House Count'!H529="Y",IF('House Count'!F529="COMM-SU",1,IF('House Count'!F529="COM-MTU",1,IF('House Count'!F529="ENT",1,0))),0)</f>
        <v>0</v>
      </c>
    </row>
    <row r="530" spans="1:11" ht="15.75" thickTop="1" x14ac:dyDescent="0.25">
      <c r="A530" s="109"/>
      <c r="B530" s="109"/>
      <c r="C530" s="109"/>
      <c r="D530" s="109"/>
      <c r="E530" s="109"/>
      <c r="F530" s="109"/>
      <c r="G530" s="109"/>
      <c r="H530" s="109"/>
      <c r="I530" s="68"/>
      <c r="J530">
        <f>IF('House Count'!H530="Y",IF('House Count'!F530="RES-SFU",1,IF('House Count'!F530="RES-MDU",1,IF('House Count'!F530="RES-HOA",1,0))),0)</f>
        <v>0</v>
      </c>
      <c r="K530">
        <f>IF('House Count'!H530="Y",IF('House Count'!F530="COMM-SU",1,IF('House Count'!F530="COM-MTU",1,IF('House Count'!F530="ENT",1,0))),0)</f>
        <v>0</v>
      </c>
    </row>
    <row r="531" spans="1:11" x14ac:dyDescent="0.25">
      <c r="A531" s="109"/>
      <c r="B531" s="109"/>
      <c r="C531" s="109"/>
      <c r="D531" s="109"/>
      <c r="E531" s="109"/>
      <c r="F531" s="109"/>
      <c r="G531" s="109"/>
      <c r="H531" s="109"/>
      <c r="I531" s="68"/>
      <c r="J531">
        <f>IF('House Count'!H531="Y",IF('House Count'!F531="RES-SFU",1,IF('House Count'!F531="RES-MDU",1,IF('House Count'!F531="RES-HOA",1,0))),0)</f>
        <v>0</v>
      </c>
      <c r="K531">
        <f>IF('House Count'!H531="Y",IF('House Count'!F531="COMM-SU",1,IF('House Count'!F531="COM-MTU",1,IF('House Count'!F531="ENT",1,0))),0)</f>
        <v>0</v>
      </c>
    </row>
    <row r="532" spans="1:11" x14ac:dyDescent="0.25">
      <c r="A532" s="109"/>
      <c r="B532" s="109"/>
      <c r="C532" s="109"/>
      <c r="D532" s="109"/>
      <c r="E532" s="109"/>
      <c r="F532" s="109"/>
      <c r="G532" s="109"/>
      <c r="H532" s="109"/>
      <c r="I532" s="68"/>
      <c r="J532">
        <f>IF('House Count'!H532="Y",IF('House Count'!F532="RES-SFU",1,IF('House Count'!F532="RES-MDU",1,IF('House Count'!F532="RES-HOA",1,0))),0)</f>
        <v>0</v>
      </c>
      <c r="K532">
        <f>IF('House Count'!H532="Y",IF('House Count'!F532="COMM-SU",1,IF('House Count'!F532="COM-MTU",1,IF('House Count'!F532="ENT",1,0))),0)</f>
        <v>0</v>
      </c>
    </row>
    <row r="533" spans="1:11" x14ac:dyDescent="0.25">
      <c r="A533" s="109"/>
      <c r="B533" s="109"/>
      <c r="C533" s="109"/>
      <c r="D533" s="109"/>
      <c r="E533" s="109"/>
      <c r="F533" s="109"/>
      <c r="G533" s="109"/>
      <c r="H533" s="109"/>
      <c r="I533" s="68"/>
      <c r="J533">
        <f>IF('House Count'!H533="Y",IF('House Count'!F533="RES-SFU",1,IF('House Count'!F533="RES-MDU",1,IF('House Count'!F533="RES-HOA",1,0))),0)</f>
        <v>0</v>
      </c>
      <c r="K533">
        <f>IF('House Count'!H533="Y",IF('House Count'!F533="COMM-SU",1,IF('House Count'!F533="COM-MTU",1,IF('House Count'!F533="ENT",1,0))),0)</f>
        <v>0</v>
      </c>
    </row>
    <row r="534" spans="1:11" x14ac:dyDescent="0.25">
      <c r="A534" s="109"/>
      <c r="B534" s="109"/>
      <c r="C534" s="109"/>
      <c r="D534" s="109"/>
      <c r="E534" s="109"/>
      <c r="F534" s="109"/>
      <c r="G534" s="109"/>
      <c r="H534" s="109"/>
      <c r="I534" s="68"/>
      <c r="J534">
        <f>IF('House Count'!H534="Y",IF('House Count'!F534="RES-SFU",1,IF('House Count'!F534="RES-MDU",1,IF('House Count'!F534="RES-HOA",1,0))),0)</f>
        <v>0</v>
      </c>
      <c r="K534">
        <f>IF('House Count'!H534="Y",IF('House Count'!F534="COMM-SU",1,IF('House Count'!F534="COM-MTU",1,IF('House Count'!F534="ENT",1,0))),0)</f>
        <v>0</v>
      </c>
    </row>
    <row r="535" spans="1:11" x14ac:dyDescent="0.25">
      <c r="A535" s="109"/>
      <c r="B535" s="109"/>
      <c r="C535" s="109"/>
      <c r="D535" s="109"/>
      <c r="E535" s="109"/>
      <c r="F535" s="109"/>
      <c r="G535" s="109"/>
      <c r="H535" s="109"/>
      <c r="I535" s="68"/>
      <c r="J535">
        <f>IF('House Count'!H535="Y",IF('House Count'!F535="RES-SFU",1,IF('House Count'!F535="RES-MDU",1,IF('House Count'!F535="RES-HOA",1,0))),0)</f>
        <v>0</v>
      </c>
      <c r="K535">
        <f>IF('House Count'!H535="Y",IF('House Count'!F535="COMM-SU",1,IF('House Count'!F535="COM-MTU",1,IF('House Count'!F535="ENT",1,0))),0)</f>
        <v>0</v>
      </c>
    </row>
    <row r="536" spans="1:11" x14ac:dyDescent="0.25">
      <c r="A536" s="109"/>
      <c r="B536" s="109"/>
      <c r="C536" s="109"/>
      <c r="D536" s="109"/>
      <c r="E536" s="109"/>
      <c r="F536" s="109"/>
      <c r="G536" s="109"/>
      <c r="H536" s="109"/>
      <c r="I536" s="68"/>
      <c r="J536">
        <f>IF('House Count'!H536="Y",IF('House Count'!F536="RES-SFU",1,IF('House Count'!F536="RES-MDU",1,IF('House Count'!F536="RES-HOA",1,0))),0)</f>
        <v>0</v>
      </c>
      <c r="K536">
        <f>IF('House Count'!H536="Y",IF('House Count'!F536="COMM-SU",1,IF('House Count'!F536="COM-MTU",1,IF('House Count'!F536="ENT",1,0))),0)</f>
        <v>0</v>
      </c>
    </row>
    <row r="537" spans="1:11" x14ac:dyDescent="0.25">
      <c r="A537" s="109"/>
      <c r="B537" s="109"/>
      <c r="C537" s="109"/>
      <c r="D537" s="109"/>
      <c r="E537" s="109"/>
      <c r="F537" s="109"/>
      <c r="G537" s="109"/>
      <c r="H537" s="109"/>
      <c r="I537" s="68"/>
      <c r="J537">
        <f>IF('House Count'!H537="Y",IF('House Count'!F537="RES-SFU",1,IF('House Count'!F537="RES-MDU",1,IF('House Count'!F537="RES-HOA",1,0))),0)</f>
        <v>0</v>
      </c>
      <c r="K537">
        <f>IF('House Count'!H537="Y",IF('House Count'!F537="COMM-SU",1,IF('House Count'!F537="COM-MTU",1,IF('House Count'!F537="ENT",1,0))),0)</f>
        <v>0</v>
      </c>
    </row>
    <row r="538" spans="1:11" x14ac:dyDescent="0.25">
      <c r="A538" s="109"/>
      <c r="B538" s="109"/>
      <c r="C538" s="109"/>
      <c r="D538" s="109"/>
      <c r="E538" s="109"/>
      <c r="F538" s="109"/>
      <c r="G538" s="109"/>
      <c r="H538" s="109"/>
      <c r="I538" s="68"/>
      <c r="J538">
        <f>IF('House Count'!H538="Y",IF('House Count'!F538="RES-SFU",1,IF('House Count'!F538="RES-MDU",1,IF('House Count'!F538="RES-HOA",1,0))),0)</f>
        <v>0</v>
      </c>
      <c r="K538">
        <f>IF('House Count'!H538="Y",IF('House Count'!F538="COMM-SU",1,IF('House Count'!F538="COM-MTU",1,IF('House Count'!F538="ENT",1,0))),0)</f>
        <v>0</v>
      </c>
    </row>
    <row r="539" spans="1:11" x14ac:dyDescent="0.25">
      <c r="A539" s="109"/>
      <c r="B539" s="109"/>
      <c r="C539" s="109"/>
      <c r="D539" s="109"/>
      <c r="E539" s="109"/>
      <c r="F539" s="109"/>
      <c r="G539" s="109"/>
      <c r="H539" s="109"/>
      <c r="I539" s="68"/>
      <c r="J539">
        <f>IF('House Count'!H539="Y",IF('House Count'!F539="RES-SFU",1,IF('House Count'!F539="RES-MDU",1,IF('House Count'!F539="RES-HOA",1,0))),0)</f>
        <v>0</v>
      </c>
      <c r="K539">
        <f>IF('House Count'!H539="Y",IF('House Count'!F539="COMM-SU",1,IF('House Count'!F539="COM-MTU",1,IF('House Count'!F539="ENT",1,0))),0)</f>
        <v>0</v>
      </c>
    </row>
    <row r="540" spans="1:11" x14ac:dyDescent="0.25">
      <c r="A540" s="109"/>
      <c r="B540" s="109"/>
      <c r="C540" s="109"/>
      <c r="D540" s="109"/>
      <c r="E540" s="109"/>
      <c r="F540" s="109"/>
      <c r="G540" s="109"/>
      <c r="H540" s="109"/>
      <c r="I540" s="68"/>
      <c r="J540">
        <f>IF('House Count'!H540="Y",IF('House Count'!F540="RES-SFU",1,IF('House Count'!F540="RES-MDU",1,IF('House Count'!F540="RES-HOA",1,0))),0)</f>
        <v>0</v>
      </c>
      <c r="K540">
        <f>IF('House Count'!H540="Y",IF('House Count'!F540="COMM-SU",1,IF('House Count'!F540="COM-MTU",1,IF('House Count'!F540="ENT",1,0))),0)</f>
        <v>0</v>
      </c>
    </row>
    <row r="541" spans="1:11" ht="15.75" thickBot="1" x14ac:dyDescent="0.3">
      <c r="A541" s="545"/>
      <c r="B541" s="545"/>
      <c r="C541" s="545"/>
      <c r="D541" s="545"/>
      <c r="E541" s="545"/>
      <c r="F541" s="545"/>
      <c r="G541" s="545"/>
      <c r="H541" s="545"/>
      <c r="I541" s="546"/>
      <c r="J541">
        <f>IF('House Count'!H541="Y",IF('House Count'!F541="RES-SFU",1,IF('House Count'!F541="RES-MDU",1,IF('House Count'!F541="RES-HOA",1,0))),0)</f>
        <v>0</v>
      </c>
      <c r="K541">
        <f>IF('House Count'!H541="Y",IF('House Count'!F541="COMM-SU",1,IF('House Count'!F541="COM-MTU",1,IF('House Count'!F541="ENT",1,0))),0)</f>
        <v>0</v>
      </c>
    </row>
    <row r="542" spans="1:11" ht="15.75" thickTop="1" x14ac:dyDescent="0.25">
      <c r="A542" s="109"/>
      <c r="B542" s="109"/>
      <c r="C542" s="109"/>
      <c r="D542" s="109"/>
      <c r="E542" s="109"/>
      <c r="F542" s="109"/>
      <c r="G542" s="109"/>
      <c r="H542" s="109"/>
      <c r="I542" s="68"/>
      <c r="J542">
        <f>IF('House Count'!H542="Y",IF('House Count'!F542="RES-SFU",1,IF('House Count'!F542="RES-MDU",1,IF('House Count'!F542="RES-HOA",1,0))),0)</f>
        <v>0</v>
      </c>
      <c r="K542">
        <f>IF('House Count'!H542="Y",IF('House Count'!F542="COMM-SU",1,IF('House Count'!F542="COM-MTU",1,IF('House Count'!F542="ENT",1,0))),0)</f>
        <v>0</v>
      </c>
    </row>
    <row r="543" spans="1:11" x14ac:dyDescent="0.25">
      <c r="A543" s="109"/>
      <c r="B543" s="109"/>
      <c r="C543" s="109"/>
      <c r="D543" s="109"/>
      <c r="E543" s="109"/>
      <c r="F543" s="109"/>
      <c r="G543" s="109"/>
      <c r="H543" s="109"/>
      <c r="I543" s="68"/>
      <c r="J543">
        <f>IF('House Count'!H543="Y",IF('House Count'!F543="RES-SFU",1,IF('House Count'!F543="RES-MDU",1,IF('House Count'!F543="RES-HOA",1,0))),0)</f>
        <v>0</v>
      </c>
      <c r="K543">
        <f>IF('House Count'!H543="Y",IF('House Count'!F543="COMM-SU",1,IF('House Count'!F543="COM-MTU",1,IF('House Count'!F543="ENT",1,0))),0)</f>
        <v>0</v>
      </c>
    </row>
    <row r="544" spans="1:11" x14ac:dyDescent="0.25">
      <c r="A544" s="109"/>
      <c r="B544" s="109"/>
      <c r="C544" s="109"/>
      <c r="D544" s="109"/>
      <c r="E544" s="109"/>
      <c r="F544" s="109"/>
      <c r="G544" s="109"/>
      <c r="H544" s="109"/>
      <c r="I544" s="68"/>
      <c r="J544">
        <f>IF('House Count'!H544="Y",IF('House Count'!F544="RES-SFU",1,IF('House Count'!F544="RES-MDU",1,IF('House Count'!F544="RES-HOA",1,0))),0)</f>
        <v>0</v>
      </c>
      <c r="K544">
        <f>IF('House Count'!H544="Y",IF('House Count'!F544="COMM-SU",1,IF('House Count'!F544="COM-MTU",1,IF('House Count'!F544="ENT",1,0))),0)</f>
        <v>0</v>
      </c>
    </row>
    <row r="545" spans="1:11" x14ac:dyDescent="0.25">
      <c r="A545" s="109"/>
      <c r="B545" s="109"/>
      <c r="C545" s="109"/>
      <c r="D545" s="109"/>
      <c r="E545" s="109"/>
      <c r="F545" s="109"/>
      <c r="G545" s="109"/>
      <c r="H545" s="109"/>
      <c r="I545" s="68"/>
      <c r="J545">
        <f>IF('House Count'!H545="Y",IF('House Count'!F545="RES-SFU",1,IF('House Count'!F545="RES-MDU",1,IF('House Count'!F545="RES-HOA",1,0))),0)</f>
        <v>0</v>
      </c>
      <c r="K545">
        <f>IF('House Count'!H545="Y",IF('House Count'!F545="COMM-SU",1,IF('House Count'!F545="COM-MTU",1,IF('House Count'!F545="ENT",1,0))),0)</f>
        <v>0</v>
      </c>
    </row>
    <row r="546" spans="1:11" x14ac:dyDescent="0.25">
      <c r="A546" s="109"/>
      <c r="B546" s="109"/>
      <c r="C546" s="109"/>
      <c r="D546" s="109"/>
      <c r="E546" s="109"/>
      <c r="F546" s="109"/>
      <c r="G546" s="109"/>
      <c r="H546" s="109"/>
      <c r="I546" s="68"/>
      <c r="J546">
        <f>IF('House Count'!H546="Y",IF('House Count'!F546="RES-SFU",1,IF('House Count'!F546="RES-MDU",1,IF('House Count'!F546="RES-HOA",1,0))),0)</f>
        <v>0</v>
      </c>
      <c r="K546">
        <f>IF('House Count'!H546="Y",IF('House Count'!F546="COMM-SU",1,IF('House Count'!F546="COM-MTU",1,IF('House Count'!F546="ENT",1,0))),0)</f>
        <v>0</v>
      </c>
    </row>
    <row r="547" spans="1:11" x14ac:dyDescent="0.25">
      <c r="A547" s="109"/>
      <c r="B547" s="109"/>
      <c r="C547" s="109"/>
      <c r="D547" s="109"/>
      <c r="E547" s="109"/>
      <c r="F547" s="109"/>
      <c r="G547" s="109"/>
      <c r="H547" s="109"/>
      <c r="I547" s="68"/>
      <c r="J547">
        <f>IF('House Count'!H547="Y",IF('House Count'!F547="RES-SFU",1,IF('House Count'!F547="RES-MDU",1,IF('House Count'!F547="RES-HOA",1,0))),0)</f>
        <v>0</v>
      </c>
      <c r="K547">
        <f>IF('House Count'!H547="Y",IF('House Count'!F547="COMM-SU",1,IF('House Count'!F547="COM-MTU",1,IF('House Count'!F547="ENT",1,0))),0)</f>
        <v>0</v>
      </c>
    </row>
    <row r="548" spans="1:11" x14ac:dyDescent="0.25">
      <c r="A548" s="109"/>
      <c r="B548" s="109"/>
      <c r="C548" s="109"/>
      <c r="D548" s="109"/>
      <c r="E548" s="109"/>
      <c r="F548" s="109"/>
      <c r="G548" s="109"/>
      <c r="H548" s="109"/>
      <c r="I548" s="68"/>
      <c r="J548">
        <f>IF('House Count'!H548="Y",IF('House Count'!F548="RES-SFU",1,IF('House Count'!F548="RES-MDU",1,IF('House Count'!F548="RES-HOA",1,0))),0)</f>
        <v>0</v>
      </c>
      <c r="K548">
        <f>IF('House Count'!H548="Y",IF('House Count'!F548="COMM-SU",1,IF('House Count'!F548="COM-MTU",1,IF('House Count'!F548="ENT",1,0))),0)</f>
        <v>0</v>
      </c>
    </row>
    <row r="549" spans="1:11" x14ac:dyDescent="0.25">
      <c r="A549" s="109"/>
      <c r="B549" s="109"/>
      <c r="C549" s="109"/>
      <c r="D549" s="109"/>
      <c r="E549" s="109"/>
      <c r="F549" s="109"/>
      <c r="G549" s="109"/>
      <c r="H549" s="109"/>
      <c r="I549" s="68"/>
      <c r="J549">
        <f>IF('House Count'!H549="Y",IF('House Count'!F549="RES-SFU",1,IF('House Count'!F549="RES-MDU",1,IF('House Count'!F549="RES-HOA",1,0))),0)</f>
        <v>0</v>
      </c>
      <c r="K549">
        <f>IF('House Count'!H549="Y",IF('House Count'!F549="COMM-SU",1,IF('House Count'!F549="COM-MTU",1,IF('House Count'!F549="ENT",1,0))),0)</f>
        <v>0</v>
      </c>
    </row>
    <row r="550" spans="1:11" x14ac:dyDescent="0.25">
      <c r="A550" s="109"/>
      <c r="B550" s="109"/>
      <c r="C550" s="109"/>
      <c r="D550" s="109"/>
      <c r="E550" s="109"/>
      <c r="F550" s="109"/>
      <c r="G550" s="109"/>
      <c r="H550" s="109"/>
      <c r="I550" s="68"/>
      <c r="J550">
        <f>IF('House Count'!H550="Y",IF('House Count'!F550="RES-SFU",1,IF('House Count'!F550="RES-MDU",1,IF('House Count'!F550="RES-HOA",1,0))),0)</f>
        <v>0</v>
      </c>
      <c r="K550">
        <f>IF('House Count'!H550="Y",IF('House Count'!F550="COMM-SU",1,IF('House Count'!F550="COM-MTU",1,IF('House Count'!F550="ENT",1,0))),0)</f>
        <v>0</v>
      </c>
    </row>
    <row r="551" spans="1:11" x14ac:dyDescent="0.25">
      <c r="A551" s="109"/>
      <c r="B551" s="109"/>
      <c r="C551" s="109"/>
      <c r="D551" s="109"/>
      <c r="E551" s="109"/>
      <c r="F551" s="109"/>
      <c r="G551" s="109"/>
      <c r="H551" s="109"/>
      <c r="I551" s="68"/>
      <c r="J551">
        <f>IF('House Count'!H551="Y",IF('House Count'!F551="RES-SFU",1,IF('House Count'!F551="RES-MDU",1,IF('House Count'!F551="RES-HOA",1,0))),0)</f>
        <v>0</v>
      </c>
      <c r="K551">
        <f>IF('House Count'!H551="Y",IF('House Count'!F551="COMM-SU",1,IF('House Count'!F551="COM-MTU",1,IF('House Count'!F551="ENT",1,0))),0)</f>
        <v>0</v>
      </c>
    </row>
    <row r="552" spans="1:11" x14ac:dyDescent="0.25">
      <c r="A552" s="109"/>
      <c r="B552" s="109"/>
      <c r="C552" s="109"/>
      <c r="D552" s="109"/>
      <c r="E552" s="109"/>
      <c r="F552" s="109"/>
      <c r="G552" s="109"/>
      <c r="H552" s="109"/>
      <c r="I552" s="68"/>
      <c r="J552">
        <f>IF('House Count'!H552="Y",IF('House Count'!F552="RES-SFU",1,IF('House Count'!F552="RES-MDU",1,IF('House Count'!F552="RES-HOA",1,0))),0)</f>
        <v>0</v>
      </c>
      <c r="K552">
        <f>IF('House Count'!H552="Y",IF('House Count'!F552="COMM-SU",1,IF('House Count'!F552="COM-MTU",1,IF('House Count'!F552="ENT",1,0))),0)</f>
        <v>0</v>
      </c>
    </row>
    <row r="553" spans="1:11" ht="15.75" thickBot="1" x14ac:dyDescent="0.3">
      <c r="A553" s="545"/>
      <c r="B553" s="545"/>
      <c r="C553" s="545"/>
      <c r="D553" s="545"/>
      <c r="E553" s="545"/>
      <c r="F553" s="545"/>
      <c r="G553" s="545"/>
      <c r="H553" s="545"/>
      <c r="I553" s="546"/>
      <c r="J553">
        <f>IF('House Count'!H553="Y",IF('House Count'!F553="RES-SFU",1,IF('House Count'!F553="RES-MDU",1,IF('House Count'!F553="RES-HOA",1,0))),0)</f>
        <v>0</v>
      </c>
      <c r="K553">
        <f>IF('House Count'!H553="Y",IF('House Count'!F553="COMM-SU",1,IF('House Count'!F553="COM-MTU",1,IF('House Count'!F553="ENT",1,0))),0)</f>
        <v>0</v>
      </c>
    </row>
    <row r="554" spans="1:11" ht="15.75" thickTop="1" x14ac:dyDescent="0.25">
      <c r="A554" s="109"/>
      <c r="B554" s="109"/>
      <c r="C554" s="109"/>
      <c r="D554" s="109"/>
      <c r="E554" s="109"/>
      <c r="F554" s="109"/>
      <c r="G554" s="109"/>
      <c r="H554" s="109"/>
      <c r="I554" s="68"/>
      <c r="J554">
        <f>IF('House Count'!H554="Y",IF('House Count'!F554="RES-SFU",1,IF('House Count'!F554="RES-MDU",1,IF('House Count'!F554="RES-HOA",1,0))),0)</f>
        <v>0</v>
      </c>
      <c r="K554">
        <f>IF('House Count'!H554="Y",IF('House Count'!F554="COMM-SU",1,IF('House Count'!F554="COM-MTU",1,IF('House Count'!F554="ENT",1,0))),0)</f>
        <v>0</v>
      </c>
    </row>
    <row r="555" spans="1:11" x14ac:dyDescent="0.25">
      <c r="A555" s="109"/>
      <c r="B555" s="109"/>
      <c r="C555" s="109"/>
      <c r="D555" s="109"/>
      <c r="E555" s="109"/>
      <c r="F555" s="109"/>
      <c r="G555" s="109"/>
      <c r="H555" s="109"/>
      <c r="I555" s="68"/>
      <c r="J555">
        <f>IF('House Count'!H555="Y",IF('House Count'!F555="RES-SFU",1,IF('House Count'!F555="RES-MDU",1,IF('House Count'!F555="RES-HOA",1,0))),0)</f>
        <v>0</v>
      </c>
      <c r="K555">
        <f>IF('House Count'!H555="Y",IF('House Count'!F555="COMM-SU",1,IF('House Count'!F555="COM-MTU",1,IF('House Count'!F555="ENT",1,0))),0)</f>
        <v>0</v>
      </c>
    </row>
    <row r="556" spans="1:11" x14ac:dyDescent="0.25">
      <c r="A556" s="109"/>
      <c r="B556" s="109"/>
      <c r="C556" s="109"/>
      <c r="D556" s="109"/>
      <c r="E556" s="109"/>
      <c r="F556" s="109"/>
      <c r="G556" s="109"/>
      <c r="H556" s="109"/>
      <c r="I556" s="68"/>
      <c r="J556">
        <f>IF('House Count'!H556="Y",IF('House Count'!F556="RES-SFU",1,IF('House Count'!F556="RES-MDU",1,IF('House Count'!F556="RES-HOA",1,0))),0)</f>
        <v>0</v>
      </c>
      <c r="K556">
        <f>IF('House Count'!H556="Y",IF('House Count'!F556="COMM-SU",1,IF('House Count'!F556="COM-MTU",1,IF('House Count'!F556="ENT",1,0))),0)</f>
        <v>0</v>
      </c>
    </row>
    <row r="557" spans="1:11" x14ac:dyDescent="0.25">
      <c r="A557" s="109"/>
      <c r="B557" s="109"/>
      <c r="C557" s="109"/>
      <c r="D557" s="109"/>
      <c r="E557" s="109"/>
      <c r="F557" s="109"/>
      <c r="G557" s="109"/>
      <c r="H557" s="109"/>
      <c r="I557" s="68"/>
      <c r="J557">
        <f>IF('House Count'!H557="Y",IF('House Count'!F557="RES-SFU",1,IF('House Count'!F557="RES-MDU",1,IF('House Count'!F557="RES-HOA",1,0))),0)</f>
        <v>0</v>
      </c>
      <c r="K557">
        <f>IF('House Count'!H557="Y",IF('House Count'!F557="COMM-SU",1,IF('House Count'!F557="COM-MTU",1,IF('House Count'!F557="ENT",1,0))),0)</f>
        <v>0</v>
      </c>
    </row>
    <row r="558" spans="1:11" x14ac:dyDescent="0.25">
      <c r="A558" s="109"/>
      <c r="B558" s="109"/>
      <c r="C558" s="109"/>
      <c r="D558" s="109"/>
      <c r="E558" s="109"/>
      <c r="F558" s="109"/>
      <c r="G558" s="109"/>
      <c r="H558" s="109"/>
      <c r="I558" s="68"/>
      <c r="J558">
        <f>IF('House Count'!H558="Y",IF('House Count'!F558="RES-SFU",1,IF('House Count'!F558="RES-MDU",1,IF('House Count'!F558="RES-HOA",1,0))),0)</f>
        <v>0</v>
      </c>
      <c r="K558">
        <f>IF('House Count'!H558="Y",IF('House Count'!F558="COMM-SU",1,IF('House Count'!F558="COM-MTU",1,IF('House Count'!F558="ENT",1,0))),0)</f>
        <v>0</v>
      </c>
    </row>
    <row r="559" spans="1:11" x14ac:dyDescent="0.25">
      <c r="A559" s="109"/>
      <c r="B559" s="109"/>
      <c r="C559" s="109"/>
      <c r="D559" s="109"/>
      <c r="E559" s="109"/>
      <c r="F559" s="109"/>
      <c r="G559" s="109"/>
      <c r="H559" s="109"/>
      <c r="I559" s="68"/>
      <c r="J559">
        <f>IF('House Count'!H559="Y",IF('House Count'!F559="RES-SFU",1,IF('House Count'!F559="RES-MDU",1,IF('House Count'!F559="RES-HOA",1,0))),0)</f>
        <v>0</v>
      </c>
      <c r="K559">
        <f>IF('House Count'!H559="Y",IF('House Count'!F559="COMM-SU",1,IF('House Count'!F559="COM-MTU",1,IF('House Count'!F559="ENT",1,0))),0)</f>
        <v>0</v>
      </c>
    </row>
    <row r="560" spans="1:11" x14ac:dyDescent="0.25">
      <c r="A560" s="109"/>
      <c r="B560" s="109"/>
      <c r="C560" s="109"/>
      <c r="D560" s="109"/>
      <c r="E560" s="109"/>
      <c r="F560" s="109"/>
      <c r="G560" s="109"/>
      <c r="H560" s="109"/>
      <c r="I560" s="68"/>
      <c r="J560">
        <f>IF('House Count'!H560="Y",IF('House Count'!F560="RES-SFU",1,IF('House Count'!F560="RES-MDU",1,IF('House Count'!F560="RES-HOA",1,0))),0)</f>
        <v>0</v>
      </c>
      <c r="K560">
        <f>IF('House Count'!H560="Y",IF('House Count'!F560="COMM-SU",1,IF('House Count'!F560="COM-MTU",1,IF('House Count'!F560="ENT",1,0))),0)</f>
        <v>0</v>
      </c>
    </row>
    <row r="561" spans="1:11" x14ac:dyDescent="0.25">
      <c r="A561" s="109"/>
      <c r="B561" s="109"/>
      <c r="C561" s="109"/>
      <c r="D561" s="109"/>
      <c r="E561" s="109"/>
      <c r="F561" s="109"/>
      <c r="G561" s="109"/>
      <c r="H561" s="109"/>
      <c r="I561" s="68"/>
      <c r="J561">
        <f>IF('House Count'!H561="Y",IF('House Count'!F561="RES-SFU",1,IF('House Count'!F561="RES-MDU",1,IF('House Count'!F561="RES-HOA",1,0))),0)</f>
        <v>0</v>
      </c>
      <c r="K561">
        <f>IF('House Count'!H561="Y",IF('House Count'!F561="COMM-SU",1,IF('House Count'!F561="COM-MTU",1,IF('House Count'!F561="ENT",1,0))),0)</f>
        <v>0</v>
      </c>
    </row>
    <row r="562" spans="1:11" x14ac:dyDescent="0.25">
      <c r="A562" s="109"/>
      <c r="B562" s="109"/>
      <c r="C562" s="109"/>
      <c r="D562" s="109"/>
      <c r="E562" s="109"/>
      <c r="F562" s="109"/>
      <c r="G562" s="109"/>
      <c r="H562" s="109"/>
      <c r="I562" s="68"/>
      <c r="J562">
        <f>IF('House Count'!H562="Y",IF('House Count'!F562="RES-SFU",1,IF('House Count'!F562="RES-MDU",1,IF('House Count'!F562="RES-HOA",1,0))),0)</f>
        <v>0</v>
      </c>
      <c r="K562">
        <f>IF('House Count'!H562="Y",IF('House Count'!F562="COMM-SU",1,IF('House Count'!F562="COM-MTU",1,IF('House Count'!F562="ENT",1,0))),0)</f>
        <v>0</v>
      </c>
    </row>
    <row r="563" spans="1:11" x14ac:dyDescent="0.25">
      <c r="A563" s="109"/>
      <c r="B563" s="109"/>
      <c r="C563" s="109"/>
      <c r="D563" s="109"/>
      <c r="E563" s="109"/>
      <c r="F563" s="109"/>
      <c r="G563" s="109"/>
      <c r="H563" s="109"/>
      <c r="I563" s="68"/>
      <c r="J563">
        <f>IF('House Count'!H563="Y",IF('House Count'!F563="RES-SFU",1,IF('House Count'!F563="RES-MDU",1,IF('House Count'!F563="RES-HOA",1,0))),0)</f>
        <v>0</v>
      </c>
      <c r="K563">
        <f>IF('House Count'!H563="Y",IF('House Count'!F563="COMM-SU",1,IF('House Count'!F563="COM-MTU",1,IF('House Count'!F563="ENT",1,0))),0)</f>
        <v>0</v>
      </c>
    </row>
    <row r="564" spans="1:11" x14ac:dyDescent="0.25">
      <c r="A564" s="109"/>
      <c r="B564" s="109"/>
      <c r="C564" s="109"/>
      <c r="D564" s="109"/>
      <c r="E564" s="109"/>
      <c r="F564" s="109"/>
      <c r="G564" s="109"/>
      <c r="H564" s="109"/>
      <c r="I564" s="68"/>
      <c r="J564">
        <f>IF('House Count'!H564="Y",IF('House Count'!F564="RES-SFU",1,IF('House Count'!F564="RES-MDU",1,IF('House Count'!F564="RES-HOA",1,0))),0)</f>
        <v>0</v>
      </c>
      <c r="K564">
        <f>IF('House Count'!H564="Y",IF('House Count'!F564="COMM-SU",1,IF('House Count'!F564="COM-MTU",1,IF('House Count'!F564="ENT",1,0))),0)</f>
        <v>0</v>
      </c>
    </row>
    <row r="565" spans="1:11" ht="15.75" thickBot="1" x14ac:dyDescent="0.3">
      <c r="A565" s="545"/>
      <c r="B565" s="545"/>
      <c r="C565" s="545"/>
      <c r="D565" s="545"/>
      <c r="E565" s="545"/>
      <c r="F565" s="545"/>
      <c r="G565" s="545"/>
      <c r="H565" s="545"/>
      <c r="I565" s="546"/>
      <c r="J565">
        <f>IF('House Count'!H565="Y",IF('House Count'!F565="RES-SFU",1,IF('House Count'!F565="RES-MDU",1,IF('House Count'!F565="RES-HOA",1,0))),0)</f>
        <v>0</v>
      </c>
      <c r="K565">
        <f>IF('House Count'!H565="Y",IF('House Count'!F565="COMM-SU",1,IF('House Count'!F565="COM-MTU",1,IF('House Count'!F565="ENT",1,0))),0)</f>
        <v>0</v>
      </c>
    </row>
    <row r="566" spans="1:11" ht="15.75" thickTop="1" x14ac:dyDescent="0.25">
      <c r="A566" s="109"/>
      <c r="B566" s="109"/>
      <c r="C566" s="109"/>
      <c r="D566" s="109"/>
      <c r="E566" s="109"/>
      <c r="F566" s="109"/>
      <c r="G566" s="109"/>
      <c r="H566" s="109"/>
      <c r="I566" s="68"/>
      <c r="J566">
        <f>IF('House Count'!H566="Y",IF('House Count'!F566="RES-SFU",1,IF('House Count'!F566="RES-MDU",1,IF('House Count'!F566="RES-HOA",1,0))),0)</f>
        <v>0</v>
      </c>
      <c r="K566">
        <f>IF('House Count'!H566="Y",IF('House Count'!F566="COMM-SU",1,IF('House Count'!F566="COM-MTU",1,IF('House Count'!F566="ENT",1,0))),0)</f>
        <v>0</v>
      </c>
    </row>
    <row r="567" spans="1:11" x14ac:dyDescent="0.25">
      <c r="A567" s="109"/>
      <c r="B567" s="109"/>
      <c r="C567" s="109"/>
      <c r="D567" s="109"/>
      <c r="E567" s="109"/>
      <c r="F567" s="109"/>
      <c r="G567" s="109"/>
      <c r="H567" s="109"/>
      <c r="I567" s="68"/>
      <c r="J567">
        <f>IF('House Count'!H567="Y",IF('House Count'!F567="RES-SFU",1,IF('House Count'!F567="RES-MDU",1,IF('House Count'!F567="RES-HOA",1,0))),0)</f>
        <v>0</v>
      </c>
      <c r="K567">
        <f>IF('House Count'!H567="Y",IF('House Count'!F567="COMM-SU",1,IF('House Count'!F567="COM-MTU",1,IF('House Count'!F567="ENT",1,0))),0)</f>
        <v>0</v>
      </c>
    </row>
    <row r="568" spans="1:11" x14ac:dyDescent="0.25">
      <c r="A568" s="109"/>
      <c r="B568" s="109"/>
      <c r="C568" s="109"/>
      <c r="D568" s="109"/>
      <c r="E568" s="109"/>
      <c r="F568" s="109"/>
      <c r="G568" s="109"/>
      <c r="H568" s="109"/>
      <c r="I568" s="68"/>
      <c r="J568">
        <f>IF('House Count'!H568="Y",IF('House Count'!F568="RES-SFU",1,IF('House Count'!F568="RES-MDU",1,IF('House Count'!F568="RES-HOA",1,0))),0)</f>
        <v>0</v>
      </c>
      <c r="K568">
        <f>IF('House Count'!H568="Y",IF('House Count'!F568="COMM-SU",1,IF('House Count'!F568="COM-MTU",1,IF('House Count'!F568="ENT",1,0))),0)</f>
        <v>0</v>
      </c>
    </row>
    <row r="569" spans="1:11" x14ac:dyDescent="0.25">
      <c r="A569" s="109"/>
      <c r="B569" s="109"/>
      <c r="C569" s="109"/>
      <c r="D569" s="109"/>
      <c r="E569" s="109"/>
      <c r="F569" s="109"/>
      <c r="G569" s="109"/>
      <c r="H569" s="109"/>
      <c r="I569" s="68"/>
      <c r="J569">
        <f>IF('House Count'!H569="Y",IF('House Count'!F569="RES-SFU",1,IF('House Count'!F569="RES-MDU",1,IF('House Count'!F569="RES-HOA",1,0))),0)</f>
        <v>0</v>
      </c>
      <c r="K569">
        <f>IF('House Count'!H569="Y",IF('House Count'!F569="COMM-SU",1,IF('House Count'!F569="COM-MTU",1,IF('House Count'!F569="ENT",1,0))),0)</f>
        <v>0</v>
      </c>
    </row>
    <row r="570" spans="1:11" x14ac:dyDescent="0.25">
      <c r="A570" s="109"/>
      <c r="B570" s="109"/>
      <c r="C570" s="109"/>
      <c r="D570" s="109"/>
      <c r="E570" s="109"/>
      <c r="F570" s="109"/>
      <c r="G570" s="109"/>
      <c r="H570" s="109"/>
      <c r="I570" s="68"/>
      <c r="J570">
        <f>IF('House Count'!H570="Y",IF('House Count'!F570="RES-SFU",1,IF('House Count'!F570="RES-MDU",1,IF('House Count'!F570="RES-HOA",1,0))),0)</f>
        <v>0</v>
      </c>
      <c r="K570">
        <f>IF('House Count'!H570="Y",IF('House Count'!F570="COMM-SU",1,IF('House Count'!F570="COM-MTU",1,IF('House Count'!F570="ENT",1,0))),0)</f>
        <v>0</v>
      </c>
    </row>
    <row r="571" spans="1:11" x14ac:dyDescent="0.25">
      <c r="A571" s="109"/>
      <c r="B571" s="109"/>
      <c r="C571" s="109"/>
      <c r="D571" s="109"/>
      <c r="E571" s="109"/>
      <c r="F571" s="109"/>
      <c r="G571" s="109"/>
      <c r="H571" s="109"/>
      <c r="I571" s="68"/>
      <c r="J571">
        <f>IF('House Count'!H571="Y",IF('House Count'!F571="RES-SFU",1,IF('House Count'!F571="RES-MDU",1,IF('House Count'!F571="RES-HOA",1,0))),0)</f>
        <v>0</v>
      </c>
      <c r="K571">
        <f>IF('House Count'!H571="Y",IF('House Count'!F571="COMM-SU",1,IF('House Count'!F571="COM-MTU",1,IF('House Count'!F571="ENT",1,0))),0)</f>
        <v>0</v>
      </c>
    </row>
    <row r="572" spans="1:11" x14ac:dyDescent="0.25">
      <c r="A572" s="109"/>
      <c r="B572" s="109"/>
      <c r="C572" s="109"/>
      <c r="D572" s="109"/>
      <c r="E572" s="109"/>
      <c r="F572" s="109"/>
      <c r="G572" s="109"/>
      <c r="H572" s="109"/>
      <c r="I572" s="68"/>
      <c r="J572">
        <f>IF('House Count'!H572="Y",IF('House Count'!F572="RES-SFU",1,IF('House Count'!F572="RES-MDU",1,IF('House Count'!F572="RES-HOA",1,0))),0)</f>
        <v>0</v>
      </c>
      <c r="K572">
        <f>IF('House Count'!H572="Y",IF('House Count'!F572="COMM-SU",1,IF('House Count'!F572="COM-MTU",1,IF('House Count'!F572="ENT",1,0))),0)</f>
        <v>0</v>
      </c>
    </row>
    <row r="573" spans="1:11" x14ac:dyDescent="0.25">
      <c r="A573" s="109"/>
      <c r="B573" s="109"/>
      <c r="C573" s="109"/>
      <c r="D573" s="109"/>
      <c r="E573" s="109"/>
      <c r="F573" s="109"/>
      <c r="G573" s="109"/>
      <c r="H573" s="109"/>
      <c r="I573" s="68"/>
      <c r="J573">
        <f>IF('House Count'!H573="Y",IF('House Count'!F573="RES-SFU",1,IF('House Count'!F573="RES-MDU",1,IF('House Count'!F573="RES-HOA",1,0))),0)</f>
        <v>0</v>
      </c>
      <c r="K573">
        <f>IF('House Count'!H573="Y",IF('House Count'!F573="COMM-SU",1,IF('House Count'!F573="COM-MTU",1,IF('House Count'!F573="ENT",1,0))),0)</f>
        <v>0</v>
      </c>
    </row>
    <row r="574" spans="1:11" x14ac:dyDescent="0.25">
      <c r="A574" s="109"/>
      <c r="B574" s="109"/>
      <c r="C574" s="109"/>
      <c r="D574" s="109"/>
      <c r="E574" s="109"/>
      <c r="F574" s="109"/>
      <c r="G574" s="109"/>
      <c r="H574" s="109"/>
      <c r="I574" s="68"/>
      <c r="J574">
        <f>IF('House Count'!H574="Y",IF('House Count'!F574="RES-SFU",1,IF('House Count'!F574="RES-MDU",1,IF('House Count'!F574="RES-HOA",1,0))),0)</f>
        <v>0</v>
      </c>
      <c r="K574">
        <f>IF('House Count'!H574="Y",IF('House Count'!F574="COMM-SU",1,IF('House Count'!F574="COM-MTU",1,IF('House Count'!F574="ENT",1,0))),0)</f>
        <v>0</v>
      </c>
    </row>
    <row r="575" spans="1:11" x14ac:dyDescent="0.25">
      <c r="A575" s="109"/>
      <c r="B575" s="109"/>
      <c r="C575" s="109"/>
      <c r="D575" s="109"/>
      <c r="E575" s="109"/>
      <c r="F575" s="109"/>
      <c r="G575" s="109"/>
      <c r="H575" s="109"/>
      <c r="I575" s="68"/>
      <c r="J575">
        <f>IF('House Count'!H575="Y",IF('House Count'!F575="RES-SFU",1,IF('House Count'!F575="RES-MDU",1,IF('House Count'!F575="RES-HOA",1,0))),0)</f>
        <v>0</v>
      </c>
      <c r="K575">
        <f>IF('House Count'!H575="Y",IF('House Count'!F575="COMM-SU",1,IF('House Count'!F575="COM-MTU",1,IF('House Count'!F575="ENT",1,0))),0)</f>
        <v>0</v>
      </c>
    </row>
    <row r="576" spans="1:11" x14ac:dyDescent="0.25">
      <c r="A576" s="109"/>
      <c r="B576" s="109"/>
      <c r="C576" s="109"/>
      <c r="D576" s="109"/>
      <c r="E576" s="109"/>
      <c r="F576" s="109"/>
      <c r="G576" s="109"/>
      <c r="H576" s="109"/>
      <c r="I576" s="68"/>
      <c r="J576">
        <f>IF('House Count'!H576="Y",IF('House Count'!F576="RES-SFU",1,IF('House Count'!F576="RES-MDU",1,IF('House Count'!F576="RES-HOA",1,0))),0)</f>
        <v>0</v>
      </c>
      <c r="K576">
        <f>IF('House Count'!H576="Y",IF('House Count'!F576="COMM-SU",1,IF('House Count'!F576="COM-MTU",1,IF('House Count'!F576="ENT",1,0))),0)</f>
        <v>0</v>
      </c>
    </row>
    <row r="577" spans="1:11" ht="15.75" thickBot="1" x14ac:dyDescent="0.3">
      <c r="A577" s="545"/>
      <c r="B577" s="545"/>
      <c r="C577" s="545"/>
      <c r="D577" s="545"/>
      <c r="E577" s="545"/>
      <c r="F577" s="545"/>
      <c r="G577" s="545"/>
      <c r="H577" s="545"/>
      <c r="I577" s="546"/>
      <c r="J577">
        <f>IF('House Count'!H577="Y",IF('House Count'!F577="RES-SFU",1,IF('House Count'!F577="RES-MDU",1,IF('House Count'!F577="RES-HOA",1,0))),0)</f>
        <v>0</v>
      </c>
      <c r="K577">
        <f>IF('House Count'!H577="Y",IF('House Count'!F577="COMM-SU",1,IF('House Count'!F577="COM-MTU",1,IF('House Count'!F577="ENT",1,0))),0)</f>
        <v>0</v>
      </c>
    </row>
    <row r="578" spans="1:11" ht="15.75" thickTop="1" x14ac:dyDescent="0.25">
      <c r="A578" s="109"/>
      <c r="B578" s="109"/>
      <c r="C578" s="109"/>
      <c r="D578" s="109"/>
      <c r="E578" s="109"/>
      <c r="F578" s="109"/>
      <c r="G578" s="109"/>
      <c r="H578" s="109"/>
      <c r="I578" s="68"/>
      <c r="J578">
        <f>IF('House Count'!H578="Y",IF('House Count'!F578="RES-SFU",1,IF('House Count'!F578="RES-MDU",1,IF('House Count'!F578="RES-HOA",1,0))),0)</f>
        <v>0</v>
      </c>
      <c r="K578">
        <f>IF('House Count'!H578="Y",IF('House Count'!F578="COMM-SU",1,IF('House Count'!F578="COM-MTU",1,IF('House Count'!F578="ENT",1,0))),0)</f>
        <v>0</v>
      </c>
    </row>
    <row r="579" spans="1:11" x14ac:dyDescent="0.25">
      <c r="A579" s="109"/>
      <c r="B579" s="109"/>
      <c r="C579" s="109"/>
      <c r="D579" s="109"/>
      <c r="E579" s="109"/>
      <c r="F579" s="109"/>
      <c r="G579" s="109"/>
      <c r="H579" s="109"/>
      <c r="I579" s="68"/>
      <c r="J579">
        <f>IF('House Count'!H579="Y",IF('House Count'!F579="RES-SFU",1,IF('House Count'!F579="RES-MDU",1,IF('House Count'!F579="RES-HOA",1,0))),0)</f>
        <v>0</v>
      </c>
      <c r="K579">
        <f>IF('House Count'!H579="Y",IF('House Count'!F579="COMM-SU",1,IF('House Count'!F579="COM-MTU",1,IF('House Count'!F579="ENT",1,0))),0)</f>
        <v>0</v>
      </c>
    </row>
    <row r="580" spans="1:11" x14ac:dyDescent="0.25">
      <c r="A580" s="109"/>
      <c r="B580" s="109"/>
      <c r="C580" s="109"/>
      <c r="D580" s="109"/>
      <c r="E580" s="109"/>
      <c r="F580" s="109"/>
      <c r="G580" s="109"/>
      <c r="H580" s="109"/>
      <c r="I580" s="68"/>
      <c r="J580">
        <f>IF('House Count'!H580="Y",IF('House Count'!F580="RES-SFU",1,IF('House Count'!F580="RES-MDU",1,IF('House Count'!F580="RES-HOA",1,0))),0)</f>
        <v>0</v>
      </c>
      <c r="K580">
        <f>IF('House Count'!H580="Y",IF('House Count'!F580="COMM-SU",1,IF('House Count'!F580="COM-MTU",1,IF('House Count'!F580="ENT",1,0))),0)</f>
        <v>0</v>
      </c>
    </row>
    <row r="581" spans="1:11" x14ac:dyDescent="0.25">
      <c r="A581" s="109"/>
      <c r="B581" s="109"/>
      <c r="C581" s="109"/>
      <c r="D581" s="109"/>
      <c r="E581" s="109"/>
      <c r="F581" s="109"/>
      <c r="G581" s="109"/>
      <c r="H581" s="109"/>
      <c r="I581" s="68"/>
      <c r="J581">
        <f>IF('House Count'!H581="Y",IF('House Count'!F581="RES-SFU",1,IF('House Count'!F581="RES-MDU",1,IF('House Count'!F581="RES-HOA",1,0))),0)</f>
        <v>0</v>
      </c>
      <c r="K581">
        <f>IF('House Count'!H581="Y",IF('House Count'!F581="COMM-SU",1,IF('House Count'!F581="COM-MTU",1,IF('House Count'!F581="ENT",1,0))),0)</f>
        <v>0</v>
      </c>
    </row>
    <row r="582" spans="1:11" x14ac:dyDescent="0.25">
      <c r="A582" s="109"/>
      <c r="B582" s="109"/>
      <c r="C582" s="109"/>
      <c r="D582" s="109"/>
      <c r="E582" s="109"/>
      <c r="F582" s="109"/>
      <c r="G582" s="109"/>
      <c r="H582" s="109"/>
      <c r="I582" s="68"/>
      <c r="J582">
        <f>IF('House Count'!H582="Y",IF('House Count'!F582="RES-SFU",1,IF('House Count'!F582="RES-MDU",1,IF('House Count'!F582="RES-HOA",1,0))),0)</f>
        <v>0</v>
      </c>
      <c r="K582">
        <f>IF('House Count'!H582="Y",IF('House Count'!F582="COMM-SU",1,IF('House Count'!F582="COM-MTU",1,IF('House Count'!F582="ENT",1,0))),0)</f>
        <v>0</v>
      </c>
    </row>
    <row r="583" spans="1:11" x14ac:dyDescent="0.25">
      <c r="A583" s="109"/>
      <c r="B583" s="109"/>
      <c r="C583" s="109"/>
      <c r="D583" s="109"/>
      <c r="E583" s="109"/>
      <c r="F583" s="109"/>
      <c r="G583" s="109"/>
      <c r="H583" s="109"/>
      <c r="I583" s="68"/>
      <c r="J583">
        <f>IF('House Count'!H583="Y",IF('House Count'!F583="RES-SFU",1,IF('House Count'!F583="RES-MDU",1,IF('House Count'!F583="RES-HOA",1,0))),0)</f>
        <v>0</v>
      </c>
      <c r="K583">
        <f>IF('House Count'!H583="Y",IF('House Count'!F583="COMM-SU",1,IF('House Count'!F583="COM-MTU",1,IF('House Count'!F583="ENT",1,0))),0)</f>
        <v>0</v>
      </c>
    </row>
    <row r="584" spans="1:11" x14ac:dyDescent="0.25">
      <c r="A584" s="109"/>
      <c r="B584" s="109"/>
      <c r="C584" s="109"/>
      <c r="D584" s="109"/>
      <c r="E584" s="109"/>
      <c r="F584" s="109"/>
      <c r="G584" s="109"/>
      <c r="H584" s="109"/>
      <c r="I584" s="68"/>
      <c r="J584">
        <f>IF('House Count'!H584="Y",IF('House Count'!F584="RES-SFU",1,IF('House Count'!F584="RES-MDU",1,IF('House Count'!F584="RES-HOA",1,0))),0)</f>
        <v>0</v>
      </c>
      <c r="K584">
        <f>IF('House Count'!H584="Y",IF('House Count'!F584="COMM-SU",1,IF('House Count'!F584="COM-MTU",1,IF('House Count'!F584="ENT",1,0))),0)</f>
        <v>0</v>
      </c>
    </row>
    <row r="585" spans="1:11" x14ac:dyDescent="0.25">
      <c r="A585" s="109"/>
      <c r="B585" s="109"/>
      <c r="C585" s="109"/>
      <c r="D585" s="109"/>
      <c r="E585" s="109"/>
      <c r="F585" s="109"/>
      <c r="G585" s="109"/>
      <c r="H585" s="109"/>
      <c r="I585" s="68"/>
      <c r="J585">
        <f>IF('House Count'!H585="Y",IF('House Count'!F585="RES-SFU",1,IF('House Count'!F585="RES-MDU",1,IF('House Count'!F585="RES-HOA",1,0))),0)</f>
        <v>0</v>
      </c>
      <c r="K585">
        <f>IF('House Count'!H585="Y",IF('House Count'!F585="COMM-SU",1,IF('House Count'!F585="COM-MTU",1,IF('House Count'!F585="ENT",1,0))),0)</f>
        <v>0</v>
      </c>
    </row>
    <row r="586" spans="1:11" x14ac:dyDescent="0.25">
      <c r="A586" s="109"/>
      <c r="B586" s="109"/>
      <c r="C586" s="109"/>
      <c r="D586" s="109"/>
      <c r="E586" s="109"/>
      <c r="F586" s="109"/>
      <c r="G586" s="109"/>
      <c r="H586" s="109"/>
      <c r="I586" s="68"/>
      <c r="J586">
        <f>IF('House Count'!H586="Y",IF('House Count'!F586="RES-SFU",1,IF('House Count'!F586="RES-MDU",1,IF('House Count'!F586="RES-HOA",1,0))),0)</f>
        <v>0</v>
      </c>
      <c r="K586">
        <f>IF('House Count'!H586="Y",IF('House Count'!F586="COMM-SU",1,IF('House Count'!F586="COM-MTU",1,IF('House Count'!F586="ENT",1,0))),0)</f>
        <v>0</v>
      </c>
    </row>
    <row r="587" spans="1:11" x14ac:dyDescent="0.25">
      <c r="A587" s="109"/>
      <c r="B587" s="109"/>
      <c r="C587" s="109"/>
      <c r="D587" s="109"/>
      <c r="E587" s="109"/>
      <c r="F587" s="109"/>
      <c r="G587" s="109"/>
      <c r="H587" s="109"/>
      <c r="I587" s="68"/>
      <c r="J587">
        <f>IF('House Count'!H587="Y",IF('House Count'!F587="RES-SFU",1,IF('House Count'!F587="RES-MDU",1,IF('House Count'!F587="RES-HOA",1,0))),0)</f>
        <v>0</v>
      </c>
      <c r="K587">
        <f>IF('House Count'!H587="Y",IF('House Count'!F587="COMM-SU",1,IF('House Count'!F587="COM-MTU",1,IF('House Count'!F587="ENT",1,0))),0)</f>
        <v>0</v>
      </c>
    </row>
    <row r="588" spans="1:11" x14ac:dyDescent="0.25">
      <c r="A588" s="109"/>
      <c r="B588" s="109"/>
      <c r="C588" s="109"/>
      <c r="D588" s="109"/>
      <c r="E588" s="109"/>
      <c r="F588" s="109"/>
      <c r="G588" s="109"/>
      <c r="H588" s="109"/>
      <c r="I588" s="68"/>
      <c r="J588">
        <f>IF('House Count'!H588="Y",IF('House Count'!F588="RES-SFU",1,IF('House Count'!F588="RES-MDU",1,IF('House Count'!F588="RES-HOA",1,0))),0)</f>
        <v>0</v>
      </c>
      <c r="K588">
        <f>IF('House Count'!H588="Y",IF('House Count'!F588="COMM-SU",1,IF('House Count'!F588="COM-MTU",1,IF('House Count'!F588="ENT",1,0))),0)</f>
        <v>0</v>
      </c>
    </row>
    <row r="589" spans="1:11" ht="15.75" thickBot="1" x14ac:dyDescent="0.3">
      <c r="A589" s="545"/>
      <c r="B589" s="545"/>
      <c r="C589" s="545"/>
      <c r="D589" s="545"/>
      <c r="E589" s="545"/>
      <c r="F589" s="545"/>
      <c r="G589" s="545"/>
      <c r="H589" s="545"/>
      <c r="I589" s="546"/>
      <c r="J589">
        <f>IF('House Count'!H589="Y",IF('House Count'!F589="RES-SFU",1,IF('House Count'!F589="RES-MDU",1,IF('House Count'!F589="RES-HOA",1,0))),0)</f>
        <v>0</v>
      </c>
      <c r="K589">
        <f>IF('House Count'!H589="Y",IF('House Count'!F589="COMM-SU",1,IF('House Count'!F589="COM-MTU",1,IF('House Count'!F589="ENT",1,0))),0)</f>
        <v>0</v>
      </c>
    </row>
    <row r="590" spans="1:11" ht="15.75" thickTop="1" x14ac:dyDescent="0.25">
      <c r="A590" s="109"/>
      <c r="B590" s="109"/>
      <c r="C590" s="109"/>
      <c r="D590" s="109"/>
      <c r="E590" s="109"/>
      <c r="F590" s="109"/>
      <c r="G590" s="109"/>
      <c r="H590" s="109"/>
      <c r="I590" s="68"/>
      <c r="J590">
        <f>IF('House Count'!H590="Y",IF('House Count'!F590="RES-SFU",1,IF('House Count'!F590="RES-MDU",1,IF('House Count'!F590="RES-HOA",1,0))),0)</f>
        <v>0</v>
      </c>
      <c r="K590">
        <f>IF('House Count'!H590="Y",IF('House Count'!F590="COMM-SU",1,IF('House Count'!F590="COM-MTU",1,IF('House Count'!F590="ENT",1,0))),0)</f>
        <v>0</v>
      </c>
    </row>
    <row r="591" spans="1:11" x14ac:dyDescent="0.25">
      <c r="A591" s="109"/>
      <c r="B591" s="109"/>
      <c r="C591" s="109"/>
      <c r="D591" s="109"/>
      <c r="E591" s="109"/>
      <c r="F591" s="109"/>
      <c r="G591" s="109"/>
      <c r="H591" s="109"/>
      <c r="I591" s="68"/>
      <c r="J591">
        <f>IF('House Count'!H591="Y",IF('House Count'!F591="RES-SFU",1,IF('House Count'!F591="RES-MDU",1,IF('House Count'!F591="RES-HOA",1,0))),0)</f>
        <v>0</v>
      </c>
      <c r="K591">
        <f>IF('House Count'!H591="Y",IF('House Count'!F591="COMM-SU",1,IF('House Count'!F591="COM-MTU",1,IF('House Count'!F591="ENT",1,0))),0)</f>
        <v>0</v>
      </c>
    </row>
    <row r="592" spans="1:11" x14ac:dyDescent="0.25">
      <c r="A592" s="109"/>
      <c r="B592" s="109"/>
      <c r="C592" s="109"/>
      <c r="D592" s="109"/>
      <c r="E592" s="109"/>
      <c r="F592" s="109"/>
      <c r="G592" s="109"/>
      <c r="H592" s="109"/>
      <c r="I592" s="68"/>
      <c r="J592">
        <f>IF('House Count'!H592="Y",IF('House Count'!F592="RES-SFU",1,IF('House Count'!F592="RES-MDU",1,IF('House Count'!F592="RES-HOA",1,0))),0)</f>
        <v>0</v>
      </c>
      <c r="K592">
        <f>IF('House Count'!H592="Y",IF('House Count'!F592="COMM-SU",1,IF('House Count'!F592="COM-MTU",1,IF('House Count'!F592="ENT",1,0))),0)</f>
        <v>0</v>
      </c>
    </row>
    <row r="593" spans="1:11" x14ac:dyDescent="0.25">
      <c r="A593" s="109"/>
      <c r="B593" s="109"/>
      <c r="C593" s="109"/>
      <c r="D593" s="109"/>
      <c r="E593" s="109"/>
      <c r="F593" s="109"/>
      <c r="G593" s="109"/>
      <c r="H593" s="109"/>
      <c r="I593" s="68"/>
      <c r="J593">
        <f>IF('House Count'!H593="Y",IF('House Count'!F593="RES-SFU",1,IF('House Count'!F593="RES-MDU",1,IF('House Count'!F593="RES-HOA",1,0))),0)</f>
        <v>0</v>
      </c>
      <c r="K593">
        <f>IF('House Count'!H593="Y",IF('House Count'!F593="COMM-SU",1,IF('House Count'!F593="COM-MTU",1,IF('House Count'!F593="ENT",1,0))),0)</f>
        <v>0</v>
      </c>
    </row>
    <row r="594" spans="1:11" x14ac:dyDescent="0.25">
      <c r="A594" s="109"/>
      <c r="B594" s="109"/>
      <c r="C594" s="109"/>
      <c r="D594" s="109"/>
      <c r="E594" s="109"/>
      <c r="F594" s="109"/>
      <c r="G594" s="109"/>
      <c r="H594" s="109"/>
      <c r="I594" s="68"/>
      <c r="J594">
        <f>IF('House Count'!H594="Y",IF('House Count'!F594="RES-SFU",1,IF('House Count'!F594="RES-MDU",1,IF('House Count'!F594="RES-HOA",1,0))),0)</f>
        <v>0</v>
      </c>
      <c r="K594">
        <f>IF('House Count'!H594="Y",IF('House Count'!F594="COMM-SU",1,IF('House Count'!F594="COM-MTU",1,IF('House Count'!F594="ENT",1,0))),0)</f>
        <v>0</v>
      </c>
    </row>
    <row r="595" spans="1:11" x14ac:dyDescent="0.25">
      <c r="A595" s="109"/>
      <c r="B595" s="109"/>
      <c r="C595" s="109"/>
      <c r="D595" s="109"/>
      <c r="E595" s="109"/>
      <c r="F595" s="109"/>
      <c r="G595" s="109"/>
      <c r="H595" s="109"/>
      <c r="I595" s="68"/>
      <c r="J595">
        <f>IF('House Count'!H595="Y",IF('House Count'!F595="RES-SFU",1,IF('House Count'!F595="RES-MDU",1,IF('House Count'!F595="RES-HOA",1,0))),0)</f>
        <v>0</v>
      </c>
      <c r="K595">
        <f>IF('House Count'!H595="Y",IF('House Count'!F595="COMM-SU",1,IF('House Count'!F595="COM-MTU",1,IF('House Count'!F595="ENT",1,0))),0)</f>
        <v>0</v>
      </c>
    </row>
    <row r="596" spans="1:11" x14ac:dyDescent="0.25">
      <c r="A596" s="109"/>
      <c r="B596" s="109"/>
      <c r="C596" s="109"/>
      <c r="D596" s="109"/>
      <c r="E596" s="109"/>
      <c r="F596" s="109"/>
      <c r="G596" s="109"/>
      <c r="H596" s="109"/>
      <c r="I596" s="68"/>
      <c r="J596">
        <f>IF('House Count'!H596="Y",IF('House Count'!F596="RES-SFU",1,IF('House Count'!F596="RES-MDU",1,IF('House Count'!F596="RES-HOA",1,0))),0)</f>
        <v>0</v>
      </c>
      <c r="K596">
        <f>IF('House Count'!H596="Y",IF('House Count'!F596="COMM-SU",1,IF('House Count'!F596="COM-MTU",1,IF('House Count'!F596="ENT",1,0))),0)</f>
        <v>0</v>
      </c>
    </row>
    <row r="597" spans="1:11" x14ac:dyDescent="0.25">
      <c r="A597" s="109"/>
      <c r="B597" s="109"/>
      <c r="C597" s="109"/>
      <c r="D597" s="109"/>
      <c r="E597" s="109"/>
      <c r="F597" s="109"/>
      <c r="G597" s="109"/>
      <c r="H597" s="109"/>
      <c r="I597" s="68"/>
      <c r="J597">
        <f>IF('House Count'!H597="Y",IF('House Count'!F597="RES-SFU",1,IF('House Count'!F597="RES-MDU",1,IF('House Count'!F597="RES-HOA",1,0))),0)</f>
        <v>0</v>
      </c>
      <c r="K597">
        <f>IF('House Count'!H597="Y",IF('House Count'!F597="COMM-SU",1,IF('House Count'!F597="COM-MTU",1,IF('House Count'!F597="ENT",1,0))),0)</f>
        <v>0</v>
      </c>
    </row>
    <row r="598" spans="1:11" x14ac:dyDescent="0.25">
      <c r="A598" s="109"/>
      <c r="B598" s="109"/>
      <c r="C598" s="109"/>
      <c r="D598" s="109"/>
      <c r="E598" s="109"/>
      <c r="F598" s="109"/>
      <c r="G598" s="109"/>
      <c r="H598" s="109"/>
      <c r="I598" s="68"/>
      <c r="J598">
        <f>IF('House Count'!H598="Y",IF('House Count'!F598="RES-SFU",1,IF('House Count'!F598="RES-MDU",1,IF('House Count'!F598="RES-HOA",1,0))),0)</f>
        <v>0</v>
      </c>
      <c r="K598">
        <f>IF('House Count'!H598="Y",IF('House Count'!F598="COMM-SU",1,IF('House Count'!F598="COM-MTU",1,IF('House Count'!F598="ENT",1,0))),0)</f>
        <v>0</v>
      </c>
    </row>
    <row r="599" spans="1:11" x14ac:dyDescent="0.25">
      <c r="A599" s="109"/>
      <c r="B599" s="109"/>
      <c r="C599" s="109"/>
      <c r="D599" s="109"/>
      <c r="E599" s="109"/>
      <c r="F599" s="109"/>
      <c r="G599" s="109"/>
      <c r="H599" s="109"/>
      <c r="I599" s="68"/>
      <c r="J599">
        <f>IF('House Count'!H599="Y",IF('House Count'!F599="RES-SFU",1,IF('House Count'!F599="RES-MDU",1,IF('House Count'!F599="RES-HOA",1,0))),0)</f>
        <v>0</v>
      </c>
      <c r="K599">
        <f>IF('House Count'!H599="Y",IF('House Count'!F599="COMM-SU",1,IF('House Count'!F599="COM-MTU",1,IF('House Count'!F599="ENT",1,0))),0)</f>
        <v>0</v>
      </c>
    </row>
    <row r="600" spans="1:11" x14ac:dyDescent="0.25">
      <c r="A600" s="109"/>
      <c r="B600" s="109"/>
      <c r="C600" s="109"/>
      <c r="D600" s="109"/>
      <c r="E600" s="109"/>
      <c r="F600" s="109"/>
      <c r="G600" s="109"/>
      <c r="H600" s="109"/>
      <c r="I600" s="68"/>
      <c r="J600">
        <f>IF('House Count'!H600="Y",IF('House Count'!F600="RES-SFU",1,IF('House Count'!F600="RES-MDU",1,IF('House Count'!F600="RES-HOA",1,0))),0)</f>
        <v>0</v>
      </c>
      <c r="K600">
        <f>IF('House Count'!H600="Y",IF('House Count'!F600="COMM-SU",1,IF('House Count'!F600="COM-MTU",1,IF('House Count'!F600="ENT",1,0))),0)</f>
        <v>0</v>
      </c>
    </row>
    <row r="601" spans="1:11" ht="15.75" thickBot="1" x14ac:dyDescent="0.3">
      <c r="A601" s="545"/>
      <c r="B601" s="545"/>
      <c r="C601" s="545"/>
      <c r="D601" s="545"/>
      <c r="E601" s="545"/>
      <c r="F601" s="545"/>
      <c r="G601" s="545"/>
      <c r="H601" s="545"/>
      <c r="I601" s="546"/>
      <c r="J601">
        <f>IF('House Count'!H601="Y",IF('House Count'!F601="RES-SFU",1,IF('House Count'!F601="RES-MDU",1,IF('House Count'!F601="RES-HOA",1,0))),0)</f>
        <v>0</v>
      </c>
      <c r="K601">
        <f>IF('House Count'!H601="Y",IF('House Count'!F601="COMM-SU",1,IF('House Count'!F601="COM-MTU",1,IF('House Count'!F601="ENT",1,0))),0)</f>
        <v>0</v>
      </c>
    </row>
    <row r="602" spans="1:11" ht="15.75" thickTop="1" x14ac:dyDescent="0.25">
      <c r="A602" s="109"/>
      <c r="B602" s="109"/>
      <c r="C602" s="109"/>
      <c r="D602" s="109"/>
      <c r="E602" s="109"/>
      <c r="F602" s="109"/>
      <c r="G602" s="109"/>
      <c r="H602" s="109"/>
      <c r="I602" s="68"/>
      <c r="J602">
        <f>IF('House Count'!H602="Y",IF('House Count'!F602="RES-SFU",1,IF('House Count'!F602="RES-MDU",1,IF('House Count'!F602="RES-HOA",1,0))),0)</f>
        <v>0</v>
      </c>
      <c r="K602">
        <f>IF('House Count'!H602="Y",IF('House Count'!F602="COMM-SU",1,IF('House Count'!F602="COM-MTU",1,IF('House Count'!F602="ENT",1,0))),0)</f>
        <v>0</v>
      </c>
    </row>
    <row r="603" spans="1:11" x14ac:dyDescent="0.25">
      <c r="A603" s="109"/>
      <c r="B603" s="109"/>
      <c r="C603" s="109"/>
      <c r="D603" s="109"/>
      <c r="E603" s="109"/>
      <c r="F603" s="109"/>
      <c r="G603" s="109"/>
      <c r="H603" s="109"/>
      <c r="I603" s="68"/>
      <c r="J603">
        <f>IF('House Count'!H603="Y",IF('House Count'!F603="RES-SFU",1,IF('House Count'!F603="RES-MDU",1,IF('House Count'!F603="RES-HOA",1,0))),0)</f>
        <v>0</v>
      </c>
      <c r="K603">
        <f>IF('House Count'!H603="Y",IF('House Count'!F603="COMM-SU",1,IF('House Count'!F603="COM-MTU",1,IF('House Count'!F603="ENT",1,0))),0)</f>
        <v>0</v>
      </c>
    </row>
    <row r="604" spans="1:11" x14ac:dyDescent="0.25">
      <c r="A604" s="109"/>
      <c r="B604" s="109"/>
      <c r="C604" s="109"/>
      <c r="D604" s="109"/>
      <c r="E604" s="109"/>
      <c r="F604" s="109"/>
      <c r="G604" s="109"/>
      <c r="H604" s="109"/>
      <c r="I604" s="68"/>
      <c r="J604">
        <f>IF('House Count'!H604="Y",IF('House Count'!F604="RES-SFU",1,IF('House Count'!F604="RES-MDU",1,IF('House Count'!F604="RES-HOA",1,0))),0)</f>
        <v>0</v>
      </c>
      <c r="K604">
        <f>IF('House Count'!H604="Y",IF('House Count'!F604="COMM-SU",1,IF('House Count'!F604="COM-MTU",1,IF('House Count'!F604="ENT",1,0))),0)</f>
        <v>0</v>
      </c>
    </row>
    <row r="605" spans="1:11" x14ac:dyDescent="0.25">
      <c r="A605" s="109"/>
      <c r="B605" s="109"/>
      <c r="C605" s="109"/>
      <c r="D605" s="109"/>
      <c r="E605" s="109"/>
      <c r="F605" s="109"/>
      <c r="G605" s="109"/>
      <c r="H605" s="109"/>
      <c r="I605" s="68"/>
      <c r="J605">
        <f>IF('House Count'!H605="Y",IF('House Count'!F605="RES-SFU",1,IF('House Count'!F605="RES-MDU",1,IF('House Count'!F605="RES-HOA",1,0))),0)</f>
        <v>0</v>
      </c>
      <c r="K605">
        <f>IF('House Count'!H605="Y",IF('House Count'!F605="COMM-SU",1,IF('House Count'!F605="COM-MTU",1,IF('House Count'!F605="ENT",1,0))),0)</f>
        <v>0</v>
      </c>
    </row>
    <row r="606" spans="1:11" x14ac:dyDescent="0.25">
      <c r="A606" s="109"/>
      <c r="B606" s="109"/>
      <c r="C606" s="109"/>
      <c r="D606" s="109"/>
      <c r="E606" s="109"/>
      <c r="F606" s="109"/>
      <c r="G606" s="109"/>
      <c r="H606" s="109"/>
      <c r="I606" s="68"/>
      <c r="J606">
        <f>IF('House Count'!H606="Y",IF('House Count'!F606="RES-SFU",1,IF('House Count'!F606="RES-MDU",1,IF('House Count'!F606="RES-HOA",1,0))),0)</f>
        <v>0</v>
      </c>
      <c r="K606">
        <f>IF('House Count'!H606="Y",IF('House Count'!F606="COMM-SU",1,IF('House Count'!F606="COM-MTU",1,IF('House Count'!F606="ENT",1,0))),0)</f>
        <v>0</v>
      </c>
    </row>
    <row r="607" spans="1:11" x14ac:dyDescent="0.25">
      <c r="A607" s="109"/>
      <c r="B607" s="109"/>
      <c r="C607" s="109"/>
      <c r="D607" s="109"/>
      <c r="E607" s="109"/>
      <c r="F607" s="109"/>
      <c r="G607" s="109"/>
      <c r="H607" s="109"/>
      <c r="I607" s="68"/>
      <c r="J607">
        <f>IF('House Count'!H607="Y",IF('House Count'!F607="RES-SFU",1,IF('House Count'!F607="RES-MDU",1,IF('House Count'!F607="RES-HOA",1,0))),0)</f>
        <v>0</v>
      </c>
      <c r="K607">
        <f>IF('House Count'!H607="Y",IF('House Count'!F607="COMM-SU",1,IF('House Count'!F607="COM-MTU",1,IF('House Count'!F607="ENT",1,0))),0)</f>
        <v>0</v>
      </c>
    </row>
    <row r="608" spans="1:11" x14ac:dyDescent="0.25">
      <c r="A608" s="109"/>
      <c r="B608" s="109"/>
      <c r="C608" s="109"/>
      <c r="D608" s="109"/>
      <c r="E608" s="109"/>
      <c r="F608" s="109"/>
      <c r="G608" s="109"/>
      <c r="H608" s="109"/>
      <c r="I608" s="68"/>
      <c r="J608">
        <f>IF('House Count'!H608="Y",IF('House Count'!F608="RES-SFU",1,IF('House Count'!F608="RES-MDU",1,IF('House Count'!F608="RES-HOA",1,0))),0)</f>
        <v>0</v>
      </c>
      <c r="K608">
        <f>IF('House Count'!H608="Y",IF('House Count'!F608="COMM-SU",1,IF('House Count'!F608="COM-MTU",1,IF('House Count'!F608="ENT",1,0))),0)</f>
        <v>0</v>
      </c>
    </row>
    <row r="609" spans="1:11" x14ac:dyDescent="0.25">
      <c r="A609" s="109"/>
      <c r="B609" s="109"/>
      <c r="C609" s="109"/>
      <c r="D609" s="109"/>
      <c r="E609" s="109"/>
      <c r="F609" s="109"/>
      <c r="G609" s="109"/>
      <c r="H609" s="109"/>
      <c r="I609" s="68"/>
      <c r="J609">
        <f>IF('House Count'!H609="Y",IF('House Count'!F609="RES-SFU",1,IF('House Count'!F609="RES-MDU",1,IF('House Count'!F609="RES-HOA",1,0))),0)</f>
        <v>0</v>
      </c>
      <c r="K609">
        <f>IF('House Count'!H609="Y",IF('House Count'!F609="COMM-SU",1,IF('House Count'!F609="COM-MTU",1,IF('House Count'!F609="ENT",1,0))),0)</f>
        <v>0</v>
      </c>
    </row>
    <row r="610" spans="1:11" x14ac:dyDescent="0.25">
      <c r="A610" s="109"/>
      <c r="B610" s="109"/>
      <c r="C610" s="109"/>
      <c r="D610" s="109"/>
      <c r="E610" s="109"/>
      <c r="F610" s="109"/>
      <c r="G610" s="109"/>
      <c r="H610" s="109"/>
      <c r="I610" s="68"/>
      <c r="J610">
        <f>IF('House Count'!H610="Y",IF('House Count'!F610="RES-SFU",1,IF('House Count'!F610="RES-MDU",1,IF('House Count'!F610="RES-HOA",1,0))),0)</f>
        <v>0</v>
      </c>
      <c r="K610">
        <f>IF('House Count'!H610="Y",IF('House Count'!F610="COMM-SU",1,IF('House Count'!F610="COM-MTU",1,IF('House Count'!F610="ENT",1,0))),0)</f>
        <v>0</v>
      </c>
    </row>
    <row r="611" spans="1:11" x14ac:dyDescent="0.25">
      <c r="A611" s="109"/>
      <c r="B611" s="109"/>
      <c r="C611" s="109"/>
      <c r="D611" s="109"/>
      <c r="E611" s="109"/>
      <c r="F611" s="109"/>
      <c r="G611" s="109"/>
      <c r="H611" s="109"/>
      <c r="I611" s="68"/>
      <c r="J611">
        <f>IF('House Count'!H611="Y",IF('House Count'!F611="RES-SFU",1,IF('House Count'!F611="RES-MDU",1,IF('House Count'!F611="RES-HOA",1,0))),0)</f>
        <v>0</v>
      </c>
      <c r="K611">
        <f>IF('House Count'!H611="Y",IF('House Count'!F611="COMM-SU",1,IF('House Count'!F611="COM-MTU",1,IF('House Count'!F611="ENT",1,0))),0)</f>
        <v>0</v>
      </c>
    </row>
    <row r="612" spans="1:11" x14ac:dyDescent="0.25">
      <c r="A612" s="109"/>
      <c r="B612" s="109"/>
      <c r="C612" s="109"/>
      <c r="D612" s="109"/>
      <c r="E612" s="109"/>
      <c r="F612" s="109"/>
      <c r="G612" s="109"/>
      <c r="H612" s="109"/>
      <c r="I612" s="68"/>
      <c r="J612">
        <f>IF('House Count'!H612="Y",IF('House Count'!F612="RES-SFU",1,IF('House Count'!F612="RES-MDU",1,IF('House Count'!F612="RES-HOA",1,0))),0)</f>
        <v>0</v>
      </c>
      <c r="K612">
        <f>IF('House Count'!H612="Y",IF('House Count'!F612="COMM-SU",1,IF('House Count'!F612="COM-MTU",1,IF('House Count'!F612="ENT",1,0))),0)</f>
        <v>0</v>
      </c>
    </row>
    <row r="613" spans="1:11" ht="15.75" thickBot="1" x14ac:dyDescent="0.3">
      <c r="A613" s="545"/>
      <c r="B613" s="545"/>
      <c r="C613" s="545"/>
      <c r="D613" s="545"/>
      <c r="E613" s="545"/>
      <c r="F613" s="545"/>
      <c r="G613" s="545"/>
      <c r="H613" s="545"/>
      <c r="I613" s="546"/>
      <c r="J613">
        <f>IF('House Count'!H613="Y",IF('House Count'!F613="RES-SFU",1,IF('House Count'!F613="RES-MDU",1,IF('House Count'!F613="RES-HOA",1,0))),0)</f>
        <v>0</v>
      </c>
      <c r="K613">
        <f>IF('House Count'!H613="Y",IF('House Count'!F613="COMM-SU",1,IF('House Count'!F613="COM-MTU",1,IF('House Count'!F613="ENT",1,0))),0)</f>
        <v>0</v>
      </c>
    </row>
    <row r="614" spans="1:11" ht="15.75" thickTop="1" x14ac:dyDescent="0.25">
      <c r="A614" s="109"/>
      <c r="B614" s="109"/>
      <c r="C614" s="109"/>
      <c r="D614" s="109"/>
      <c r="E614" s="109"/>
      <c r="F614" s="109"/>
      <c r="G614" s="109"/>
      <c r="H614" s="109"/>
      <c r="I614" s="68"/>
      <c r="J614">
        <f>IF('House Count'!H614="Y",IF('House Count'!F614="RES-SFU",1,IF('House Count'!F614="RES-MDU",1,IF('House Count'!F614="RES-HOA",1,0))),0)</f>
        <v>0</v>
      </c>
      <c r="K614">
        <f>IF('House Count'!H614="Y",IF('House Count'!F614="COMM-SU",1,IF('House Count'!F614="COM-MTU",1,IF('House Count'!F614="ENT",1,0))),0)</f>
        <v>0</v>
      </c>
    </row>
    <row r="615" spans="1:11" x14ac:dyDescent="0.25">
      <c r="A615" s="109"/>
      <c r="B615" s="109"/>
      <c r="C615" s="109"/>
      <c r="D615" s="109"/>
      <c r="E615" s="109"/>
      <c r="F615" s="109"/>
      <c r="G615" s="109"/>
      <c r="H615" s="109"/>
      <c r="I615" s="68"/>
      <c r="J615">
        <f>IF('House Count'!H615="Y",IF('House Count'!F615="RES-SFU",1,IF('House Count'!F615="RES-MDU",1,IF('House Count'!F615="RES-HOA",1,0))),0)</f>
        <v>0</v>
      </c>
      <c r="K615">
        <f>IF('House Count'!H615="Y",IF('House Count'!F615="COMM-SU",1,IF('House Count'!F615="COM-MTU",1,IF('House Count'!F615="ENT",1,0))),0)</f>
        <v>0</v>
      </c>
    </row>
    <row r="616" spans="1:11" x14ac:dyDescent="0.25">
      <c r="A616" s="109"/>
      <c r="B616" s="109"/>
      <c r="C616" s="109"/>
      <c r="D616" s="109"/>
      <c r="E616" s="109"/>
      <c r="F616" s="109"/>
      <c r="G616" s="109"/>
      <c r="H616" s="109"/>
      <c r="I616" s="68"/>
      <c r="J616">
        <f>IF('House Count'!H616="Y",IF('House Count'!F616="RES-SFU",1,IF('House Count'!F616="RES-MDU",1,IF('House Count'!F616="RES-HOA",1,0))),0)</f>
        <v>0</v>
      </c>
      <c r="K616">
        <f>IF('House Count'!H616="Y",IF('House Count'!F616="COMM-SU",1,IF('House Count'!F616="COM-MTU",1,IF('House Count'!F616="ENT",1,0))),0)</f>
        <v>0</v>
      </c>
    </row>
    <row r="617" spans="1:11" x14ac:dyDescent="0.25">
      <c r="A617" s="109"/>
      <c r="B617" s="109"/>
      <c r="C617" s="109"/>
      <c r="D617" s="109"/>
      <c r="E617" s="109"/>
      <c r="F617" s="109"/>
      <c r="G617" s="109"/>
      <c r="H617" s="109"/>
      <c r="I617" s="68"/>
      <c r="J617">
        <f>IF('House Count'!H617="Y",IF('House Count'!F617="RES-SFU",1,IF('House Count'!F617="RES-MDU",1,IF('House Count'!F617="RES-HOA",1,0))),0)</f>
        <v>0</v>
      </c>
      <c r="K617">
        <f>IF('House Count'!H617="Y",IF('House Count'!F617="COMM-SU",1,IF('House Count'!F617="COM-MTU",1,IF('House Count'!F617="ENT",1,0))),0)</f>
        <v>0</v>
      </c>
    </row>
    <row r="618" spans="1:11" x14ac:dyDescent="0.25">
      <c r="A618" s="109"/>
      <c r="B618" s="109"/>
      <c r="C618" s="109"/>
      <c r="D618" s="109"/>
      <c r="E618" s="109"/>
      <c r="F618" s="109"/>
      <c r="G618" s="109"/>
      <c r="H618" s="109"/>
      <c r="I618" s="68"/>
      <c r="J618">
        <f>IF('House Count'!H618="Y",IF('House Count'!F618="RES-SFU",1,IF('House Count'!F618="RES-MDU",1,IF('House Count'!F618="RES-HOA",1,0))),0)</f>
        <v>0</v>
      </c>
      <c r="K618">
        <f>IF('House Count'!H618="Y",IF('House Count'!F618="COMM-SU",1,IF('House Count'!F618="COM-MTU",1,IF('House Count'!F618="ENT",1,0))),0)</f>
        <v>0</v>
      </c>
    </row>
    <row r="619" spans="1:11" x14ac:dyDescent="0.25">
      <c r="A619" s="109"/>
      <c r="B619" s="109"/>
      <c r="C619" s="109"/>
      <c r="D619" s="109"/>
      <c r="E619" s="109"/>
      <c r="F619" s="109"/>
      <c r="G619" s="109"/>
      <c r="H619" s="109"/>
      <c r="I619" s="68"/>
      <c r="J619">
        <f>IF('House Count'!H619="Y",IF('House Count'!F619="RES-SFU",1,IF('House Count'!F619="RES-MDU",1,IF('House Count'!F619="RES-HOA",1,0))),0)</f>
        <v>0</v>
      </c>
      <c r="K619">
        <f>IF('House Count'!H619="Y",IF('House Count'!F619="COMM-SU",1,IF('House Count'!F619="COM-MTU",1,IF('House Count'!F619="ENT",1,0))),0)</f>
        <v>0</v>
      </c>
    </row>
    <row r="620" spans="1:11" x14ac:dyDescent="0.25">
      <c r="A620" s="109"/>
      <c r="B620" s="109"/>
      <c r="C620" s="109"/>
      <c r="D620" s="109"/>
      <c r="E620" s="109"/>
      <c r="F620" s="109"/>
      <c r="G620" s="109"/>
      <c r="H620" s="109"/>
      <c r="I620" s="68"/>
      <c r="J620">
        <f>IF('House Count'!H620="Y",IF('House Count'!F620="RES-SFU",1,IF('House Count'!F620="RES-MDU",1,IF('House Count'!F620="RES-HOA",1,0))),0)</f>
        <v>0</v>
      </c>
      <c r="K620">
        <f>IF('House Count'!H620="Y",IF('House Count'!F620="COMM-SU",1,IF('House Count'!F620="COM-MTU",1,IF('House Count'!F620="ENT",1,0))),0)</f>
        <v>0</v>
      </c>
    </row>
    <row r="621" spans="1:11" x14ac:dyDescent="0.25">
      <c r="A621" s="109"/>
      <c r="B621" s="109"/>
      <c r="C621" s="109"/>
      <c r="D621" s="109"/>
      <c r="E621" s="109"/>
      <c r="F621" s="109"/>
      <c r="G621" s="109"/>
      <c r="H621" s="109"/>
      <c r="I621" s="68"/>
      <c r="J621">
        <f>IF('House Count'!H621="Y",IF('House Count'!F621="RES-SFU",1,IF('House Count'!F621="RES-MDU",1,IF('House Count'!F621="RES-HOA",1,0))),0)</f>
        <v>0</v>
      </c>
      <c r="K621">
        <f>IF('House Count'!H621="Y",IF('House Count'!F621="COMM-SU",1,IF('House Count'!F621="COM-MTU",1,IF('House Count'!F621="ENT",1,0))),0)</f>
        <v>0</v>
      </c>
    </row>
    <row r="622" spans="1:11" x14ac:dyDescent="0.25">
      <c r="A622" s="109"/>
      <c r="B622" s="109"/>
      <c r="C622" s="109"/>
      <c r="D622" s="109"/>
      <c r="E622" s="109"/>
      <c r="F622" s="109"/>
      <c r="G622" s="109"/>
      <c r="H622" s="109"/>
      <c r="I622" s="68"/>
      <c r="J622">
        <f>IF('House Count'!H622="Y",IF('House Count'!F622="RES-SFU",1,IF('House Count'!F622="RES-MDU",1,IF('House Count'!F622="RES-HOA",1,0))),0)</f>
        <v>0</v>
      </c>
      <c r="K622">
        <f>IF('House Count'!H622="Y",IF('House Count'!F622="COMM-SU",1,IF('House Count'!F622="COM-MTU",1,IF('House Count'!F622="ENT",1,0))),0)</f>
        <v>0</v>
      </c>
    </row>
    <row r="623" spans="1:11" x14ac:dyDescent="0.25">
      <c r="A623" s="109"/>
      <c r="B623" s="109"/>
      <c r="C623" s="109"/>
      <c r="D623" s="109"/>
      <c r="E623" s="109"/>
      <c r="F623" s="109"/>
      <c r="G623" s="109"/>
      <c r="H623" s="109"/>
      <c r="I623" s="68"/>
      <c r="J623">
        <f>IF('House Count'!H623="Y",IF('House Count'!F623="RES-SFU",1,IF('House Count'!F623="RES-MDU",1,IF('House Count'!F623="RES-HOA",1,0))),0)</f>
        <v>0</v>
      </c>
      <c r="K623">
        <f>IF('House Count'!H623="Y",IF('House Count'!F623="COMM-SU",1,IF('House Count'!F623="COM-MTU",1,IF('House Count'!F623="ENT",1,0))),0)</f>
        <v>0</v>
      </c>
    </row>
    <row r="624" spans="1:11" x14ac:dyDescent="0.25">
      <c r="A624" s="109"/>
      <c r="B624" s="109"/>
      <c r="C624" s="109"/>
      <c r="D624" s="109"/>
      <c r="E624" s="109"/>
      <c r="F624" s="109"/>
      <c r="G624" s="109"/>
      <c r="H624" s="109"/>
      <c r="I624" s="68"/>
      <c r="J624">
        <f>IF('House Count'!H624="Y",IF('House Count'!F624="RES-SFU",1,IF('House Count'!F624="RES-MDU",1,IF('House Count'!F624="RES-HOA",1,0))),0)</f>
        <v>0</v>
      </c>
      <c r="K624">
        <f>IF('House Count'!H624="Y",IF('House Count'!F624="COMM-SU",1,IF('House Count'!F624="COM-MTU",1,IF('House Count'!F624="ENT",1,0))),0)</f>
        <v>0</v>
      </c>
    </row>
    <row r="625" spans="1:11" ht="15.75" thickBot="1" x14ac:dyDescent="0.3">
      <c r="A625" s="545"/>
      <c r="B625" s="545"/>
      <c r="C625" s="545"/>
      <c r="D625" s="545"/>
      <c r="E625" s="545"/>
      <c r="F625" s="545"/>
      <c r="G625" s="545"/>
      <c r="H625" s="545"/>
      <c r="I625" s="546"/>
      <c r="J625">
        <f>IF('House Count'!H625="Y",IF('House Count'!F625="RES-SFU",1,IF('House Count'!F625="RES-MDU",1,IF('House Count'!F625="RES-HOA",1,0))),0)</f>
        <v>0</v>
      </c>
      <c r="K625">
        <f>IF('House Count'!H625="Y",IF('House Count'!F625="COMM-SU",1,IF('House Count'!F625="COM-MTU",1,IF('House Count'!F625="ENT",1,0))),0)</f>
        <v>0</v>
      </c>
    </row>
    <row r="626" spans="1:11" ht="15.75" thickTop="1" x14ac:dyDescent="0.25">
      <c r="A626" s="109"/>
      <c r="B626" s="109"/>
      <c r="C626" s="109"/>
      <c r="D626" s="109"/>
      <c r="E626" s="109"/>
      <c r="F626" s="109"/>
      <c r="G626" s="109"/>
      <c r="H626" s="109"/>
      <c r="I626" s="68"/>
      <c r="J626">
        <f>IF('House Count'!H626="Y",IF('House Count'!F626="RES-SFU",1,IF('House Count'!F626="RES-MDU",1,IF('House Count'!F626="RES-HOA",1,0))),0)</f>
        <v>0</v>
      </c>
      <c r="K626">
        <f>IF('House Count'!H626="Y",IF('House Count'!F626="COMM-SU",1,IF('House Count'!F626="COM-MTU",1,IF('House Count'!F626="ENT",1,0))),0)</f>
        <v>0</v>
      </c>
    </row>
    <row r="627" spans="1:11" x14ac:dyDescent="0.25">
      <c r="A627" s="109"/>
      <c r="B627" s="109"/>
      <c r="C627" s="109"/>
      <c r="D627" s="109"/>
      <c r="E627" s="109"/>
      <c r="F627" s="109"/>
      <c r="G627" s="109"/>
      <c r="H627" s="109"/>
      <c r="I627" s="68"/>
      <c r="J627">
        <f>IF('House Count'!H627="Y",IF('House Count'!F627="RES-SFU",1,IF('House Count'!F627="RES-MDU",1,IF('House Count'!F627="RES-HOA",1,0))),0)</f>
        <v>0</v>
      </c>
      <c r="K627">
        <f>IF('House Count'!H627="Y",IF('House Count'!F627="COMM-SU",1,IF('House Count'!F627="COM-MTU",1,IF('House Count'!F627="ENT",1,0))),0)</f>
        <v>0</v>
      </c>
    </row>
    <row r="628" spans="1:11" x14ac:dyDescent="0.25">
      <c r="A628" s="109"/>
      <c r="B628" s="109"/>
      <c r="C628" s="109"/>
      <c r="D628" s="109"/>
      <c r="E628" s="109"/>
      <c r="F628" s="109"/>
      <c r="G628" s="109"/>
      <c r="H628" s="109"/>
      <c r="I628" s="68"/>
      <c r="J628">
        <f>IF('House Count'!H628="Y",IF('House Count'!F628="RES-SFU",1,IF('House Count'!F628="RES-MDU",1,IF('House Count'!F628="RES-HOA",1,0))),0)</f>
        <v>0</v>
      </c>
      <c r="K628">
        <f>IF('House Count'!H628="Y",IF('House Count'!F628="COMM-SU",1,IF('House Count'!F628="COM-MTU",1,IF('House Count'!F628="ENT",1,0))),0)</f>
        <v>0</v>
      </c>
    </row>
    <row r="629" spans="1:11" x14ac:dyDescent="0.25">
      <c r="A629" s="109"/>
      <c r="B629" s="109"/>
      <c r="C629" s="109"/>
      <c r="D629" s="109"/>
      <c r="E629" s="109"/>
      <c r="F629" s="109"/>
      <c r="G629" s="109"/>
      <c r="H629" s="109"/>
      <c r="I629" s="68"/>
      <c r="J629">
        <f>IF('House Count'!H629="Y",IF('House Count'!F629="RES-SFU",1,IF('House Count'!F629="RES-MDU",1,IF('House Count'!F629="RES-HOA",1,0))),0)</f>
        <v>0</v>
      </c>
      <c r="K629">
        <f>IF('House Count'!H629="Y",IF('House Count'!F629="COMM-SU",1,IF('House Count'!F629="COM-MTU",1,IF('House Count'!F629="ENT",1,0))),0)</f>
        <v>0</v>
      </c>
    </row>
    <row r="630" spans="1:11" x14ac:dyDescent="0.25">
      <c r="A630" s="109"/>
      <c r="B630" s="109"/>
      <c r="C630" s="109"/>
      <c r="D630" s="109"/>
      <c r="E630" s="109"/>
      <c r="F630" s="109"/>
      <c r="G630" s="109"/>
      <c r="H630" s="109"/>
      <c r="I630" s="68"/>
      <c r="J630">
        <f>IF('House Count'!H630="Y",IF('House Count'!F630="RES-SFU",1,IF('House Count'!F630="RES-MDU",1,IF('House Count'!F630="RES-HOA",1,0))),0)</f>
        <v>0</v>
      </c>
      <c r="K630">
        <f>IF('House Count'!H630="Y",IF('House Count'!F630="COMM-SU",1,IF('House Count'!F630="COM-MTU",1,IF('House Count'!F630="ENT",1,0))),0)</f>
        <v>0</v>
      </c>
    </row>
    <row r="631" spans="1:11" x14ac:dyDescent="0.25">
      <c r="A631" s="109"/>
      <c r="B631" s="109"/>
      <c r="C631" s="109"/>
      <c r="D631" s="109"/>
      <c r="E631" s="109"/>
      <c r="F631" s="109"/>
      <c r="G631" s="109"/>
      <c r="H631" s="109"/>
      <c r="I631" s="68"/>
      <c r="J631">
        <f>IF('House Count'!H631="Y",IF('House Count'!F631="RES-SFU",1,IF('House Count'!F631="RES-MDU",1,IF('House Count'!F631="RES-HOA",1,0))),0)</f>
        <v>0</v>
      </c>
      <c r="K631">
        <f>IF('House Count'!H631="Y",IF('House Count'!F631="COMM-SU",1,IF('House Count'!F631="COM-MTU",1,IF('House Count'!F631="ENT",1,0))),0)</f>
        <v>0</v>
      </c>
    </row>
    <row r="632" spans="1:11" x14ac:dyDescent="0.25">
      <c r="A632" s="109"/>
      <c r="B632" s="109"/>
      <c r="C632" s="109"/>
      <c r="D632" s="109"/>
      <c r="E632" s="109"/>
      <c r="F632" s="109"/>
      <c r="G632" s="109"/>
      <c r="H632" s="109"/>
      <c r="I632" s="68"/>
      <c r="J632">
        <f>IF('House Count'!H632="Y",IF('House Count'!F632="RES-SFU",1,IF('House Count'!F632="RES-MDU",1,IF('House Count'!F632="RES-HOA",1,0))),0)</f>
        <v>0</v>
      </c>
      <c r="K632">
        <f>IF('House Count'!H632="Y",IF('House Count'!F632="COMM-SU",1,IF('House Count'!F632="COM-MTU",1,IF('House Count'!F632="ENT",1,0))),0)</f>
        <v>0</v>
      </c>
    </row>
    <row r="633" spans="1:11" x14ac:dyDescent="0.25">
      <c r="A633" s="109"/>
      <c r="B633" s="109"/>
      <c r="C633" s="109"/>
      <c r="D633" s="109"/>
      <c r="E633" s="109"/>
      <c r="F633" s="109"/>
      <c r="G633" s="109"/>
      <c r="H633" s="109"/>
      <c r="I633" s="68"/>
      <c r="J633">
        <f>IF('House Count'!H633="Y",IF('House Count'!F633="RES-SFU",1,IF('House Count'!F633="RES-MDU",1,IF('House Count'!F633="RES-HOA",1,0))),0)</f>
        <v>0</v>
      </c>
      <c r="K633">
        <f>IF('House Count'!H633="Y",IF('House Count'!F633="COMM-SU",1,IF('House Count'!F633="COM-MTU",1,IF('House Count'!F633="ENT",1,0))),0)</f>
        <v>0</v>
      </c>
    </row>
    <row r="634" spans="1:11" x14ac:dyDescent="0.25">
      <c r="A634" s="109"/>
      <c r="B634" s="109"/>
      <c r="C634" s="109"/>
      <c r="D634" s="109"/>
      <c r="E634" s="109"/>
      <c r="F634" s="109"/>
      <c r="G634" s="109"/>
      <c r="H634" s="109"/>
      <c r="I634" s="68"/>
      <c r="J634">
        <f>IF('House Count'!H634="Y",IF('House Count'!F634="RES-SFU",1,IF('House Count'!F634="RES-MDU",1,IF('House Count'!F634="RES-HOA",1,0))),0)</f>
        <v>0</v>
      </c>
      <c r="K634">
        <f>IF('House Count'!H634="Y",IF('House Count'!F634="COMM-SU",1,IF('House Count'!F634="COM-MTU",1,IF('House Count'!F634="ENT",1,0))),0)</f>
        <v>0</v>
      </c>
    </row>
    <row r="635" spans="1:11" x14ac:dyDescent="0.25">
      <c r="A635" s="109"/>
      <c r="B635" s="109"/>
      <c r="C635" s="109"/>
      <c r="D635" s="109"/>
      <c r="E635" s="109"/>
      <c r="F635" s="109"/>
      <c r="G635" s="109"/>
      <c r="H635" s="109"/>
      <c r="I635" s="68"/>
      <c r="J635">
        <f>IF('House Count'!H635="Y",IF('House Count'!F635="RES-SFU",1,IF('House Count'!F635="RES-MDU",1,IF('House Count'!F635="RES-HOA",1,0))),0)</f>
        <v>0</v>
      </c>
      <c r="K635">
        <f>IF('House Count'!H635="Y",IF('House Count'!F635="COMM-SU",1,IF('House Count'!F635="COM-MTU",1,IF('House Count'!F635="ENT",1,0))),0)</f>
        <v>0</v>
      </c>
    </row>
    <row r="636" spans="1:11" x14ac:dyDescent="0.25">
      <c r="A636" s="109"/>
      <c r="B636" s="109"/>
      <c r="C636" s="109"/>
      <c r="D636" s="109"/>
      <c r="E636" s="109"/>
      <c r="F636" s="109"/>
      <c r="G636" s="109"/>
      <c r="H636" s="109"/>
      <c r="I636" s="68"/>
      <c r="J636">
        <f>IF('House Count'!H636="Y",IF('House Count'!F636="RES-SFU",1,IF('House Count'!F636="RES-MDU",1,IF('House Count'!F636="RES-HOA",1,0))),0)</f>
        <v>0</v>
      </c>
      <c r="K636">
        <f>IF('House Count'!H636="Y",IF('House Count'!F636="COMM-SU",1,IF('House Count'!F636="COM-MTU",1,IF('House Count'!F636="ENT",1,0))),0)</f>
        <v>0</v>
      </c>
    </row>
    <row r="637" spans="1:11" ht="15.75" thickBot="1" x14ac:dyDescent="0.3">
      <c r="A637" s="545"/>
      <c r="B637" s="545"/>
      <c r="C637" s="545"/>
      <c r="D637" s="545"/>
      <c r="E637" s="545"/>
      <c r="F637" s="545"/>
      <c r="G637" s="545"/>
      <c r="H637" s="545"/>
      <c r="I637" s="546"/>
      <c r="J637">
        <f>IF('House Count'!H637="Y",IF('House Count'!F637="RES-SFU",1,IF('House Count'!F637="RES-MDU",1,IF('House Count'!F637="RES-HOA",1,0))),0)</f>
        <v>0</v>
      </c>
      <c r="K637">
        <f>IF('House Count'!H637="Y",IF('House Count'!F637="COMM-SU",1,IF('House Count'!F637="COM-MTU",1,IF('House Count'!F637="ENT",1,0))),0)</f>
        <v>0</v>
      </c>
    </row>
    <row r="638" spans="1:11" ht="15.75" thickTop="1" x14ac:dyDescent="0.25">
      <c r="A638" s="109"/>
      <c r="B638" s="109"/>
      <c r="C638" s="109"/>
      <c r="D638" s="109"/>
      <c r="E638" s="109"/>
      <c r="F638" s="109"/>
      <c r="G638" s="109"/>
      <c r="H638" s="109"/>
      <c r="I638" s="68"/>
      <c r="J638">
        <f>IF('House Count'!H638="Y",IF('House Count'!F638="RES-SFU",1,IF('House Count'!F638="RES-MDU",1,IF('House Count'!F638="RES-HOA",1,0))),0)</f>
        <v>0</v>
      </c>
      <c r="K638">
        <f>IF('House Count'!H638="Y",IF('House Count'!F638="COMM-SU",1,IF('House Count'!F638="COM-MTU",1,IF('House Count'!F638="ENT",1,0))),0)</f>
        <v>0</v>
      </c>
    </row>
    <row r="639" spans="1:11" x14ac:dyDescent="0.25">
      <c r="A639" s="109"/>
      <c r="B639" s="109"/>
      <c r="C639" s="109"/>
      <c r="D639" s="109"/>
      <c r="E639" s="109"/>
      <c r="F639" s="109"/>
      <c r="G639" s="109"/>
      <c r="H639" s="109"/>
      <c r="I639" s="68"/>
      <c r="J639">
        <f>IF('House Count'!H639="Y",IF('House Count'!F639="RES-SFU",1,IF('House Count'!F639="RES-MDU",1,IF('House Count'!F639="RES-HOA",1,0))),0)</f>
        <v>0</v>
      </c>
      <c r="K639">
        <f>IF('House Count'!H639="Y",IF('House Count'!F639="COMM-SU",1,IF('House Count'!F639="COM-MTU",1,IF('House Count'!F639="ENT",1,0))),0)</f>
        <v>0</v>
      </c>
    </row>
    <row r="640" spans="1:11" x14ac:dyDescent="0.25">
      <c r="A640" s="109"/>
      <c r="B640" s="109"/>
      <c r="C640" s="109"/>
      <c r="D640" s="109"/>
      <c r="E640" s="109"/>
      <c r="F640" s="109"/>
      <c r="G640" s="109"/>
      <c r="H640" s="109"/>
      <c r="I640" s="68"/>
      <c r="J640">
        <f>IF('House Count'!H640="Y",IF('House Count'!F640="RES-SFU",1,IF('House Count'!F640="RES-MDU",1,IF('House Count'!F640="RES-HOA",1,0))),0)</f>
        <v>0</v>
      </c>
      <c r="K640">
        <f>IF('House Count'!H640="Y",IF('House Count'!F640="COMM-SU",1,IF('House Count'!F640="COM-MTU",1,IF('House Count'!F640="ENT",1,0))),0)</f>
        <v>0</v>
      </c>
    </row>
    <row r="641" spans="1:11" x14ac:dyDescent="0.25">
      <c r="A641" s="109"/>
      <c r="B641" s="109"/>
      <c r="C641" s="109"/>
      <c r="D641" s="109"/>
      <c r="E641" s="109"/>
      <c r="F641" s="109"/>
      <c r="G641" s="109"/>
      <c r="H641" s="109"/>
      <c r="I641" s="68"/>
      <c r="J641">
        <f>IF('House Count'!H641="Y",IF('House Count'!F641="RES-SFU",1,IF('House Count'!F641="RES-MDU",1,IF('House Count'!F641="RES-HOA",1,0))),0)</f>
        <v>0</v>
      </c>
      <c r="K641">
        <f>IF('House Count'!H641="Y",IF('House Count'!F641="COMM-SU",1,IF('House Count'!F641="COM-MTU",1,IF('House Count'!F641="ENT",1,0))),0)</f>
        <v>0</v>
      </c>
    </row>
    <row r="642" spans="1:11" x14ac:dyDescent="0.25">
      <c r="A642" s="109"/>
      <c r="B642" s="109"/>
      <c r="C642" s="109"/>
      <c r="D642" s="109"/>
      <c r="E642" s="109"/>
      <c r="F642" s="109"/>
      <c r="G642" s="109"/>
      <c r="H642" s="109"/>
      <c r="I642" s="68"/>
      <c r="J642">
        <f>IF('House Count'!H642="Y",IF('House Count'!F642="RES-SFU",1,IF('House Count'!F642="RES-MDU",1,IF('House Count'!F642="RES-HOA",1,0))),0)</f>
        <v>0</v>
      </c>
      <c r="K642">
        <f>IF('House Count'!H642="Y",IF('House Count'!F642="COMM-SU",1,IF('House Count'!F642="COM-MTU",1,IF('House Count'!F642="ENT",1,0))),0)</f>
        <v>0</v>
      </c>
    </row>
    <row r="643" spans="1:11" x14ac:dyDescent="0.25">
      <c r="A643" s="109"/>
      <c r="B643" s="109"/>
      <c r="C643" s="109"/>
      <c r="D643" s="109"/>
      <c r="E643" s="109"/>
      <c r="F643" s="109"/>
      <c r="G643" s="109"/>
      <c r="H643" s="109"/>
      <c r="I643" s="68"/>
      <c r="J643">
        <f>IF('House Count'!H643="Y",IF('House Count'!F643="RES-SFU",1,IF('House Count'!F643="RES-MDU",1,IF('House Count'!F643="RES-HOA",1,0))),0)</f>
        <v>0</v>
      </c>
      <c r="K643">
        <f>IF('House Count'!H643="Y",IF('House Count'!F643="COMM-SU",1,IF('House Count'!F643="COM-MTU",1,IF('House Count'!F643="ENT",1,0))),0)</f>
        <v>0</v>
      </c>
    </row>
    <row r="644" spans="1:11" x14ac:dyDescent="0.25">
      <c r="A644" s="109"/>
      <c r="B644" s="109"/>
      <c r="C644" s="109"/>
      <c r="D644" s="109"/>
      <c r="E644" s="109"/>
      <c r="F644" s="109"/>
      <c r="G644" s="109"/>
      <c r="H644" s="109"/>
      <c r="I644" s="68"/>
      <c r="J644">
        <f>IF('House Count'!H644="Y",IF('House Count'!F644="RES-SFU",1,IF('House Count'!F644="RES-MDU",1,IF('House Count'!F644="RES-HOA",1,0))),0)</f>
        <v>0</v>
      </c>
      <c r="K644">
        <f>IF('House Count'!H644="Y",IF('House Count'!F644="COMM-SU",1,IF('House Count'!F644="COM-MTU",1,IF('House Count'!F644="ENT",1,0))),0)</f>
        <v>0</v>
      </c>
    </row>
    <row r="645" spans="1:11" x14ac:dyDescent="0.25">
      <c r="A645" s="109"/>
      <c r="B645" s="109"/>
      <c r="C645" s="109"/>
      <c r="D645" s="109"/>
      <c r="E645" s="109"/>
      <c r="F645" s="109"/>
      <c r="G645" s="109"/>
      <c r="H645" s="109"/>
      <c r="I645" s="68"/>
      <c r="J645">
        <f>IF('House Count'!H645="Y",IF('House Count'!F645="RES-SFU",1,IF('House Count'!F645="RES-MDU",1,IF('House Count'!F645="RES-HOA",1,0))),0)</f>
        <v>0</v>
      </c>
      <c r="K645">
        <f>IF('House Count'!H645="Y",IF('House Count'!F645="COMM-SU",1,IF('House Count'!F645="COM-MTU",1,IF('House Count'!F645="ENT",1,0))),0)</f>
        <v>0</v>
      </c>
    </row>
    <row r="646" spans="1:11" x14ac:dyDescent="0.25">
      <c r="A646" s="109"/>
      <c r="B646" s="109"/>
      <c r="C646" s="109"/>
      <c r="D646" s="109"/>
      <c r="E646" s="109"/>
      <c r="F646" s="109"/>
      <c r="G646" s="109"/>
      <c r="H646" s="109"/>
      <c r="I646" s="68"/>
      <c r="J646">
        <f>IF('House Count'!H646="Y",IF('House Count'!F646="RES-SFU",1,IF('House Count'!F646="RES-MDU",1,IF('House Count'!F646="RES-HOA",1,0))),0)</f>
        <v>0</v>
      </c>
      <c r="K646">
        <f>IF('House Count'!H646="Y",IF('House Count'!F646="COMM-SU",1,IF('House Count'!F646="COM-MTU",1,IF('House Count'!F646="ENT",1,0))),0)</f>
        <v>0</v>
      </c>
    </row>
    <row r="647" spans="1:11" x14ac:dyDescent="0.25">
      <c r="A647" s="109"/>
      <c r="B647" s="109"/>
      <c r="C647" s="109"/>
      <c r="D647" s="109"/>
      <c r="E647" s="109"/>
      <c r="F647" s="109"/>
      <c r="G647" s="109"/>
      <c r="H647" s="109"/>
      <c r="I647" s="68"/>
      <c r="J647">
        <f>IF('House Count'!H647="Y",IF('House Count'!F647="RES-SFU",1,IF('House Count'!F647="RES-MDU",1,IF('House Count'!F647="RES-HOA",1,0))),0)</f>
        <v>0</v>
      </c>
      <c r="K647">
        <f>IF('House Count'!H647="Y",IF('House Count'!F647="COMM-SU",1,IF('House Count'!F647="COM-MTU",1,IF('House Count'!F647="ENT",1,0))),0)</f>
        <v>0</v>
      </c>
    </row>
    <row r="648" spans="1:11" x14ac:dyDescent="0.25">
      <c r="A648" s="109"/>
      <c r="B648" s="109"/>
      <c r="C648" s="109"/>
      <c r="D648" s="109"/>
      <c r="E648" s="109"/>
      <c r="F648" s="109"/>
      <c r="G648" s="109"/>
      <c r="H648" s="109"/>
      <c r="I648" s="68"/>
      <c r="J648">
        <f>IF('House Count'!H648="Y",IF('House Count'!F648="RES-SFU",1,IF('House Count'!F648="RES-MDU",1,IF('House Count'!F648="RES-HOA",1,0))),0)</f>
        <v>0</v>
      </c>
      <c r="K648">
        <f>IF('House Count'!H648="Y",IF('House Count'!F648="COMM-SU",1,IF('House Count'!F648="COM-MTU",1,IF('House Count'!F648="ENT",1,0))),0)</f>
        <v>0</v>
      </c>
    </row>
    <row r="649" spans="1:11" ht="15.75" thickBot="1" x14ac:dyDescent="0.3">
      <c r="A649" s="545"/>
      <c r="B649" s="545"/>
      <c r="C649" s="545"/>
      <c r="D649" s="545"/>
      <c r="E649" s="545"/>
      <c r="F649" s="545"/>
      <c r="G649" s="545"/>
      <c r="H649" s="545"/>
      <c r="I649" s="546"/>
      <c r="J649">
        <f>IF('House Count'!H649="Y",IF('House Count'!F649="RES-SFU",1,IF('House Count'!F649="RES-MDU",1,IF('House Count'!F649="RES-HOA",1,0))),0)</f>
        <v>0</v>
      </c>
      <c r="K649">
        <f>IF('House Count'!H649="Y",IF('House Count'!F649="COMM-SU",1,IF('House Count'!F649="COM-MTU",1,IF('House Count'!F649="ENT",1,0))),0)</f>
        <v>0</v>
      </c>
    </row>
    <row r="650" spans="1:11" ht="15.75" thickTop="1" x14ac:dyDescent="0.25">
      <c r="A650" s="109"/>
      <c r="B650" s="109"/>
      <c r="C650" s="109"/>
      <c r="D650" s="109"/>
      <c r="E650" s="109"/>
      <c r="F650" s="109"/>
      <c r="G650" s="109"/>
      <c r="H650" s="109"/>
      <c r="I650" s="68"/>
      <c r="J650">
        <f>IF('House Count'!H650="Y",IF('House Count'!F650="RES-SFU",1,IF('House Count'!F650="RES-MDU",1,IF('House Count'!F650="RES-HOA",1,0))),0)</f>
        <v>0</v>
      </c>
      <c r="K650">
        <f>IF('House Count'!H650="Y",IF('House Count'!F650="COMM-SU",1,IF('House Count'!F650="COM-MTU",1,IF('House Count'!F650="ENT",1,0))),0)</f>
        <v>0</v>
      </c>
    </row>
    <row r="651" spans="1:11" x14ac:dyDescent="0.25">
      <c r="A651" s="109"/>
      <c r="B651" s="109"/>
      <c r="C651" s="109"/>
      <c r="D651" s="109"/>
      <c r="E651" s="109"/>
      <c r="F651" s="109"/>
      <c r="G651" s="109"/>
      <c r="H651" s="109"/>
      <c r="I651" s="68"/>
      <c r="J651">
        <f>IF('House Count'!H651="Y",IF('House Count'!F651="RES-SFU",1,IF('House Count'!F651="RES-MDU",1,IF('House Count'!F651="RES-HOA",1,0))),0)</f>
        <v>0</v>
      </c>
      <c r="K651">
        <f>IF('House Count'!H651="Y",IF('House Count'!F651="COMM-SU",1,IF('House Count'!F651="COM-MTU",1,IF('House Count'!F651="ENT",1,0))),0)</f>
        <v>0</v>
      </c>
    </row>
    <row r="652" spans="1:11" x14ac:dyDescent="0.25">
      <c r="A652" s="109"/>
      <c r="B652" s="109"/>
      <c r="C652" s="109"/>
      <c r="D652" s="109"/>
      <c r="E652" s="109"/>
      <c r="F652" s="109"/>
      <c r="G652" s="109"/>
      <c r="H652" s="109"/>
      <c r="I652" s="68"/>
      <c r="J652">
        <f>IF('House Count'!H652="Y",IF('House Count'!F652="RES-SFU",1,IF('House Count'!F652="RES-MDU",1,IF('House Count'!F652="RES-HOA",1,0))),0)</f>
        <v>0</v>
      </c>
      <c r="K652">
        <f>IF('House Count'!H652="Y",IF('House Count'!F652="COMM-SU",1,IF('House Count'!F652="COM-MTU",1,IF('House Count'!F652="ENT",1,0))),0)</f>
        <v>0</v>
      </c>
    </row>
    <row r="653" spans="1:11" x14ac:dyDescent="0.25">
      <c r="A653" s="109"/>
      <c r="B653" s="109"/>
      <c r="C653" s="109"/>
      <c r="D653" s="109"/>
      <c r="E653" s="109"/>
      <c r="F653" s="109"/>
      <c r="G653" s="109"/>
      <c r="H653" s="109"/>
      <c r="I653" s="68"/>
      <c r="J653">
        <f>IF('House Count'!H653="Y",IF('House Count'!F653="RES-SFU",1,IF('House Count'!F653="RES-MDU",1,IF('House Count'!F653="RES-HOA",1,0))),0)</f>
        <v>0</v>
      </c>
      <c r="K653">
        <f>IF('House Count'!H653="Y",IF('House Count'!F653="COMM-SU",1,IF('House Count'!F653="COM-MTU",1,IF('House Count'!F653="ENT",1,0))),0)</f>
        <v>0</v>
      </c>
    </row>
    <row r="654" spans="1:11" x14ac:dyDescent="0.25">
      <c r="A654" s="109"/>
      <c r="B654" s="109"/>
      <c r="C654" s="109"/>
      <c r="D654" s="109"/>
      <c r="E654" s="109"/>
      <c r="F654" s="109"/>
      <c r="G654" s="109"/>
      <c r="H654" s="109"/>
      <c r="I654" s="68"/>
      <c r="J654">
        <f>IF('House Count'!H654="Y",IF('House Count'!F654="RES-SFU",1,IF('House Count'!F654="RES-MDU",1,IF('House Count'!F654="RES-HOA",1,0))),0)</f>
        <v>0</v>
      </c>
      <c r="K654">
        <f>IF('House Count'!H654="Y",IF('House Count'!F654="COMM-SU",1,IF('House Count'!F654="COM-MTU",1,IF('House Count'!F654="ENT",1,0))),0)</f>
        <v>0</v>
      </c>
    </row>
    <row r="655" spans="1:11" x14ac:dyDescent="0.25">
      <c r="A655" s="109"/>
      <c r="B655" s="109"/>
      <c r="C655" s="109"/>
      <c r="D655" s="109"/>
      <c r="E655" s="109"/>
      <c r="F655" s="109"/>
      <c r="G655" s="109"/>
      <c r="H655" s="109"/>
      <c r="I655" s="68"/>
      <c r="J655">
        <f>IF('House Count'!H655="Y",IF('House Count'!F655="RES-SFU",1,IF('House Count'!F655="RES-MDU",1,IF('House Count'!F655="RES-HOA",1,0))),0)</f>
        <v>0</v>
      </c>
      <c r="K655">
        <f>IF('House Count'!H655="Y",IF('House Count'!F655="COMM-SU",1,IF('House Count'!F655="COM-MTU",1,IF('House Count'!F655="ENT",1,0))),0)</f>
        <v>0</v>
      </c>
    </row>
    <row r="656" spans="1:11" x14ac:dyDescent="0.25">
      <c r="A656" s="109"/>
      <c r="B656" s="109"/>
      <c r="C656" s="109"/>
      <c r="D656" s="109"/>
      <c r="E656" s="109"/>
      <c r="F656" s="109"/>
      <c r="G656" s="109"/>
      <c r="H656" s="109"/>
      <c r="I656" s="68"/>
      <c r="J656">
        <f>IF('House Count'!H656="Y",IF('House Count'!F656="RES-SFU",1,IF('House Count'!F656="RES-MDU",1,IF('House Count'!F656="RES-HOA",1,0))),0)</f>
        <v>0</v>
      </c>
      <c r="K656">
        <f>IF('House Count'!H656="Y",IF('House Count'!F656="COMM-SU",1,IF('House Count'!F656="COM-MTU",1,IF('House Count'!F656="ENT",1,0))),0)</f>
        <v>0</v>
      </c>
    </row>
    <row r="657" spans="1:11" x14ac:dyDescent="0.25">
      <c r="A657" s="109"/>
      <c r="B657" s="109"/>
      <c r="C657" s="109"/>
      <c r="D657" s="109"/>
      <c r="E657" s="109"/>
      <c r="F657" s="109"/>
      <c r="G657" s="109"/>
      <c r="H657" s="109"/>
      <c r="I657" s="68"/>
      <c r="J657">
        <f>IF('House Count'!H657="Y",IF('House Count'!F657="RES-SFU",1,IF('House Count'!F657="RES-MDU",1,IF('House Count'!F657="RES-HOA",1,0))),0)</f>
        <v>0</v>
      </c>
      <c r="K657">
        <f>IF('House Count'!H657="Y",IF('House Count'!F657="COMM-SU",1,IF('House Count'!F657="COM-MTU",1,IF('House Count'!F657="ENT",1,0))),0)</f>
        <v>0</v>
      </c>
    </row>
    <row r="658" spans="1:11" x14ac:dyDescent="0.25">
      <c r="A658" s="109"/>
      <c r="B658" s="109"/>
      <c r="C658" s="109"/>
      <c r="D658" s="109"/>
      <c r="E658" s="109"/>
      <c r="F658" s="109"/>
      <c r="G658" s="109"/>
      <c r="H658" s="109"/>
      <c r="I658" s="68"/>
      <c r="J658">
        <f>IF('House Count'!H658="Y",IF('House Count'!F658="RES-SFU",1,IF('House Count'!F658="RES-MDU",1,IF('House Count'!F658="RES-HOA",1,0))),0)</f>
        <v>0</v>
      </c>
      <c r="K658">
        <f>IF('House Count'!H658="Y",IF('House Count'!F658="COMM-SU",1,IF('House Count'!F658="COM-MTU",1,IF('House Count'!F658="ENT",1,0))),0)</f>
        <v>0</v>
      </c>
    </row>
    <row r="659" spans="1:11" x14ac:dyDescent="0.25">
      <c r="A659" s="109"/>
      <c r="B659" s="109"/>
      <c r="C659" s="109"/>
      <c r="D659" s="109"/>
      <c r="E659" s="109"/>
      <c r="F659" s="109"/>
      <c r="G659" s="109"/>
      <c r="H659" s="109"/>
      <c r="I659" s="68"/>
      <c r="J659">
        <f>IF('House Count'!H659="Y",IF('House Count'!F659="RES-SFU",1,IF('House Count'!F659="RES-MDU",1,IF('House Count'!F659="RES-HOA",1,0))),0)</f>
        <v>0</v>
      </c>
      <c r="K659">
        <f>IF('House Count'!H659="Y",IF('House Count'!F659="COMM-SU",1,IF('House Count'!F659="COM-MTU",1,IF('House Count'!F659="ENT",1,0))),0)</f>
        <v>0</v>
      </c>
    </row>
    <row r="660" spans="1:11" x14ac:dyDescent="0.25">
      <c r="A660" s="109"/>
      <c r="B660" s="109"/>
      <c r="C660" s="109"/>
      <c r="D660" s="109"/>
      <c r="E660" s="109"/>
      <c r="F660" s="109"/>
      <c r="G660" s="109"/>
      <c r="H660" s="109"/>
      <c r="I660" s="68"/>
      <c r="J660">
        <f>IF('House Count'!H660="Y",IF('House Count'!F660="RES-SFU",1,IF('House Count'!F660="RES-MDU",1,IF('House Count'!F660="RES-HOA",1,0))),0)</f>
        <v>0</v>
      </c>
      <c r="K660">
        <f>IF('House Count'!H660="Y",IF('House Count'!F660="COMM-SU",1,IF('House Count'!F660="COM-MTU",1,IF('House Count'!F660="ENT",1,0))),0)</f>
        <v>0</v>
      </c>
    </row>
    <row r="661" spans="1:11" ht="15.75" thickBot="1" x14ac:dyDescent="0.3">
      <c r="A661" s="545"/>
      <c r="B661" s="545"/>
      <c r="C661" s="545"/>
      <c r="D661" s="545"/>
      <c r="E661" s="545"/>
      <c r="F661" s="545"/>
      <c r="G661" s="545"/>
      <c r="H661" s="545"/>
      <c r="I661" s="546"/>
      <c r="J661">
        <f>IF('House Count'!H661="Y",IF('House Count'!F661="RES-SFU",1,IF('House Count'!F661="RES-MDU",1,IF('House Count'!F661="RES-HOA",1,0))),0)</f>
        <v>0</v>
      </c>
      <c r="K661">
        <f>IF('House Count'!H661="Y",IF('House Count'!F661="COMM-SU",1,IF('House Count'!F661="COM-MTU",1,IF('House Count'!F661="ENT",1,0))),0)</f>
        <v>0</v>
      </c>
    </row>
    <row r="662" spans="1:11" ht="15.75" thickTop="1" x14ac:dyDescent="0.25">
      <c r="A662" s="109"/>
      <c r="B662" s="109"/>
      <c r="C662" s="109"/>
      <c r="D662" s="109"/>
      <c r="E662" s="109"/>
      <c r="F662" s="109"/>
      <c r="G662" s="109"/>
      <c r="H662" s="109"/>
      <c r="I662" s="68"/>
      <c r="J662">
        <f>IF('House Count'!H662="Y",IF('House Count'!F662="RES-SFU",1,IF('House Count'!F662="RES-MDU",1,IF('House Count'!F662="RES-HOA",1,0))),0)</f>
        <v>0</v>
      </c>
      <c r="K662">
        <f>IF('House Count'!H662="Y",IF('House Count'!F662="COMM-SU",1,IF('House Count'!F662="COM-MTU",1,IF('House Count'!F662="ENT",1,0))),0)</f>
        <v>0</v>
      </c>
    </row>
    <row r="663" spans="1:11" x14ac:dyDescent="0.25">
      <c r="A663" s="109"/>
      <c r="B663" s="109"/>
      <c r="C663" s="109"/>
      <c r="D663" s="109"/>
      <c r="E663" s="109"/>
      <c r="F663" s="109"/>
      <c r="G663" s="109"/>
      <c r="H663" s="109"/>
      <c r="I663" s="68"/>
      <c r="J663">
        <f>IF('House Count'!H663="Y",IF('House Count'!F663="RES-SFU",1,IF('House Count'!F663="RES-MDU",1,IF('House Count'!F663="RES-HOA",1,0))),0)</f>
        <v>0</v>
      </c>
      <c r="K663">
        <f>IF('House Count'!H663="Y",IF('House Count'!F663="COMM-SU",1,IF('House Count'!F663="COM-MTU",1,IF('House Count'!F663="ENT",1,0))),0)</f>
        <v>0</v>
      </c>
    </row>
    <row r="664" spans="1:11" x14ac:dyDescent="0.25">
      <c r="A664" s="109"/>
      <c r="B664" s="109"/>
      <c r="C664" s="109"/>
      <c r="D664" s="109"/>
      <c r="E664" s="109"/>
      <c r="F664" s="109"/>
      <c r="G664" s="109"/>
      <c r="H664" s="109"/>
      <c r="I664" s="68"/>
      <c r="J664">
        <f>IF('House Count'!H664="Y",IF('House Count'!F664="RES-SFU",1,IF('House Count'!F664="RES-MDU",1,IF('House Count'!F664="RES-HOA",1,0))),0)</f>
        <v>0</v>
      </c>
      <c r="K664">
        <f>IF('House Count'!H664="Y",IF('House Count'!F664="COMM-SU",1,IF('House Count'!F664="COM-MTU",1,IF('House Count'!F664="ENT",1,0))),0)</f>
        <v>0</v>
      </c>
    </row>
    <row r="665" spans="1:11" x14ac:dyDescent="0.25">
      <c r="A665" s="109"/>
      <c r="B665" s="109"/>
      <c r="C665" s="109"/>
      <c r="D665" s="109"/>
      <c r="E665" s="109"/>
      <c r="F665" s="109"/>
      <c r="G665" s="109"/>
      <c r="H665" s="109"/>
      <c r="I665" s="68"/>
      <c r="J665">
        <f>IF('House Count'!H665="Y",IF('House Count'!F665="RES-SFU",1,IF('House Count'!F665="RES-MDU",1,IF('House Count'!F665="RES-HOA",1,0))),0)</f>
        <v>0</v>
      </c>
      <c r="K665">
        <f>IF('House Count'!H665="Y",IF('House Count'!F665="COMM-SU",1,IF('House Count'!F665="COM-MTU",1,IF('House Count'!F665="ENT",1,0))),0)</f>
        <v>0</v>
      </c>
    </row>
    <row r="666" spans="1:11" x14ac:dyDescent="0.25">
      <c r="A666" s="109"/>
      <c r="B666" s="109"/>
      <c r="C666" s="109"/>
      <c r="D666" s="109"/>
      <c r="E666" s="109"/>
      <c r="F666" s="109"/>
      <c r="G666" s="109"/>
      <c r="H666" s="109"/>
      <c r="I666" s="68"/>
      <c r="J666">
        <f>IF('House Count'!H666="Y",IF('House Count'!F666="RES-SFU",1,IF('House Count'!F666="RES-MDU",1,IF('House Count'!F666="RES-HOA",1,0))),0)</f>
        <v>0</v>
      </c>
      <c r="K666">
        <f>IF('House Count'!H666="Y",IF('House Count'!F666="COMM-SU",1,IF('House Count'!F666="COM-MTU",1,IF('House Count'!F666="ENT",1,0))),0)</f>
        <v>0</v>
      </c>
    </row>
    <row r="667" spans="1:11" x14ac:dyDescent="0.25">
      <c r="A667" s="109"/>
      <c r="B667" s="109"/>
      <c r="C667" s="109"/>
      <c r="D667" s="109"/>
      <c r="E667" s="109"/>
      <c r="F667" s="109"/>
      <c r="G667" s="109"/>
      <c r="H667" s="109"/>
      <c r="I667" s="68"/>
      <c r="J667">
        <f>IF('House Count'!H667="Y",IF('House Count'!F667="RES-SFU",1,IF('House Count'!F667="RES-MDU",1,IF('House Count'!F667="RES-HOA",1,0))),0)</f>
        <v>0</v>
      </c>
      <c r="K667">
        <f>IF('House Count'!H667="Y",IF('House Count'!F667="COMM-SU",1,IF('House Count'!F667="COM-MTU",1,IF('House Count'!F667="ENT",1,0))),0)</f>
        <v>0</v>
      </c>
    </row>
    <row r="668" spans="1:11" x14ac:dyDescent="0.25">
      <c r="A668" s="109"/>
      <c r="B668" s="109"/>
      <c r="C668" s="109"/>
      <c r="D668" s="109"/>
      <c r="E668" s="109"/>
      <c r="F668" s="109"/>
      <c r="G668" s="109"/>
      <c r="H668" s="109"/>
      <c r="I668" s="68"/>
      <c r="J668">
        <f>IF('House Count'!H668="Y",IF('House Count'!F668="RES-SFU",1,IF('House Count'!F668="RES-MDU",1,IF('House Count'!F668="RES-HOA",1,0))),0)</f>
        <v>0</v>
      </c>
      <c r="K668">
        <f>IF('House Count'!H668="Y",IF('House Count'!F668="COMM-SU",1,IF('House Count'!F668="COM-MTU",1,IF('House Count'!F668="ENT",1,0))),0)</f>
        <v>0</v>
      </c>
    </row>
    <row r="669" spans="1:11" x14ac:dyDescent="0.25">
      <c r="A669" s="109"/>
      <c r="B669" s="109"/>
      <c r="C669" s="109"/>
      <c r="D669" s="109"/>
      <c r="E669" s="109"/>
      <c r="F669" s="109"/>
      <c r="G669" s="109"/>
      <c r="H669" s="109"/>
      <c r="I669" s="68"/>
      <c r="J669">
        <f>IF('House Count'!H669="Y",IF('House Count'!F669="RES-SFU",1,IF('House Count'!F669="RES-MDU",1,IF('House Count'!F669="RES-HOA",1,0))),0)</f>
        <v>0</v>
      </c>
      <c r="K669">
        <f>IF('House Count'!H669="Y",IF('House Count'!F669="COMM-SU",1,IF('House Count'!F669="COM-MTU",1,IF('House Count'!F669="ENT",1,0))),0)</f>
        <v>0</v>
      </c>
    </row>
    <row r="670" spans="1:11" x14ac:dyDescent="0.25">
      <c r="A670" s="109"/>
      <c r="B670" s="109"/>
      <c r="C670" s="109"/>
      <c r="D670" s="109"/>
      <c r="E670" s="109"/>
      <c r="F670" s="109"/>
      <c r="G670" s="109"/>
      <c r="H670" s="109"/>
      <c r="I670" s="68"/>
      <c r="J670">
        <f>IF('House Count'!H670="Y",IF('House Count'!F670="RES-SFU",1,IF('House Count'!F670="RES-MDU",1,IF('House Count'!F670="RES-HOA",1,0))),0)</f>
        <v>0</v>
      </c>
      <c r="K670">
        <f>IF('House Count'!H670="Y",IF('House Count'!F670="COMM-SU",1,IF('House Count'!F670="COM-MTU",1,IF('House Count'!F670="ENT",1,0))),0)</f>
        <v>0</v>
      </c>
    </row>
    <row r="671" spans="1:11" x14ac:dyDescent="0.25">
      <c r="A671" s="109"/>
      <c r="B671" s="109"/>
      <c r="C671" s="109"/>
      <c r="D671" s="109"/>
      <c r="E671" s="109"/>
      <c r="F671" s="109"/>
      <c r="G671" s="109"/>
      <c r="H671" s="109"/>
      <c r="I671" s="68"/>
      <c r="J671">
        <f>IF('House Count'!H671="Y",IF('House Count'!F671="RES-SFU",1,IF('House Count'!F671="RES-MDU",1,IF('House Count'!F671="RES-HOA",1,0))),0)</f>
        <v>0</v>
      </c>
      <c r="K671">
        <f>IF('House Count'!H671="Y",IF('House Count'!F671="COMM-SU",1,IF('House Count'!F671="COM-MTU",1,IF('House Count'!F671="ENT",1,0))),0)</f>
        <v>0</v>
      </c>
    </row>
    <row r="672" spans="1:11" x14ac:dyDescent="0.25">
      <c r="A672" s="109"/>
      <c r="B672" s="109"/>
      <c r="C672" s="109"/>
      <c r="D672" s="109"/>
      <c r="E672" s="109"/>
      <c r="F672" s="109"/>
      <c r="G672" s="109"/>
      <c r="H672" s="109"/>
      <c r="I672" s="68"/>
      <c r="J672">
        <f>IF('House Count'!H672="Y",IF('House Count'!F672="RES-SFU",1,IF('House Count'!F672="RES-MDU",1,IF('House Count'!F672="RES-HOA",1,0))),0)</f>
        <v>0</v>
      </c>
      <c r="K672">
        <f>IF('House Count'!H672="Y",IF('House Count'!F672="COMM-SU",1,IF('House Count'!F672="COM-MTU",1,IF('House Count'!F672="ENT",1,0))),0)</f>
        <v>0</v>
      </c>
    </row>
    <row r="673" spans="1:11" ht="15.75" thickBot="1" x14ac:dyDescent="0.3">
      <c r="A673" s="545"/>
      <c r="B673" s="545"/>
      <c r="C673" s="545"/>
      <c r="D673" s="545"/>
      <c r="E673" s="545"/>
      <c r="F673" s="545"/>
      <c r="G673" s="545"/>
      <c r="H673" s="545"/>
      <c r="I673" s="546"/>
      <c r="J673">
        <f>IF('House Count'!H673="Y",IF('House Count'!F673="RES-SFU",1,IF('House Count'!F673="RES-MDU",1,IF('House Count'!F673="RES-HOA",1,0))),0)</f>
        <v>0</v>
      </c>
      <c r="K673">
        <f>IF('House Count'!H673="Y",IF('House Count'!F673="COMM-SU",1,IF('House Count'!F673="COM-MTU",1,IF('House Count'!F673="ENT",1,0))),0)</f>
        <v>0</v>
      </c>
    </row>
    <row r="674" spans="1:11" ht="15.75" thickTop="1" x14ac:dyDescent="0.25">
      <c r="A674" s="109"/>
      <c r="B674" s="109"/>
      <c r="C674" s="109"/>
      <c r="D674" s="109"/>
      <c r="E674" s="109"/>
      <c r="F674" s="109"/>
      <c r="G674" s="109"/>
      <c r="H674" s="109"/>
      <c r="I674" s="68"/>
      <c r="J674">
        <f>IF('House Count'!H674="Y",IF('House Count'!F674="RES-SFU",1,IF('House Count'!F674="RES-MDU",1,IF('House Count'!F674="RES-HOA",1,0))),0)</f>
        <v>0</v>
      </c>
      <c r="K674">
        <f>IF('House Count'!H674="Y",IF('House Count'!F674="COMM-SU",1,IF('House Count'!F674="COM-MTU",1,IF('House Count'!F674="ENT",1,0))),0)</f>
        <v>0</v>
      </c>
    </row>
    <row r="675" spans="1:11" x14ac:dyDescent="0.25">
      <c r="A675" s="109"/>
      <c r="B675" s="109"/>
      <c r="C675" s="109"/>
      <c r="D675" s="109"/>
      <c r="E675" s="109"/>
      <c r="F675" s="109"/>
      <c r="G675" s="109"/>
      <c r="H675" s="109"/>
      <c r="I675" s="68"/>
      <c r="J675">
        <f>IF('House Count'!H675="Y",IF('House Count'!F675="RES-SFU",1,IF('House Count'!F675="RES-MDU",1,IF('House Count'!F675="RES-HOA",1,0))),0)</f>
        <v>0</v>
      </c>
      <c r="K675">
        <f>IF('House Count'!H675="Y",IF('House Count'!F675="COMM-SU",1,IF('House Count'!F675="COM-MTU",1,IF('House Count'!F675="ENT",1,0))),0)</f>
        <v>0</v>
      </c>
    </row>
    <row r="676" spans="1:11" x14ac:dyDescent="0.25">
      <c r="A676" s="109"/>
      <c r="B676" s="109"/>
      <c r="C676" s="109"/>
      <c r="D676" s="109"/>
      <c r="E676" s="109"/>
      <c r="F676" s="109"/>
      <c r="G676" s="109"/>
      <c r="H676" s="109"/>
      <c r="I676" s="68"/>
      <c r="J676">
        <f>IF('House Count'!H676="Y",IF('House Count'!F676="RES-SFU",1,IF('House Count'!F676="RES-MDU",1,IF('House Count'!F676="RES-HOA",1,0))),0)</f>
        <v>0</v>
      </c>
      <c r="K676">
        <f>IF('House Count'!H676="Y",IF('House Count'!F676="COMM-SU",1,IF('House Count'!F676="COM-MTU",1,IF('House Count'!F676="ENT",1,0))),0)</f>
        <v>0</v>
      </c>
    </row>
    <row r="677" spans="1:11" x14ac:dyDescent="0.25">
      <c r="A677" s="109"/>
      <c r="B677" s="109"/>
      <c r="C677" s="109"/>
      <c r="D677" s="109"/>
      <c r="E677" s="109"/>
      <c r="F677" s="109"/>
      <c r="G677" s="109"/>
      <c r="H677" s="109"/>
      <c r="I677" s="68"/>
      <c r="J677">
        <f>IF('House Count'!H677="Y",IF('House Count'!F677="RES-SFU",1,IF('House Count'!F677="RES-MDU",1,IF('House Count'!F677="RES-HOA",1,0))),0)</f>
        <v>0</v>
      </c>
      <c r="K677">
        <f>IF('House Count'!H677="Y",IF('House Count'!F677="COMM-SU",1,IF('House Count'!F677="COM-MTU",1,IF('House Count'!F677="ENT",1,0))),0)</f>
        <v>0</v>
      </c>
    </row>
    <row r="678" spans="1:11" x14ac:dyDescent="0.25">
      <c r="A678" s="109"/>
      <c r="B678" s="109"/>
      <c r="C678" s="109"/>
      <c r="D678" s="109"/>
      <c r="E678" s="109"/>
      <c r="F678" s="109"/>
      <c r="G678" s="109"/>
      <c r="H678" s="109"/>
      <c r="I678" s="68"/>
      <c r="J678">
        <f>IF('House Count'!H678="Y",IF('House Count'!F678="RES-SFU",1,IF('House Count'!F678="RES-MDU",1,IF('House Count'!F678="RES-HOA",1,0))),0)</f>
        <v>0</v>
      </c>
      <c r="K678">
        <f>IF('House Count'!H678="Y",IF('House Count'!F678="COMM-SU",1,IF('House Count'!F678="COM-MTU",1,IF('House Count'!F678="ENT",1,0))),0)</f>
        <v>0</v>
      </c>
    </row>
    <row r="679" spans="1:11" x14ac:dyDescent="0.25">
      <c r="A679" s="109"/>
      <c r="B679" s="109"/>
      <c r="C679" s="109"/>
      <c r="D679" s="109"/>
      <c r="E679" s="109"/>
      <c r="F679" s="109"/>
      <c r="G679" s="109"/>
      <c r="H679" s="109"/>
      <c r="I679" s="68"/>
      <c r="J679">
        <f>IF('House Count'!H679="Y",IF('House Count'!F679="RES-SFU",1,IF('House Count'!F679="RES-MDU",1,IF('House Count'!F679="RES-HOA",1,0))),0)</f>
        <v>0</v>
      </c>
      <c r="K679">
        <f>IF('House Count'!H679="Y",IF('House Count'!F679="COMM-SU",1,IF('House Count'!F679="COM-MTU",1,IF('House Count'!F679="ENT",1,0))),0)</f>
        <v>0</v>
      </c>
    </row>
    <row r="680" spans="1:11" x14ac:dyDescent="0.25">
      <c r="A680" s="109"/>
      <c r="B680" s="109"/>
      <c r="C680" s="109"/>
      <c r="D680" s="109"/>
      <c r="E680" s="109"/>
      <c r="F680" s="109"/>
      <c r="G680" s="109"/>
      <c r="H680" s="109"/>
      <c r="I680" s="68"/>
      <c r="J680">
        <f>IF('House Count'!H680="Y",IF('House Count'!F680="RES-SFU",1,IF('House Count'!F680="RES-MDU",1,IF('House Count'!F680="RES-HOA",1,0))),0)</f>
        <v>0</v>
      </c>
      <c r="K680">
        <f>IF('House Count'!H680="Y",IF('House Count'!F680="COMM-SU",1,IF('House Count'!F680="COM-MTU",1,IF('House Count'!F680="ENT",1,0))),0)</f>
        <v>0</v>
      </c>
    </row>
    <row r="681" spans="1:11" x14ac:dyDescent="0.25">
      <c r="A681" s="109"/>
      <c r="B681" s="109"/>
      <c r="C681" s="109"/>
      <c r="D681" s="109"/>
      <c r="E681" s="109"/>
      <c r="F681" s="109"/>
      <c r="G681" s="109"/>
      <c r="H681" s="109"/>
      <c r="I681" s="68"/>
      <c r="J681">
        <f>IF('House Count'!H681="Y",IF('House Count'!F681="RES-SFU",1,IF('House Count'!F681="RES-MDU",1,IF('House Count'!F681="RES-HOA",1,0))),0)</f>
        <v>0</v>
      </c>
      <c r="K681">
        <f>IF('House Count'!H681="Y",IF('House Count'!F681="COMM-SU",1,IF('House Count'!F681="COM-MTU",1,IF('House Count'!F681="ENT",1,0))),0)</f>
        <v>0</v>
      </c>
    </row>
    <row r="682" spans="1:11" x14ac:dyDescent="0.25">
      <c r="A682" s="109"/>
      <c r="B682" s="109"/>
      <c r="C682" s="109"/>
      <c r="D682" s="109"/>
      <c r="E682" s="109"/>
      <c r="F682" s="109"/>
      <c r="G682" s="109"/>
      <c r="H682" s="109"/>
      <c r="I682" s="68"/>
      <c r="J682">
        <f>IF('House Count'!H682="Y",IF('House Count'!F682="RES-SFU",1,IF('House Count'!F682="RES-MDU",1,IF('House Count'!F682="RES-HOA",1,0))),0)</f>
        <v>0</v>
      </c>
      <c r="K682">
        <f>IF('House Count'!H682="Y",IF('House Count'!F682="COMM-SU",1,IF('House Count'!F682="COM-MTU",1,IF('House Count'!F682="ENT",1,0))),0)</f>
        <v>0</v>
      </c>
    </row>
    <row r="683" spans="1:11" x14ac:dyDescent="0.25">
      <c r="A683" s="109"/>
      <c r="B683" s="109"/>
      <c r="C683" s="109"/>
      <c r="D683" s="109"/>
      <c r="E683" s="109"/>
      <c r="F683" s="109"/>
      <c r="G683" s="109"/>
      <c r="H683" s="109"/>
      <c r="I683" s="68"/>
      <c r="J683">
        <f>IF('House Count'!H683="Y",IF('House Count'!F683="RES-SFU",1,IF('House Count'!F683="RES-MDU",1,IF('House Count'!F683="RES-HOA",1,0))),0)</f>
        <v>0</v>
      </c>
      <c r="K683">
        <f>IF('House Count'!H683="Y",IF('House Count'!F683="COMM-SU",1,IF('House Count'!F683="COM-MTU",1,IF('House Count'!F683="ENT",1,0))),0)</f>
        <v>0</v>
      </c>
    </row>
    <row r="684" spans="1:11" x14ac:dyDescent="0.25">
      <c r="A684" s="109"/>
      <c r="B684" s="109"/>
      <c r="C684" s="109"/>
      <c r="D684" s="109"/>
      <c r="E684" s="109"/>
      <c r="F684" s="109"/>
      <c r="G684" s="109"/>
      <c r="H684" s="109"/>
      <c r="I684" s="68"/>
      <c r="J684">
        <f>IF('House Count'!H684="Y",IF('House Count'!F684="RES-SFU",1,IF('House Count'!F684="RES-MDU",1,IF('House Count'!F684="RES-HOA",1,0))),0)</f>
        <v>0</v>
      </c>
      <c r="K684">
        <f>IF('House Count'!H684="Y",IF('House Count'!F684="COMM-SU",1,IF('House Count'!F684="COM-MTU",1,IF('House Count'!F684="ENT",1,0))),0)</f>
        <v>0</v>
      </c>
    </row>
    <row r="685" spans="1:11" ht="15.75" thickBot="1" x14ac:dyDescent="0.3">
      <c r="A685" s="545"/>
      <c r="B685" s="545"/>
      <c r="C685" s="545"/>
      <c r="D685" s="545"/>
      <c r="E685" s="545"/>
      <c r="F685" s="545"/>
      <c r="G685" s="545"/>
      <c r="H685" s="545"/>
      <c r="I685" s="546"/>
      <c r="J685">
        <f>IF('House Count'!H685="Y",IF('House Count'!F685="RES-SFU",1,IF('House Count'!F685="RES-MDU",1,IF('House Count'!F685="RES-HOA",1,0))),0)</f>
        <v>0</v>
      </c>
      <c r="K685">
        <f>IF('House Count'!H685="Y",IF('House Count'!F685="COMM-SU",1,IF('House Count'!F685="COM-MTU",1,IF('House Count'!F685="ENT",1,0))),0)</f>
        <v>0</v>
      </c>
    </row>
    <row r="686" spans="1:11" ht="15.75" thickTop="1" x14ac:dyDescent="0.25">
      <c r="A686" s="109"/>
      <c r="B686" s="109"/>
      <c r="C686" s="109"/>
      <c r="D686" s="109"/>
      <c r="E686" s="109"/>
      <c r="F686" s="109"/>
      <c r="G686" s="109"/>
      <c r="H686" s="109"/>
      <c r="I686" s="68"/>
      <c r="J686">
        <f>IF('House Count'!H686="Y",IF('House Count'!F686="RES-SFU",1,IF('House Count'!F686="RES-MDU",1,IF('House Count'!F686="RES-HOA",1,0))),0)</f>
        <v>0</v>
      </c>
      <c r="K686">
        <f>IF('House Count'!H686="Y",IF('House Count'!F686="COMM-SU",1,IF('House Count'!F686="COM-MTU",1,IF('House Count'!F686="ENT",1,0))),0)</f>
        <v>0</v>
      </c>
    </row>
    <row r="687" spans="1:11" x14ac:dyDescent="0.25">
      <c r="A687" s="109"/>
      <c r="B687" s="109"/>
      <c r="C687" s="109"/>
      <c r="D687" s="109"/>
      <c r="E687" s="109"/>
      <c r="F687" s="109"/>
      <c r="G687" s="109"/>
      <c r="H687" s="109"/>
      <c r="I687" s="68"/>
      <c r="J687">
        <f>IF('House Count'!H687="Y",IF('House Count'!F687="RES-SFU",1,IF('House Count'!F687="RES-MDU",1,IF('House Count'!F687="RES-HOA",1,0))),0)</f>
        <v>0</v>
      </c>
      <c r="K687">
        <f>IF('House Count'!H687="Y",IF('House Count'!F687="COMM-SU",1,IF('House Count'!F687="COM-MTU",1,IF('House Count'!F687="ENT",1,0))),0)</f>
        <v>0</v>
      </c>
    </row>
    <row r="688" spans="1:11" x14ac:dyDescent="0.25">
      <c r="A688" s="109"/>
      <c r="B688" s="109"/>
      <c r="C688" s="109"/>
      <c r="D688" s="109"/>
      <c r="E688" s="109"/>
      <c r="F688" s="109"/>
      <c r="G688" s="109"/>
      <c r="H688" s="109"/>
      <c r="I688" s="68"/>
      <c r="J688">
        <f>IF('House Count'!H688="Y",IF('House Count'!F688="RES-SFU",1,IF('House Count'!F688="RES-MDU",1,IF('House Count'!F688="RES-HOA",1,0))),0)</f>
        <v>0</v>
      </c>
      <c r="K688">
        <f>IF('House Count'!H688="Y",IF('House Count'!F688="COMM-SU",1,IF('House Count'!F688="COM-MTU",1,IF('House Count'!F688="ENT",1,0))),0)</f>
        <v>0</v>
      </c>
    </row>
    <row r="689" spans="1:11" x14ac:dyDescent="0.25">
      <c r="A689" s="109"/>
      <c r="B689" s="109"/>
      <c r="C689" s="109"/>
      <c r="D689" s="109"/>
      <c r="E689" s="109"/>
      <c r="F689" s="109"/>
      <c r="G689" s="109"/>
      <c r="H689" s="109"/>
      <c r="I689" s="68"/>
      <c r="J689">
        <f>IF('House Count'!H689="Y",IF('House Count'!F689="RES-SFU",1,IF('House Count'!F689="RES-MDU",1,IF('House Count'!F689="RES-HOA",1,0))),0)</f>
        <v>0</v>
      </c>
      <c r="K689">
        <f>IF('House Count'!H689="Y",IF('House Count'!F689="COMM-SU",1,IF('House Count'!F689="COM-MTU",1,IF('House Count'!F689="ENT",1,0))),0)</f>
        <v>0</v>
      </c>
    </row>
    <row r="690" spans="1:11" x14ac:dyDescent="0.25">
      <c r="A690" s="109"/>
      <c r="B690" s="109"/>
      <c r="C690" s="109"/>
      <c r="D690" s="109"/>
      <c r="E690" s="109"/>
      <c r="F690" s="109"/>
      <c r="G690" s="109"/>
      <c r="H690" s="109"/>
      <c r="I690" s="68"/>
      <c r="J690">
        <f>IF('House Count'!H690="Y",IF('House Count'!F690="RES-SFU",1,IF('House Count'!F690="RES-MDU",1,IF('House Count'!F690="RES-HOA",1,0))),0)</f>
        <v>0</v>
      </c>
      <c r="K690">
        <f>IF('House Count'!H690="Y",IF('House Count'!F690="COMM-SU",1,IF('House Count'!F690="COM-MTU",1,IF('House Count'!F690="ENT",1,0))),0)</f>
        <v>0</v>
      </c>
    </row>
    <row r="691" spans="1:11" x14ac:dyDescent="0.25">
      <c r="A691" s="109"/>
      <c r="B691" s="109"/>
      <c r="C691" s="109"/>
      <c r="D691" s="109"/>
      <c r="E691" s="109"/>
      <c r="F691" s="109"/>
      <c r="G691" s="109"/>
      <c r="H691" s="109"/>
      <c r="I691" s="68"/>
      <c r="J691">
        <f>IF('House Count'!H691="Y",IF('House Count'!F691="RES-SFU",1,IF('House Count'!F691="RES-MDU",1,IF('House Count'!F691="RES-HOA",1,0))),0)</f>
        <v>0</v>
      </c>
      <c r="K691">
        <f>IF('House Count'!H691="Y",IF('House Count'!F691="COMM-SU",1,IF('House Count'!F691="COM-MTU",1,IF('House Count'!F691="ENT",1,0))),0)</f>
        <v>0</v>
      </c>
    </row>
    <row r="692" spans="1:11" x14ac:dyDescent="0.25">
      <c r="A692" s="109"/>
      <c r="B692" s="109"/>
      <c r="C692" s="109"/>
      <c r="D692" s="109"/>
      <c r="E692" s="109"/>
      <c r="F692" s="109"/>
      <c r="G692" s="109"/>
      <c r="H692" s="109"/>
      <c r="I692" s="68"/>
      <c r="J692">
        <f>IF('House Count'!H692="Y",IF('House Count'!F692="RES-SFU",1,IF('House Count'!F692="RES-MDU",1,IF('House Count'!F692="RES-HOA",1,0))),0)</f>
        <v>0</v>
      </c>
      <c r="K692">
        <f>IF('House Count'!H692="Y",IF('House Count'!F692="COMM-SU",1,IF('House Count'!F692="COM-MTU",1,IF('House Count'!F692="ENT",1,0))),0)</f>
        <v>0</v>
      </c>
    </row>
    <row r="693" spans="1:11" x14ac:dyDescent="0.25">
      <c r="A693" s="109"/>
      <c r="B693" s="109"/>
      <c r="C693" s="109"/>
      <c r="D693" s="109"/>
      <c r="E693" s="109"/>
      <c r="F693" s="109"/>
      <c r="G693" s="109"/>
      <c r="H693" s="109"/>
      <c r="I693" s="68"/>
      <c r="J693">
        <f>IF('House Count'!H693="Y",IF('House Count'!F693="RES-SFU",1,IF('House Count'!F693="RES-MDU",1,IF('House Count'!F693="RES-HOA",1,0))),0)</f>
        <v>0</v>
      </c>
      <c r="K693">
        <f>IF('House Count'!H693="Y",IF('House Count'!F693="COMM-SU",1,IF('House Count'!F693="COM-MTU",1,IF('House Count'!F693="ENT",1,0))),0)</f>
        <v>0</v>
      </c>
    </row>
    <row r="694" spans="1:11" x14ac:dyDescent="0.25">
      <c r="A694" s="109"/>
      <c r="B694" s="109"/>
      <c r="C694" s="109"/>
      <c r="D694" s="109"/>
      <c r="E694" s="109"/>
      <c r="F694" s="109"/>
      <c r="G694" s="109"/>
      <c r="H694" s="109"/>
      <c r="I694" s="68"/>
      <c r="J694">
        <f>IF('House Count'!H694="Y",IF('House Count'!F694="RES-SFU",1,IF('House Count'!F694="RES-MDU",1,IF('House Count'!F694="RES-HOA",1,0))),0)</f>
        <v>0</v>
      </c>
      <c r="K694">
        <f>IF('House Count'!H694="Y",IF('House Count'!F694="COMM-SU",1,IF('House Count'!F694="COM-MTU",1,IF('House Count'!F694="ENT",1,0))),0)</f>
        <v>0</v>
      </c>
    </row>
    <row r="695" spans="1:11" x14ac:dyDescent="0.25">
      <c r="A695" s="109"/>
      <c r="B695" s="109"/>
      <c r="C695" s="109"/>
      <c r="D695" s="109"/>
      <c r="E695" s="109"/>
      <c r="F695" s="109"/>
      <c r="G695" s="109"/>
      <c r="H695" s="109"/>
      <c r="I695" s="68"/>
      <c r="J695">
        <f>IF('House Count'!H695="Y",IF('House Count'!F695="RES-SFU",1,IF('House Count'!F695="RES-MDU",1,IF('House Count'!F695="RES-HOA",1,0))),0)</f>
        <v>0</v>
      </c>
      <c r="K695">
        <f>IF('House Count'!H695="Y",IF('House Count'!F695="COMM-SU",1,IF('House Count'!F695="COM-MTU",1,IF('House Count'!F695="ENT",1,0))),0)</f>
        <v>0</v>
      </c>
    </row>
    <row r="696" spans="1:11" x14ac:dyDescent="0.25">
      <c r="A696" s="109"/>
      <c r="B696" s="109"/>
      <c r="C696" s="109"/>
      <c r="D696" s="109"/>
      <c r="E696" s="109"/>
      <c r="F696" s="109"/>
      <c r="G696" s="109"/>
      <c r="H696" s="109"/>
      <c r="I696" s="68"/>
      <c r="J696">
        <f>IF('House Count'!H696="Y",IF('House Count'!F696="RES-SFU",1,IF('House Count'!F696="RES-MDU",1,IF('House Count'!F696="RES-HOA",1,0))),0)</f>
        <v>0</v>
      </c>
      <c r="K696">
        <f>IF('House Count'!H696="Y",IF('House Count'!F696="COMM-SU",1,IF('House Count'!F696="COM-MTU",1,IF('House Count'!F696="ENT",1,0))),0)</f>
        <v>0</v>
      </c>
    </row>
    <row r="697" spans="1:11" ht="15.75" thickBot="1" x14ac:dyDescent="0.3">
      <c r="A697" s="545"/>
      <c r="B697" s="545"/>
      <c r="C697" s="545"/>
      <c r="D697" s="545"/>
      <c r="E697" s="545"/>
      <c r="F697" s="545"/>
      <c r="G697" s="545"/>
      <c r="H697" s="545"/>
      <c r="I697" s="546"/>
      <c r="J697">
        <f>IF('House Count'!H697="Y",IF('House Count'!F697="RES-SFU",1,IF('House Count'!F697="RES-MDU",1,IF('House Count'!F697="RES-HOA",1,0))),0)</f>
        <v>0</v>
      </c>
      <c r="K697">
        <f>IF('House Count'!H697="Y",IF('House Count'!F697="COMM-SU",1,IF('House Count'!F697="COM-MTU",1,IF('House Count'!F697="ENT",1,0))),0)</f>
        <v>0</v>
      </c>
    </row>
    <row r="698" spans="1:11" ht="15.75" thickTop="1" x14ac:dyDescent="0.25">
      <c r="A698" s="109"/>
      <c r="B698" s="109"/>
      <c r="C698" s="109"/>
      <c r="D698" s="109"/>
      <c r="E698" s="109"/>
      <c r="F698" s="109"/>
      <c r="G698" s="109"/>
      <c r="H698" s="109"/>
      <c r="I698" s="68"/>
      <c r="J698">
        <f>IF('House Count'!H698="Y",IF('House Count'!F698="RES-SFU",1,IF('House Count'!F698="RES-MDU",1,IF('House Count'!F698="RES-HOA",1,0))),0)</f>
        <v>0</v>
      </c>
      <c r="K698">
        <f>IF('House Count'!H698="Y",IF('House Count'!F698="COMM-SU",1,IF('House Count'!F698="COM-MTU",1,IF('House Count'!F698="ENT",1,0))),0)</f>
        <v>0</v>
      </c>
    </row>
    <row r="699" spans="1:11" x14ac:dyDescent="0.25">
      <c r="A699" s="109"/>
      <c r="B699" s="109"/>
      <c r="C699" s="109"/>
      <c r="D699" s="109"/>
      <c r="E699" s="109"/>
      <c r="F699" s="109"/>
      <c r="G699" s="109"/>
      <c r="H699" s="109"/>
      <c r="I699" s="68"/>
      <c r="J699">
        <f>IF('House Count'!H699="Y",IF('House Count'!F699="RES-SFU",1,IF('House Count'!F699="RES-MDU",1,IF('House Count'!F699="RES-HOA",1,0))),0)</f>
        <v>0</v>
      </c>
      <c r="K699">
        <f>IF('House Count'!H699="Y",IF('House Count'!F699="COMM-SU",1,IF('House Count'!F699="COM-MTU",1,IF('House Count'!F699="ENT",1,0))),0)</f>
        <v>0</v>
      </c>
    </row>
    <row r="700" spans="1:11" x14ac:dyDescent="0.25">
      <c r="A700" s="109"/>
      <c r="B700" s="109"/>
      <c r="C700" s="109"/>
      <c r="D700" s="109"/>
      <c r="E700" s="109"/>
      <c r="F700" s="109"/>
      <c r="G700" s="109"/>
      <c r="H700" s="109"/>
      <c r="I700" s="68"/>
      <c r="J700">
        <f>IF('House Count'!H700="Y",IF('House Count'!F700="RES-SFU",1,IF('House Count'!F700="RES-MDU",1,IF('House Count'!F700="RES-HOA",1,0))),0)</f>
        <v>0</v>
      </c>
      <c r="K700">
        <f>IF('House Count'!H700="Y",IF('House Count'!F700="COMM-SU",1,IF('House Count'!F700="COM-MTU",1,IF('House Count'!F700="ENT",1,0))),0)</f>
        <v>0</v>
      </c>
    </row>
    <row r="701" spans="1:11" x14ac:dyDescent="0.25">
      <c r="A701" s="109"/>
      <c r="B701" s="109"/>
      <c r="C701" s="109"/>
      <c r="D701" s="109"/>
      <c r="E701" s="109"/>
      <c r="F701" s="109"/>
      <c r="G701" s="109"/>
      <c r="H701" s="109"/>
      <c r="I701" s="68"/>
      <c r="J701">
        <f>IF('House Count'!H701="Y",IF('House Count'!F701="RES-SFU",1,IF('House Count'!F701="RES-MDU",1,IF('House Count'!F701="RES-HOA",1,0))),0)</f>
        <v>0</v>
      </c>
      <c r="K701">
        <f>IF('House Count'!H701="Y",IF('House Count'!F701="COMM-SU",1,IF('House Count'!F701="COM-MTU",1,IF('House Count'!F701="ENT",1,0))),0)</f>
        <v>0</v>
      </c>
    </row>
    <row r="702" spans="1:11" x14ac:dyDescent="0.25">
      <c r="A702" s="109"/>
      <c r="B702" s="109"/>
      <c r="C702" s="109"/>
      <c r="D702" s="109"/>
      <c r="E702" s="109"/>
      <c r="F702" s="109"/>
      <c r="G702" s="109"/>
      <c r="H702" s="109"/>
      <c r="I702" s="68"/>
      <c r="J702">
        <f>IF('House Count'!H702="Y",IF('House Count'!F702="RES-SFU",1,IF('House Count'!F702="RES-MDU",1,IF('House Count'!F702="RES-HOA",1,0))),0)</f>
        <v>0</v>
      </c>
      <c r="K702">
        <f>IF('House Count'!H702="Y",IF('House Count'!F702="COMM-SU",1,IF('House Count'!F702="COM-MTU",1,IF('House Count'!F702="ENT",1,0))),0)</f>
        <v>0</v>
      </c>
    </row>
    <row r="703" spans="1:11" x14ac:dyDescent="0.25">
      <c r="A703" s="109"/>
      <c r="B703" s="109"/>
      <c r="C703" s="109"/>
      <c r="D703" s="109"/>
      <c r="E703" s="109"/>
      <c r="F703" s="109"/>
      <c r="G703" s="109"/>
      <c r="H703" s="109"/>
      <c r="I703" s="68"/>
      <c r="J703">
        <f>IF('House Count'!H703="Y",IF('House Count'!F703="RES-SFU",1,IF('House Count'!F703="RES-MDU",1,IF('House Count'!F703="RES-HOA",1,0))),0)</f>
        <v>0</v>
      </c>
      <c r="K703">
        <f>IF('House Count'!H703="Y",IF('House Count'!F703="COMM-SU",1,IF('House Count'!F703="COM-MTU",1,IF('House Count'!F703="ENT",1,0))),0)</f>
        <v>0</v>
      </c>
    </row>
    <row r="704" spans="1:11" x14ac:dyDescent="0.25">
      <c r="A704" s="109"/>
      <c r="B704" s="109"/>
      <c r="C704" s="109"/>
      <c r="D704" s="109"/>
      <c r="E704" s="109"/>
      <c r="F704" s="109"/>
      <c r="G704" s="109"/>
      <c r="H704" s="109"/>
      <c r="I704" s="68"/>
      <c r="J704">
        <f>IF('House Count'!H704="Y",IF('House Count'!F704="RES-SFU",1,IF('House Count'!F704="RES-MDU",1,IF('House Count'!F704="RES-HOA",1,0))),0)</f>
        <v>0</v>
      </c>
      <c r="K704">
        <f>IF('House Count'!H704="Y",IF('House Count'!F704="COMM-SU",1,IF('House Count'!F704="COM-MTU",1,IF('House Count'!F704="ENT",1,0))),0)</f>
        <v>0</v>
      </c>
    </row>
    <row r="705" spans="1:11" x14ac:dyDescent="0.25">
      <c r="A705" s="109"/>
      <c r="B705" s="109"/>
      <c r="C705" s="109"/>
      <c r="D705" s="109"/>
      <c r="E705" s="109"/>
      <c r="F705" s="109"/>
      <c r="G705" s="109"/>
      <c r="H705" s="109"/>
      <c r="I705" s="68"/>
      <c r="J705">
        <f>IF('House Count'!H705="Y",IF('House Count'!F705="RES-SFU",1,IF('House Count'!F705="RES-MDU",1,IF('House Count'!F705="RES-HOA",1,0))),0)</f>
        <v>0</v>
      </c>
      <c r="K705">
        <f>IF('House Count'!H705="Y",IF('House Count'!F705="COMM-SU",1,IF('House Count'!F705="COM-MTU",1,IF('House Count'!F705="ENT",1,0))),0)</f>
        <v>0</v>
      </c>
    </row>
    <row r="706" spans="1:11" x14ac:dyDescent="0.25">
      <c r="A706" s="109"/>
      <c r="B706" s="109"/>
      <c r="C706" s="109"/>
      <c r="D706" s="109"/>
      <c r="E706" s="109"/>
      <c r="F706" s="109"/>
      <c r="G706" s="109"/>
      <c r="H706" s="109"/>
      <c r="I706" s="68"/>
      <c r="J706">
        <f>IF('House Count'!H706="Y",IF('House Count'!F706="RES-SFU",1,IF('House Count'!F706="RES-MDU",1,IF('House Count'!F706="RES-HOA",1,0))),0)</f>
        <v>0</v>
      </c>
      <c r="K706">
        <f>IF('House Count'!H706="Y",IF('House Count'!F706="COMM-SU",1,IF('House Count'!F706="COM-MTU",1,IF('House Count'!F706="ENT",1,0))),0)</f>
        <v>0</v>
      </c>
    </row>
    <row r="707" spans="1:11" x14ac:dyDescent="0.25">
      <c r="A707" s="109"/>
      <c r="B707" s="109"/>
      <c r="C707" s="109"/>
      <c r="D707" s="109"/>
      <c r="E707" s="109"/>
      <c r="F707" s="109"/>
      <c r="G707" s="109"/>
      <c r="H707" s="109"/>
      <c r="I707" s="68"/>
      <c r="J707">
        <f>IF('House Count'!H707="Y",IF('House Count'!F707="RES-SFU",1,IF('House Count'!F707="RES-MDU",1,IF('House Count'!F707="RES-HOA",1,0))),0)</f>
        <v>0</v>
      </c>
      <c r="K707">
        <f>IF('House Count'!H707="Y",IF('House Count'!F707="COMM-SU",1,IF('House Count'!F707="COM-MTU",1,IF('House Count'!F707="ENT",1,0))),0)</f>
        <v>0</v>
      </c>
    </row>
    <row r="708" spans="1:11" x14ac:dyDescent="0.25">
      <c r="A708" s="109"/>
      <c r="B708" s="109"/>
      <c r="C708" s="109"/>
      <c r="D708" s="109"/>
      <c r="E708" s="109"/>
      <c r="F708" s="109"/>
      <c r="G708" s="109"/>
      <c r="H708" s="109"/>
      <c r="I708" s="68"/>
      <c r="J708">
        <f>IF('House Count'!H708="Y",IF('House Count'!F708="RES-SFU",1,IF('House Count'!F708="RES-MDU",1,IF('House Count'!F708="RES-HOA",1,0))),0)</f>
        <v>0</v>
      </c>
      <c r="K708">
        <f>IF('House Count'!H708="Y",IF('House Count'!F708="COMM-SU",1,IF('House Count'!F708="COM-MTU",1,IF('House Count'!F708="ENT",1,0))),0)</f>
        <v>0</v>
      </c>
    </row>
    <row r="709" spans="1:11" ht="15.75" thickBot="1" x14ac:dyDescent="0.3">
      <c r="A709" s="545"/>
      <c r="B709" s="545"/>
      <c r="C709" s="545"/>
      <c r="D709" s="545"/>
      <c r="E709" s="545"/>
      <c r="F709" s="545"/>
      <c r="G709" s="545"/>
      <c r="H709" s="545"/>
      <c r="I709" s="546"/>
      <c r="J709">
        <f>IF('House Count'!H709="Y",IF('House Count'!F709="RES-SFU",1,IF('House Count'!F709="RES-MDU",1,IF('House Count'!F709="RES-HOA",1,0))),0)</f>
        <v>0</v>
      </c>
      <c r="K709">
        <f>IF('House Count'!H709="Y",IF('House Count'!F709="COMM-SU",1,IF('House Count'!F709="COM-MTU",1,IF('House Count'!F709="ENT",1,0))),0)</f>
        <v>0</v>
      </c>
    </row>
    <row r="710" spans="1:11" ht="15.75" thickTop="1" x14ac:dyDescent="0.25">
      <c r="A710" s="109"/>
      <c r="B710" s="109"/>
      <c r="C710" s="109"/>
      <c r="D710" s="109"/>
      <c r="E710" s="109"/>
      <c r="F710" s="109"/>
      <c r="G710" s="109"/>
      <c r="H710" s="109"/>
      <c r="I710" s="68"/>
      <c r="J710">
        <f>IF('House Count'!H710="Y",IF('House Count'!F710="RES-SFU",1,IF('House Count'!F710="RES-MDU",1,IF('House Count'!F710="RES-HOA",1,0))),0)</f>
        <v>0</v>
      </c>
      <c r="K710">
        <f>IF('House Count'!H710="Y",IF('House Count'!F710="COMM-SU",1,IF('House Count'!F710="COM-MTU",1,IF('House Count'!F710="ENT",1,0))),0)</f>
        <v>0</v>
      </c>
    </row>
    <row r="711" spans="1:11" x14ac:dyDescent="0.25">
      <c r="A711" s="109"/>
      <c r="B711" s="109"/>
      <c r="C711" s="109"/>
      <c r="D711" s="109"/>
      <c r="E711" s="109"/>
      <c r="F711" s="109"/>
      <c r="G711" s="109"/>
      <c r="H711" s="109"/>
      <c r="I711" s="68"/>
      <c r="J711">
        <f>IF('House Count'!H711="Y",IF('House Count'!F711="RES-SFU",1,IF('House Count'!F711="RES-MDU",1,IF('House Count'!F711="RES-HOA",1,0))),0)</f>
        <v>0</v>
      </c>
      <c r="K711">
        <f>IF('House Count'!H711="Y",IF('House Count'!F711="COMM-SU",1,IF('House Count'!F711="COM-MTU",1,IF('House Count'!F711="ENT",1,0))),0)</f>
        <v>0</v>
      </c>
    </row>
    <row r="712" spans="1:11" x14ac:dyDescent="0.25">
      <c r="A712" s="109"/>
      <c r="B712" s="109"/>
      <c r="C712" s="109"/>
      <c r="D712" s="109"/>
      <c r="E712" s="109"/>
      <c r="F712" s="109"/>
      <c r="G712" s="109"/>
      <c r="H712" s="109"/>
      <c r="I712" s="68"/>
      <c r="J712">
        <f>IF('House Count'!H712="Y",IF('House Count'!F712="RES-SFU",1,IF('House Count'!F712="RES-MDU",1,IF('House Count'!F712="RES-HOA",1,0))),0)</f>
        <v>0</v>
      </c>
      <c r="K712">
        <f>IF('House Count'!H712="Y",IF('House Count'!F712="COMM-SU",1,IF('House Count'!F712="COM-MTU",1,IF('House Count'!F712="ENT",1,0))),0)</f>
        <v>0</v>
      </c>
    </row>
    <row r="713" spans="1:11" x14ac:dyDescent="0.25">
      <c r="A713" s="109"/>
      <c r="B713" s="109"/>
      <c r="C713" s="109"/>
      <c r="D713" s="109"/>
      <c r="E713" s="109"/>
      <c r="F713" s="109"/>
      <c r="G713" s="109"/>
      <c r="H713" s="109"/>
      <c r="I713" s="68"/>
      <c r="J713">
        <f>IF('House Count'!H713="Y",IF('House Count'!F713="RES-SFU",1,IF('House Count'!F713="RES-MDU",1,IF('House Count'!F713="RES-HOA",1,0))),0)</f>
        <v>0</v>
      </c>
      <c r="K713">
        <f>IF('House Count'!H713="Y",IF('House Count'!F713="COMM-SU",1,IF('House Count'!F713="COM-MTU",1,IF('House Count'!F713="ENT",1,0))),0)</f>
        <v>0</v>
      </c>
    </row>
    <row r="714" spans="1:11" x14ac:dyDescent="0.25">
      <c r="A714" s="109"/>
      <c r="B714" s="109"/>
      <c r="C714" s="109"/>
      <c r="D714" s="109"/>
      <c r="E714" s="109"/>
      <c r="F714" s="109"/>
      <c r="G714" s="109"/>
      <c r="H714" s="109"/>
      <c r="I714" s="68"/>
      <c r="J714">
        <f>IF('House Count'!H714="Y",IF('House Count'!F714="RES-SFU",1,IF('House Count'!F714="RES-MDU",1,IF('House Count'!F714="RES-HOA",1,0))),0)</f>
        <v>0</v>
      </c>
      <c r="K714">
        <f>IF('House Count'!H714="Y",IF('House Count'!F714="COMM-SU",1,IF('House Count'!F714="COM-MTU",1,IF('House Count'!F714="ENT",1,0))),0)</f>
        <v>0</v>
      </c>
    </row>
    <row r="715" spans="1:11" x14ac:dyDescent="0.25">
      <c r="A715" s="109"/>
      <c r="B715" s="109"/>
      <c r="C715" s="109"/>
      <c r="D715" s="109"/>
      <c r="E715" s="109"/>
      <c r="F715" s="109"/>
      <c r="G715" s="109"/>
      <c r="H715" s="109"/>
      <c r="I715" s="68"/>
      <c r="J715">
        <f>IF('House Count'!H715="Y",IF('House Count'!F715="RES-SFU",1,IF('House Count'!F715="RES-MDU",1,IF('House Count'!F715="RES-HOA",1,0))),0)</f>
        <v>0</v>
      </c>
      <c r="K715">
        <f>IF('House Count'!H715="Y",IF('House Count'!F715="COMM-SU",1,IF('House Count'!F715="COM-MTU",1,IF('House Count'!F715="ENT",1,0))),0)</f>
        <v>0</v>
      </c>
    </row>
    <row r="716" spans="1:11" x14ac:dyDescent="0.25">
      <c r="A716" s="109"/>
      <c r="B716" s="109"/>
      <c r="C716" s="109"/>
      <c r="D716" s="109"/>
      <c r="E716" s="109"/>
      <c r="F716" s="109"/>
      <c r="G716" s="109"/>
      <c r="H716" s="109"/>
      <c r="I716" s="68"/>
      <c r="J716">
        <f>IF('House Count'!H716="Y",IF('House Count'!F716="RES-SFU",1,IF('House Count'!F716="RES-MDU",1,IF('House Count'!F716="RES-HOA",1,0))),0)</f>
        <v>0</v>
      </c>
      <c r="K716">
        <f>IF('House Count'!H716="Y",IF('House Count'!F716="COMM-SU",1,IF('House Count'!F716="COM-MTU",1,IF('House Count'!F716="ENT",1,0))),0)</f>
        <v>0</v>
      </c>
    </row>
    <row r="717" spans="1:11" x14ac:dyDescent="0.25">
      <c r="A717" s="109"/>
      <c r="B717" s="109"/>
      <c r="C717" s="109"/>
      <c r="D717" s="109"/>
      <c r="E717" s="109"/>
      <c r="F717" s="109"/>
      <c r="G717" s="109"/>
      <c r="H717" s="109"/>
      <c r="I717" s="68"/>
      <c r="J717">
        <f>IF('House Count'!H717="Y",IF('House Count'!F717="RES-SFU",1,IF('House Count'!F717="RES-MDU",1,IF('House Count'!F717="RES-HOA",1,0))),0)</f>
        <v>0</v>
      </c>
      <c r="K717">
        <f>IF('House Count'!H717="Y",IF('House Count'!F717="COMM-SU",1,IF('House Count'!F717="COM-MTU",1,IF('House Count'!F717="ENT",1,0))),0)</f>
        <v>0</v>
      </c>
    </row>
    <row r="718" spans="1:11" x14ac:dyDescent="0.25">
      <c r="A718" s="109"/>
      <c r="B718" s="109"/>
      <c r="C718" s="109"/>
      <c r="D718" s="109"/>
      <c r="E718" s="109"/>
      <c r="F718" s="109"/>
      <c r="G718" s="109"/>
      <c r="H718" s="109"/>
      <c r="I718" s="68"/>
      <c r="J718">
        <f>IF('House Count'!H718="Y",IF('House Count'!F718="RES-SFU",1,IF('House Count'!F718="RES-MDU",1,IF('House Count'!F718="RES-HOA",1,0))),0)</f>
        <v>0</v>
      </c>
      <c r="K718">
        <f>IF('House Count'!H718="Y",IF('House Count'!F718="COMM-SU",1,IF('House Count'!F718="COM-MTU",1,IF('House Count'!F718="ENT",1,0))),0)</f>
        <v>0</v>
      </c>
    </row>
    <row r="719" spans="1:11" x14ac:dyDescent="0.25">
      <c r="A719" s="109"/>
      <c r="B719" s="109"/>
      <c r="C719" s="109"/>
      <c r="D719" s="109"/>
      <c r="E719" s="109"/>
      <c r="F719" s="109"/>
      <c r="G719" s="109"/>
      <c r="H719" s="109"/>
      <c r="I719" s="68"/>
      <c r="J719">
        <f>IF('House Count'!H719="Y",IF('House Count'!F719="RES-SFU",1,IF('House Count'!F719="RES-MDU",1,IF('House Count'!F719="RES-HOA",1,0))),0)</f>
        <v>0</v>
      </c>
      <c r="K719">
        <f>IF('House Count'!H719="Y",IF('House Count'!F719="COMM-SU",1,IF('House Count'!F719="COM-MTU",1,IF('House Count'!F719="ENT",1,0))),0)</f>
        <v>0</v>
      </c>
    </row>
    <row r="720" spans="1:11" x14ac:dyDescent="0.25">
      <c r="A720" s="109"/>
      <c r="B720" s="109"/>
      <c r="C720" s="109"/>
      <c r="D720" s="109"/>
      <c r="E720" s="109"/>
      <c r="F720" s="109"/>
      <c r="G720" s="109"/>
      <c r="H720" s="109"/>
      <c r="I720" s="68"/>
      <c r="J720">
        <f>IF('House Count'!H720="Y",IF('House Count'!F720="RES-SFU",1,IF('House Count'!F720="RES-MDU",1,IF('House Count'!F720="RES-HOA",1,0))),0)</f>
        <v>0</v>
      </c>
      <c r="K720">
        <f>IF('House Count'!H720="Y",IF('House Count'!F720="COMM-SU",1,IF('House Count'!F720="COM-MTU",1,IF('House Count'!F720="ENT",1,0))),0)</f>
        <v>0</v>
      </c>
    </row>
    <row r="721" spans="1:11" ht="15.75" thickBot="1" x14ac:dyDescent="0.3">
      <c r="A721" s="545"/>
      <c r="B721" s="545"/>
      <c r="C721" s="545"/>
      <c r="D721" s="545"/>
      <c r="E721" s="545"/>
      <c r="F721" s="545"/>
      <c r="G721" s="545"/>
      <c r="H721" s="545"/>
      <c r="I721" s="546"/>
      <c r="J721">
        <f>IF('House Count'!H721="Y",IF('House Count'!F721="RES-SFU",1,IF('House Count'!F721="RES-MDU",1,IF('House Count'!F721="RES-HOA",1,0))),0)</f>
        <v>0</v>
      </c>
      <c r="K721">
        <f>IF('House Count'!H721="Y",IF('House Count'!F721="COMM-SU",1,IF('House Count'!F721="COM-MTU",1,IF('House Count'!F721="ENT",1,0))),0)</f>
        <v>0</v>
      </c>
    </row>
    <row r="722" spans="1:11" ht="15.75" thickTop="1" x14ac:dyDescent="0.25">
      <c r="H722" s="192"/>
      <c r="I722" s="773"/>
      <c r="J722">
        <f>IF('House Count'!H722="Y",IF('House Count'!F722="RES-SFU",1,IF('House Count'!F722="RES-MDU",1,IF('House Count'!F722="RES-HOA",1,0))),0)</f>
        <v>0</v>
      </c>
      <c r="K722">
        <f>IF('House Count'!H722="Y",IF('House Count'!F722="COMM-SU",1,IF('House Count'!F722="COM-MTU",1,IF('House Count'!F722="ENT",1,0))),0)</f>
        <v>0</v>
      </c>
    </row>
    <row r="723" spans="1:11" x14ac:dyDescent="0.25">
      <c r="H723" s="192"/>
      <c r="I723" s="773"/>
      <c r="J723">
        <f>IF('House Count'!H723="Y",IF('House Count'!F723="RES-SFU",1,IF('House Count'!F723="RES-MDU",1,IF('House Count'!F723="RES-HOA",1,0))),0)</f>
        <v>0</v>
      </c>
      <c r="K723">
        <f>IF('House Count'!H723="Y",IF('House Count'!F723="COMM-SU",1,IF('House Count'!F723="COM-MTU",1,IF('House Count'!F723="ENT",1,0))),0)</f>
        <v>0</v>
      </c>
    </row>
    <row r="724" spans="1:11" x14ac:dyDescent="0.25">
      <c r="H724" s="192"/>
      <c r="I724" s="773"/>
      <c r="J724">
        <f>IF('House Count'!H724="Y",IF('House Count'!F724="RES-SFU",1,IF('House Count'!F724="RES-MDU",1,IF('House Count'!F724="RES-HOA",1,0))),0)</f>
        <v>0</v>
      </c>
      <c r="K724">
        <f>IF('House Count'!H724="Y",IF('House Count'!F724="COMM-SU",1,IF('House Count'!F724="COM-MTU",1,IF('House Count'!F724="ENT",1,0))),0)</f>
        <v>0</v>
      </c>
    </row>
    <row r="725" spans="1:11" x14ac:dyDescent="0.25">
      <c r="H725" s="192"/>
      <c r="I725" s="773"/>
      <c r="J725">
        <f>IF('House Count'!H725="Y",IF('House Count'!F725="RES-SFU",1,IF('House Count'!F725="RES-MDU",1,IF('House Count'!F725="RES-HOA",1,0))),0)</f>
        <v>0</v>
      </c>
      <c r="K725">
        <f>IF('House Count'!H725="Y",IF('House Count'!F725="COMM-SU",1,IF('House Count'!F725="COM-MTU",1,IF('House Count'!F725="ENT",1,0))),0)</f>
        <v>0</v>
      </c>
    </row>
    <row r="726" spans="1:11" x14ac:dyDescent="0.25">
      <c r="H726" s="192"/>
      <c r="I726" s="773"/>
      <c r="J726">
        <f>IF('House Count'!H726="Y",IF('House Count'!F726="RES-SFU",1,IF('House Count'!F726="RES-MDU",1,IF('House Count'!F726="RES-HOA",1,0))),0)</f>
        <v>0</v>
      </c>
      <c r="K726">
        <f>IF('House Count'!H726="Y",IF('House Count'!F726="COMM-SU",1,IF('House Count'!F726="COM-MTU",1,IF('House Count'!F726="ENT",1,0))),0)</f>
        <v>0</v>
      </c>
    </row>
    <row r="727" spans="1:11" x14ac:dyDescent="0.25">
      <c r="H727" s="192"/>
      <c r="I727" s="773"/>
      <c r="J727">
        <f>IF('House Count'!H727="Y",IF('House Count'!F727="RES-SFU",1,IF('House Count'!F727="RES-MDU",1,IF('House Count'!F727="RES-HOA",1,0))),0)</f>
        <v>0</v>
      </c>
      <c r="K727">
        <f>IF('House Count'!H727="Y",IF('House Count'!F727="COMM-SU",1,IF('House Count'!F727="COM-MTU",1,IF('House Count'!F727="ENT",1,0))),0)</f>
        <v>0</v>
      </c>
    </row>
    <row r="728" spans="1:11" x14ac:dyDescent="0.25">
      <c r="H728" s="192"/>
      <c r="I728" s="773"/>
      <c r="J728">
        <f>IF('House Count'!H728="Y",IF('House Count'!F728="RES-SFU",1,IF('House Count'!F728="RES-MDU",1,IF('House Count'!F728="RES-HOA",1,0))),0)</f>
        <v>0</v>
      </c>
      <c r="K728">
        <f>IF('House Count'!H728="Y",IF('House Count'!F728="COMM-SU",1,IF('House Count'!F728="COM-MTU",1,IF('House Count'!F728="ENT",1,0))),0)</f>
        <v>0</v>
      </c>
    </row>
    <row r="729" spans="1:11" x14ac:dyDescent="0.25">
      <c r="H729" s="192"/>
      <c r="I729" s="773"/>
      <c r="J729">
        <f>IF('House Count'!H729="Y",IF('House Count'!F729="RES-SFU",1,IF('House Count'!F729="RES-MDU",1,IF('House Count'!F729="RES-HOA",1,0))),0)</f>
        <v>0</v>
      </c>
      <c r="K729">
        <f>IF('House Count'!H729="Y",IF('House Count'!F729="COMM-SU",1,IF('House Count'!F729="COM-MTU",1,IF('House Count'!F729="ENT",1,0))),0)</f>
        <v>0</v>
      </c>
    </row>
    <row r="730" spans="1:11" x14ac:dyDescent="0.25">
      <c r="H730" s="192"/>
      <c r="I730" s="773"/>
      <c r="J730">
        <f>IF('House Count'!H730="Y",IF('House Count'!F730="RES-SFU",1,IF('House Count'!F730="RES-MDU",1,IF('House Count'!F730="RES-HOA",1,0))),0)</f>
        <v>0</v>
      </c>
      <c r="K730">
        <f>IF('House Count'!H730="Y",IF('House Count'!F730="COMM-SU",1,IF('House Count'!F730="COM-MTU",1,IF('House Count'!F730="ENT",1,0))),0)</f>
        <v>0</v>
      </c>
    </row>
    <row r="731" spans="1:11" x14ac:dyDescent="0.25">
      <c r="H731" s="192"/>
      <c r="I731" s="773"/>
      <c r="J731">
        <f>IF('House Count'!H731="Y",IF('House Count'!F731="RES-SFU",1,IF('House Count'!F731="RES-MDU",1,IF('House Count'!F731="RES-HOA",1,0))),0)</f>
        <v>0</v>
      </c>
      <c r="K731">
        <f>IF('House Count'!H731="Y",IF('House Count'!F731="COMM-SU",1,IF('House Count'!F731="COM-MTU",1,IF('House Count'!F731="ENT",1,0))),0)</f>
        <v>0</v>
      </c>
    </row>
    <row r="732" spans="1:11" x14ac:dyDescent="0.25">
      <c r="H732" s="192"/>
      <c r="I732" s="773"/>
      <c r="J732">
        <f>IF('House Count'!H732="Y",IF('House Count'!F732="RES-SFU",1,IF('House Count'!F732="RES-MDU",1,IF('House Count'!F732="RES-HOA",1,0))),0)</f>
        <v>0</v>
      </c>
      <c r="K732">
        <f>IF('House Count'!H732="Y",IF('House Count'!F732="COMM-SU",1,IF('House Count'!F732="COM-MTU",1,IF('House Count'!F732="ENT",1,0))),0)</f>
        <v>0</v>
      </c>
    </row>
    <row r="733" spans="1:11" ht="15.75" thickBot="1" x14ac:dyDescent="0.3">
      <c r="A733" s="774"/>
      <c r="B733" s="774"/>
      <c r="C733" s="774"/>
      <c r="D733" s="774"/>
      <c r="E733" s="774"/>
      <c r="F733" s="774"/>
      <c r="G733" s="774"/>
      <c r="H733" s="774"/>
      <c r="I733" s="775"/>
      <c r="J733">
        <f>IF('House Count'!H733="Y",IF('House Count'!F733="RES-SFU",1,IF('House Count'!F733="RES-MDU",1,IF('House Count'!F733="RES-HOA",1,0))),0)</f>
        <v>0</v>
      </c>
      <c r="K733">
        <f>IF('House Count'!H733="Y",IF('House Count'!F733="COMM-SU",1,IF('House Count'!F733="COM-MTU",1,IF('House Count'!F733="ENT",1,0))),0)</f>
        <v>0</v>
      </c>
    </row>
    <row r="734" spans="1:11" ht="15.75" thickTop="1" x14ac:dyDescent="0.25">
      <c r="H734" s="192"/>
      <c r="I734" s="773"/>
      <c r="J734">
        <f>IF('House Count'!H734="Y",IF('House Count'!F734="RES-SFU",1,IF('House Count'!F734="RES-MDU",1,IF('House Count'!F734="RES-HOA",1,0))),0)</f>
        <v>0</v>
      </c>
      <c r="K734">
        <f>IF('House Count'!H734="Y",IF('House Count'!F734="COMM-SU",1,IF('House Count'!F734="COM-MTU",1,IF('House Count'!F734="ENT",1,0))),0)</f>
        <v>0</v>
      </c>
    </row>
    <row r="735" spans="1:11" x14ac:dyDescent="0.25">
      <c r="H735" s="192"/>
      <c r="I735" s="773"/>
      <c r="J735">
        <f>IF('House Count'!H735="Y",IF('House Count'!F735="RES-SFU",1,IF('House Count'!F735="RES-MDU",1,IF('House Count'!F735="RES-HOA",1,0))),0)</f>
        <v>0</v>
      </c>
      <c r="K735">
        <f>IF('House Count'!H735="Y",IF('House Count'!F735="COMM-SU",1,IF('House Count'!F735="COM-MTU",1,IF('House Count'!F735="ENT",1,0))),0)</f>
        <v>0</v>
      </c>
    </row>
    <row r="736" spans="1:11" x14ac:dyDescent="0.25">
      <c r="H736" s="192"/>
      <c r="I736" s="773"/>
      <c r="J736">
        <f>IF('House Count'!H736="Y",IF('House Count'!F736="RES-SFU",1,IF('House Count'!F736="RES-MDU",1,IF('House Count'!F736="RES-HOA",1,0))),0)</f>
        <v>0</v>
      </c>
      <c r="K736">
        <f>IF('House Count'!H736="Y",IF('House Count'!F736="COMM-SU",1,IF('House Count'!F736="COM-MTU",1,IF('House Count'!F736="ENT",1,0))),0)</f>
        <v>0</v>
      </c>
    </row>
    <row r="737" spans="1:11" x14ac:dyDescent="0.25">
      <c r="H737" s="192"/>
      <c r="I737" s="773"/>
      <c r="J737">
        <f>IF('House Count'!H737="Y",IF('House Count'!F737="RES-SFU",1,IF('House Count'!F737="RES-MDU",1,IF('House Count'!F737="RES-HOA",1,0))),0)</f>
        <v>0</v>
      </c>
      <c r="K737">
        <f>IF('House Count'!H737="Y",IF('House Count'!F737="COMM-SU",1,IF('House Count'!F737="COM-MTU",1,IF('House Count'!F737="ENT",1,0))),0)</f>
        <v>0</v>
      </c>
    </row>
    <row r="738" spans="1:11" x14ac:dyDescent="0.25">
      <c r="H738" s="192"/>
      <c r="I738" s="773"/>
      <c r="J738">
        <f>IF('House Count'!H738="Y",IF('House Count'!F738="RES-SFU",1,IF('House Count'!F738="RES-MDU",1,IF('House Count'!F738="RES-HOA",1,0))),0)</f>
        <v>0</v>
      </c>
      <c r="K738">
        <f>IF('House Count'!H738="Y",IF('House Count'!F738="COMM-SU",1,IF('House Count'!F738="COM-MTU",1,IF('House Count'!F738="ENT",1,0))),0)</f>
        <v>0</v>
      </c>
    </row>
    <row r="739" spans="1:11" x14ac:dyDescent="0.25">
      <c r="H739" s="192"/>
      <c r="I739" s="773"/>
      <c r="J739">
        <f>IF('House Count'!H739="Y",IF('House Count'!F739="RES-SFU",1,IF('House Count'!F739="RES-MDU",1,IF('House Count'!F739="RES-HOA",1,0))),0)</f>
        <v>0</v>
      </c>
      <c r="K739">
        <f>IF('House Count'!H739="Y",IF('House Count'!F739="COMM-SU",1,IF('House Count'!F739="COM-MTU",1,IF('House Count'!F739="ENT",1,0))),0)</f>
        <v>0</v>
      </c>
    </row>
    <row r="740" spans="1:11" x14ac:dyDescent="0.25">
      <c r="H740" s="192"/>
      <c r="I740" s="773"/>
      <c r="J740">
        <f>IF('House Count'!H740="Y",IF('House Count'!F740="RES-SFU",1,IF('House Count'!F740="RES-MDU",1,IF('House Count'!F740="RES-HOA",1,0))),0)</f>
        <v>0</v>
      </c>
      <c r="K740">
        <f>IF('House Count'!H740="Y",IF('House Count'!F740="COMM-SU",1,IF('House Count'!F740="COM-MTU",1,IF('House Count'!F740="ENT",1,0))),0)</f>
        <v>0</v>
      </c>
    </row>
    <row r="741" spans="1:11" x14ac:dyDescent="0.25">
      <c r="H741" s="192"/>
      <c r="I741" s="773"/>
      <c r="J741">
        <f>IF('House Count'!H741="Y",IF('House Count'!F741="RES-SFU",1,IF('House Count'!F741="RES-MDU",1,IF('House Count'!F741="RES-HOA",1,0))),0)</f>
        <v>0</v>
      </c>
      <c r="K741">
        <f>IF('House Count'!H741="Y",IF('House Count'!F741="COMM-SU",1,IF('House Count'!F741="COM-MTU",1,IF('House Count'!F741="ENT",1,0))),0)</f>
        <v>0</v>
      </c>
    </row>
    <row r="742" spans="1:11" x14ac:dyDescent="0.25">
      <c r="H742" s="192"/>
      <c r="I742" s="773"/>
      <c r="J742">
        <f>IF('House Count'!H742="Y",IF('House Count'!F742="RES-SFU",1,IF('House Count'!F742="RES-MDU",1,IF('House Count'!F742="RES-HOA",1,0))),0)</f>
        <v>0</v>
      </c>
      <c r="K742">
        <f>IF('House Count'!H742="Y",IF('House Count'!F742="COMM-SU",1,IF('House Count'!F742="COM-MTU",1,IF('House Count'!F742="ENT",1,0))),0)</f>
        <v>0</v>
      </c>
    </row>
    <row r="743" spans="1:11" x14ac:dyDescent="0.25">
      <c r="H743" s="192"/>
      <c r="I743" s="773"/>
      <c r="J743">
        <f>IF('House Count'!H743="Y",IF('House Count'!F743="RES-SFU",1,IF('House Count'!F743="RES-MDU",1,IF('House Count'!F743="RES-HOA",1,0))),0)</f>
        <v>0</v>
      </c>
      <c r="K743">
        <f>IF('House Count'!H743="Y",IF('House Count'!F743="COMM-SU",1,IF('House Count'!F743="COM-MTU",1,IF('House Count'!F743="ENT",1,0))),0)</f>
        <v>0</v>
      </c>
    </row>
    <row r="744" spans="1:11" x14ac:dyDescent="0.25">
      <c r="H744" s="192"/>
      <c r="I744" s="773"/>
      <c r="J744">
        <f>IF('House Count'!H744="Y",IF('House Count'!F744="RES-SFU",1,IF('House Count'!F744="RES-MDU",1,IF('House Count'!F744="RES-HOA",1,0))),0)</f>
        <v>0</v>
      </c>
      <c r="K744">
        <f>IF('House Count'!H744="Y",IF('House Count'!F744="COMM-SU",1,IF('House Count'!F744="COM-MTU",1,IF('House Count'!F744="ENT",1,0))),0)</f>
        <v>0</v>
      </c>
    </row>
    <row r="745" spans="1:11" ht="15.75" thickBot="1" x14ac:dyDescent="0.3">
      <c r="A745" s="774"/>
      <c r="B745" s="774"/>
      <c r="C745" s="774"/>
      <c r="D745" s="774"/>
      <c r="E745" s="774"/>
      <c r="F745" s="774"/>
      <c r="G745" s="774"/>
      <c r="H745" s="774"/>
      <c r="I745" s="775"/>
      <c r="J745">
        <f>IF('House Count'!H745="Y",IF('House Count'!F745="RES-SFU",1,IF('House Count'!F745="RES-MDU",1,IF('House Count'!F745="RES-HOA",1,0))),0)</f>
        <v>0</v>
      </c>
      <c r="K745">
        <f>IF('House Count'!H745="Y",IF('House Count'!F745="COMM-SU",1,IF('House Count'!F745="COM-MTU",1,IF('House Count'!F745="ENT",1,0))),0)</f>
        <v>0</v>
      </c>
    </row>
    <row r="746" spans="1:11" ht="15.75" thickTop="1" x14ac:dyDescent="0.25">
      <c r="H746" s="192"/>
      <c r="I746" s="773"/>
      <c r="J746">
        <f>IF('House Count'!H746="Y",IF('House Count'!F746="RES-SFU",1,IF('House Count'!F746="RES-MDU",1,IF('House Count'!F746="RES-HOA",1,0))),0)</f>
        <v>0</v>
      </c>
      <c r="K746">
        <f>IF('House Count'!H746="Y",IF('House Count'!F746="COMM-SU",1,IF('House Count'!F746="COM-MTU",1,IF('House Count'!F746="ENT",1,0))),0)</f>
        <v>0</v>
      </c>
    </row>
    <row r="747" spans="1:11" x14ac:dyDescent="0.25">
      <c r="H747" s="192"/>
      <c r="I747" s="773"/>
      <c r="J747">
        <f>IF('House Count'!H747="Y",IF('House Count'!F747="RES-SFU",1,IF('House Count'!F747="RES-MDU",1,IF('House Count'!F747="RES-HOA",1,0))),0)</f>
        <v>0</v>
      </c>
      <c r="K747">
        <f>IF('House Count'!H747="Y",IF('House Count'!F747="COMM-SU",1,IF('House Count'!F747="COM-MTU",1,IF('House Count'!F747="ENT",1,0))),0)</f>
        <v>0</v>
      </c>
    </row>
    <row r="748" spans="1:11" x14ac:dyDescent="0.25">
      <c r="H748" s="192"/>
      <c r="I748" s="773"/>
      <c r="J748">
        <f>IF('House Count'!H748="Y",IF('House Count'!F748="RES-SFU",1,IF('House Count'!F748="RES-MDU",1,IF('House Count'!F748="RES-HOA",1,0))),0)</f>
        <v>0</v>
      </c>
      <c r="K748">
        <f>IF('House Count'!H748="Y",IF('House Count'!F748="COMM-SU",1,IF('House Count'!F748="COM-MTU",1,IF('House Count'!F748="ENT",1,0))),0)</f>
        <v>0</v>
      </c>
    </row>
    <row r="749" spans="1:11" x14ac:dyDescent="0.25">
      <c r="H749" s="192"/>
      <c r="I749" s="773"/>
      <c r="J749">
        <f>IF('House Count'!H749="Y",IF('House Count'!F749="RES-SFU",1,IF('House Count'!F749="RES-MDU",1,IF('House Count'!F749="RES-HOA",1,0))),0)</f>
        <v>0</v>
      </c>
      <c r="K749">
        <f>IF('House Count'!H749="Y",IF('House Count'!F749="COMM-SU",1,IF('House Count'!F749="COM-MTU",1,IF('House Count'!F749="ENT",1,0))),0)</f>
        <v>0</v>
      </c>
    </row>
    <row r="750" spans="1:11" x14ac:dyDescent="0.25">
      <c r="H750" s="192"/>
      <c r="I750" s="773"/>
      <c r="J750">
        <f>IF('House Count'!H750="Y",IF('House Count'!F750="RES-SFU",1,IF('House Count'!F750="RES-MDU",1,IF('House Count'!F750="RES-HOA",1,0))),0)</f>
        <v>0</v>
      </c>
      <c r="K750">
        <f>IF('House Count'!H750="Y",IF('House Count'!F750="COMM-SU",1,IF('House Count'!F750="COM-MTU",1,IF('House Count'!F750="ENT",1,0))),0)</f>
        <v>0</v>
      </c>
    </row>
    <row r="751" spans="1:11" x14ac:dyDescent="0.25">
      <c r="H751" s="192"/>
      <c r="I751" s="773"/>
      <c r="J751">
        <f>IF('House Count'!H751="Y",IF('House Count'!F751="RES-SFU",1,IF('House Count'!F751="RES-MDU",1,IF('House Count'!F751="RES-HOA",1,0))),0)</f>
        <v>0</v>
      </c>
      <c r="K751">
        <f>IF('House Count'!H751="Y",IF('House Count'!F751="COMM-SU",1,IF('House Count'!F751="COM-MTU",1,IF('House Count'!F751="ENT",1,0))),0)</f>
        <v>0</v>
      </c>
    </row>
    <row r="752" spans="1:11" x14ac:dyDescent="0.25">
      <c r="H752" s="192"/>
      <c r="I752" s="773"/>
      <c r="J752">
        <f>IF('House Count'!H752="Y",IF('House Count'!F752="RES-SFU",1,IF('House Count'!F752="RES-MDU",1,IF('House Count'!F752="RES-HOA",1,0))),0)</f>
        <v>0</v>
      </c>
      <c r="K752">
        <f>IF('House Count'!H752="Y",IF('House Count'!F752="COMM-SU",1,IF('House Count'!F752="COM-MTU",1,IF('House Count'!F752="ENT",1,0))),0)</f>
        <v>0</v>
      </c>
    </row>
    <row r="753" spans="1:11" x14ac:dyDescent="0.25">
      <c r="H753" s="192"/>
      <c r="I753" s="773"/>
      <c r="J753">
        <f>IF('House Count'!H753="Y",IF('House Count'!F753="RES-SFU",1,IF('House Count'!F753="RES-MDU",1,IF('House Count'!F753="RES-HOA",1,0))),0)</f>
        <v>0</v>
      </c>
      <c r="K753">
        <f>IF('House Count'!H753="Y",IF('House Count'!F753="COMM-SU",1,IF('House Count'!F753="COM-MTU",1,IF('House Count'!F753="ENT",1,0))),0)</f>
        <v>0</v>
      </c>
    </row>
    <row r="754" spans="1:11" x14ac:dyDescent="0.25">
      <c r="H754" s="192"/>
      <c r="I754" s="773"/>
      <c r="J754">
        <f>IF('House Count'!H754="Y",IF('House Count'!F754="RES-SFU",1,IF('House Count'!F754="RES-MDU",1,IF('House Count'!F754="RES-HOA",1,0))),0)</f>
        <v>0</v>
      </c>
      <c r="K754">
        <f>IF('House Count'!H754="Y",IF('House Count'!F754="COMM-SU",1,IF('House Count'!F754="COM-MTU",1,IF('House Count'!F754="ENT",1,0))),0)</f>
        <v>0</v>
      </c>
    </row>
    <row r="755" spans="1:11" x14ac:dyDescent="0.25">
      <c r="H755" s="192"/>
      <c r="I755" s="773"/>
      <c r="J755">
        <f>IF('House Count'!H755="Y",IF('House Count'!F755="RES-SFU",1,IF('House Count'!F755="RES-MDU",1,IF('House Count'!F755="RES-HOA",1,0))),0)</f>
        <v>0</v>
      </c>
      <c r="K755">
        <f>IF('House Count'!H755="Y",IF('House Count'!F755="COMM-SU",1,IF('House Count'!F755="COM-MTU",1,IF('House Count'!F755="ENT",1,0))),0)</f>
        <v>0</v>
      </c>
    </row>
    <row r="756" spans="1:11" x14ac:dyDescent="0.25">
      <c r="H756" s="192"/>
      <c r="I756" s="773"/>
      <c r="J756">
        <f>IF('House Count'!H756="Y",IF('House Count'!F756="RES-SFU",1,IF('House Count'!F756="RES-MDU",1,IF('House Count'!F756="RES-HOA",1,0))),0)</f>
        <v>0</v>
      </c>
      <c r="K756">
        <f>IF('House Count'!H756="Y",IF('House Count'!F756="COMM-SU",1,IF('House Count'!F756="COM-MTU",1,IF('House Count'!F756="ENT",1,0))),0)</f>
        <v>0</v>
      </c>
    </row>
    <row r="757" spans="1:11" ht="15.75" thickBot="1" x14ac:dyDescent="0.3">
      <c r="A757" s="774"/>
      <c r="B757" s="774"/>
      <c r="C757" s="774"/>
      <c r="D757" s="774"/>
      <c r="E757" s="774"/>
      <c r="F757" s="774"/>
      <c r="G757" s="774"/>
      <c r="H757" s="774"/>
      <c r="I757" s="775"/>
      <c r="J757">
        <f>IF('House Count'!H757="Y",IF('House Count'!F757="RES-SFU",1,IF('House Count'!F757="RES-MDU",1,IF('House Count'!F757="RES-HOA",1,0))),0)</f>
        <v>0</v>
      </c>
      <c r="K757">
        <f>IF('House Count'!H757="Y",IF('House Count'!F757="COMM-SU",1,IF('House Count'!F757="COM-MTU",1,IF('House Count'!F757="ENT",1,0))),0)</f>
        <v>0</v>
      </c>
    </row>
    <row r="758" spans="1:11" ht="15.75" thickTop="1" x14ac:dyDescent="0.25">
      <c r="H758" s="192"/>
      <c r="I758" s="773"/>
      <c r="J758">
        <f>IF('House Count'!H758="Y",IF('House Count'!F758="RES-SFU",1,IF('House Count'!F758="RES-MDU",1,IF('House Count'!F758="RES-HOA",1,0))),0)</f>
        <v>0</v>
      </c>
      <c r="K758">
        <f>IF('House Count'!H758="Y",IF('House Count'!F758="COMM-SU",1,IF('House Count'!F758="COM-MTU",1,IF('House Count'!F758="ENT",1,0))),0)</f>
        <v>0</v>
      </c>
    </row>
    <row r="759" spans="1:11" x14ac:dyDescent="0.25">
      <c r="H759" s="192"/>
      <c r="I759" s="773"/>
      <c r="J759">
        <f>IF('House Count'!H759="Y",IF('House Count'!F759="RES-SFU",1,IF('House Count'!F759="RES-MDU",1,IF('House Count'!F759="RES-HOA",1,0))),0)</f>
        <v>0</v>
      </c>
      <c r="K759">
        <f>IF('House Count'!H759="Y",IF('House Count'!F759="COMM-SU",1,IF('House Count'!F759="COM-MTU",1,IF('House Count'!F759="ENT",1,0))),0)</f>
        <v>0</v>
      </c>
    </row>
    <row r="760" spans="1:11" x14ac:dyDescent="0.25">
      <c r="H760" s="192"/>
      <c r="I760" s="773"/>
      <c r="J760">
        <f>IF('House Count'!H760="Y",IF('House Count'!F760="RES-SFU",1,IF('House Count'!F760="RES-MDU",1,IF('House Count'!F760="RES-HOA",1,0))),0)</f>
        <v>0</v>
      </c>
      <c r="K760">
        <f>IF('House Count'!H760="Y",IF('House Count'!F760="COMM-SU",1,IF('House Count'!F760="COM-MTU",1,IF('House Count'!F760="ENT",1,0))),0)</f>
        <v>0</v>
      </c>
    </row>
    <row r="761" spans="1:11" x14ac:dyDescent="0.25">
      <c r="H761" s="192"/>
      <c r="I761" s="773"/>
      <c r="J761">
        <f>IF('House Count'!H761="Y",IF('House Count'!F761="RES-SFU",1,IF('House Count'!F761="RES-MDU",1,IF('House Count'!F761="RES-HOA",1,0))),0)</f>
        <v>0</v>
      </c>
      <c r="K761">
        <f>IF('House Count'!H761="Y",IF('House Count'!F761="COMM-SU",1,IF('House Count'!F761="COM-MTU",1,IF('House Count'!F761="ENT",1,0))),0)</f>
        <v>0</v>
      </c>
    </row>
    <row r="762" spans="1:11" x14ac:dyDescent="0.25">
      <c r="H762" s="192"/>
      <c r="I762" s="773"/>
      <c r="J762">
        <f>IF('House Count'!H762="Y",IF('House Count'!F762="RES-SFU",1,IF('House Count'!F762="RES-MDU",1,IF('House Count'!F762="RES-HOA",1,0))),0)</f>
        <v>0</v>
      </c>
      <c r="K762">
        <f>IF('House Count'!H762="Y",IF('House Count'!F762="COMM-SU",1,IF('House Count'!F762="COM-MTU",1,IF('House Count'!F762="ENT",1,0))),0)</f>
        <v>0</v>
      </c>
    </row>
    <row r="763" spans="1:11" x14ac:dyDescent="0.25">
      <c r="H763" s="192"/>
      <c r="I763" s="773"/>
      <c r="J763">
        <f>IF('House Count'!H763="Y",IF('House Count'!F763="RES-SFU",1,IF('House Count'!F763="RES-MDU",1,IF('House Count'!F763="RES-HOA",1,0))),0)</f>
        <v>0</v>
      </c>
      <c r="K763">
        <f>IF('House Count'!H763="Y",IF('House Count'!F763="COMM-SU",1,IF('House Count'!F763="COM-MTU",1,IF('House Count'!F763="ENT",1,0))),0)</f>
        <v>0</v>
      </c>
    </row>
    <row r="764" spans="1:11" x14ac:dyDescent="0.25">
      <c r="H764" s="192"/>
      <c r="I764" s="773"/>
      <c r="J764">
        <f>IF('House Count'!H764="Y",IF('House Count'!F764="RES-SFU",1,IF('House Count'!F764="RES-MDU",1,IF('House Count'!F764="RES-HOA",1,0))),0)</f>
        <v>0</v>
      </c>
      <c r="K764">
        <f>IF('House Count'!H764="Y",IF('House Count'!F764="COMM-SU",1,IF('House Count'!F764="COM-MTU",1,IF('House Count'!F764="ENT",1,0))),0)</f>
        <v>0</v>
      </c>
    </row>
    <row r="765" spans="1:11" x14ac:dyDescent="0.25">
      <c r="H765" s="192"/>
      <c r="I765" s="773"/>
      <c r="J765">
        <f>IF('House Count'!H765="Y",IF('House Count'!F765="RES-SFU",1,IF('House Count'!F765="RES-MDU",1,IF('House Count'!F765="RES-HOA",1,0))),0)</f>
        <v>0</v>
      </c>
      <c r="K765">
        <f>IF('House Count'!H765="Y",IF('House Count'!F765="COMM-SU",1,IF('House Count'!F765="COM-MTU",1,IF('House Count'!F765="ENT",1,0))),0)</f>
        <v>0</v>
      </c>
    </row>
    <row r="766" spans="1:11" x14ac:dyDescent="0.25">
      <c r="H766" s="192"/>
      <c r="I766" s="773"/>
      <c r="J766">
        <f>IF('House Count'!H766="Y",IF('House Count'!F766="RES-SFU",1,IF('House Count'!F766="RES-MDU",1,IF('House Count'!F766="RES-HOA",1,0))),0)</f>
        <v>0</v>
      </c>
      <c r="K766">
        <f>IF('House Count'!H766="Y",IF('House Count'!F766="COMM-SU",1,IF('House Count'!F766="COM-MTU",1,IF('House Count'!F766="ENT",1,0))),0)</f>
        <v>0</v>
      </c>
    </row>
    <row r="767" spans="1:11" x14ac:dyDescent="0.25">
      <c r="H767" s="192"/>
      <c r="I767" s="773"/>
      <c r="J767">
        <f>IF('House Count'!H767="Y",IF('House Count'!F767="RES-SFU",1,IF('House Count'!F767="RES-MDU",1,IF('House Count'!F767="RES-HOA",1,0))),0)</f>
        <v>0</v>
      </c>
      <c r="K767">
        <f>IF('House Count'!H767="Y",IF('House Count'!F767="COMM-SU",1,IF('House Count'!F767="COM-MTU",1,IF('House Count'!F767="ENT",1,0))),0)</f>
        <v>0</v>
      </c>
    </row>
    <row r="768" spans="1:11" x14ac:dyDescent="0.25">
      <c r="H768" s="192"/>
      <c r="I768" s="773"/>
      <c r="J768">
        <f>IF('House Count'!H768="Y",IF('House Count'!F768="RES-SFU",1,IF('House Count'!F768="RES-MDU",1,IF('House Count'!F768="RES-HOA",1,0))),0)</f>
        <v>0</v>
      </c>
      <c r="K768">
        <f>IF('House Count'!H768="Y",IF('House Count'!F768="COMM-SU",1,IF('House Count'!F768="COM-MTU",1,IF('House Count'!F768="ENT",1,0))),0)</f>
        <v>0</v>
      </c>
    </row>
    <row r="769" spans="1:11" ht="15.75" thickBot="1" x14ac:dyDescent="0.3">
      <c r="A769" s="774"/>
      <c r="B769" s="774"/>
      <c r="C769" s="774"/>
      <c r="D769" s="774"/>
      <c r="E769" s="774"/>
      <c r="F769" s="774"/>
      <c r="G769" s="774"/>
      <c r="H769" s="774"/>
      <c r="I769" s="775"/>
      <c r="J769">
        <f>IF('House Count'!H769="Y",IF('House Count'!F769="RES-SFU",1,IF('House Count'!F769="RES-MDU",1,IF('House Count'!F769="RES-HOA",1,0))),0)</f>
        <v>0</v>
      </c>
      <c r="K769">
        <f>IF('House Count'!H769="Y",IF('House Count'!F769="COMM-SU",1,IF('House Count'!F769="COM-MTU",1,IF('House Count'!F769="ENT",1,0))),0)</f>
        <v>0</v>
      </c>
    </row>
    <row r="770" spans="1:11" ht="15.75" thickTop="1" x14ac:dyDescent="0.25">
      <c r="H770" s="192"/>
      <c r="I770" s="773"/>
      <c r="J770">
        <f>IF('House Count'!H770="Y",IF('House Count'!F770="RES-SFU",1,IF('House Count'!F770="RES-MDU",1,IF('House Count'!F770="RES-HOA",1,0))),0)</f>
        <v>0</v>
      </c>
      <c r="K770">
        <f>IF('House Count'!H770="Y",IF('House Count'!F770="COMM-SU",1,IF('House Count'!F770="COM-MTU",1,IF('House Count'!F770="ENT",1,0))),0)</f>
        <v>0</v>
      </c>
    </row>
    <row r="771" spans="1:11" x14ac:dyDescent="0.25">
      <c r="H771" s="192"/>
      <c r="I771" s="773"/>
      <c r="J771">
        <f>IF('House Count'!H771="Y",IF('House Count'!F771="RES-SFU",1,IF('House Count'!F771="RES-MDU",1,IF('House Count'!F771="RES-HOA",1,0))),0)</f>
        <v>0</v>
      </c>
      <c r="K771">
        <f>IF('House Count'!H771="Y",IF('House Count'!F771="COMM-SU",1,IF('House Count'!F771="COM-MTU",1,IF('House Count'!F771="ENT",1,0))),0)</f>
        <v>0</v>
      </c>
    </row>
    <row r="772" spans="1:11" x14ac:dyDescent="0.25">
      <c r="H772" s="192"/>
      <c r="I772" s="773"/>
      <c r="J772">
        <f>IF('House Count'!H772="Y",IF('House Count'!F772="RES-SFU",1,IF('House Count'!F772="RES-MDU",1,IF('House Count'!F772="RES-HOA",1,0))),0)</f>
        <v>0</v>
      </c>
      <c r="K772">
        <f>IF('House Count'!H772="Y",IF('House Count'!F772="COMM-SU",1,IF('House Count'!F772="COM-MTU",1,IF('House Count'!F772="ENT",1,0))),0)</f>
        <v>0</v>
      </c>
    </row>
    <row r="773" spans="1:11" x14ac:dyDescent="0.25">
      <c r="H773" s="192"/>
      <c r="I773" s="773"/>
      <c r="J773">
        <f>IF('House Count'!H773="Y",IF('House Count'!F773="RES-SFU",1,IF('House Count'!F773="RES-MDU",1,IF('House Count'!F773="RES-HOA",1,0))),0)</f>
        <v>0</v>
      </c>
      <c r="K773">
        <f>IF('House Count'!H773="Y",IF('House Count'!F773="COMM-SU",1,IF('House Count'!F773="COM-MTU",1,IF('House Count'!F773="ENT",1,0))),0)</f>
        <v>0</v>
      </c>
    </row>
    <row r="774" spans="1:11" x14ac:dyDescent="0.25">
      <c r="H774" s="192"/>
      <c r="I774" s="773"/>
      <c r="J774">
        <f>IF('House Count'!H774="Y",IF('House Count'!F774="RES-SFU",1,IF('House Count'!F774="RES-MDU",1,IF('House Count'!F774="RES-HOA",1,0))),0)</f>
        <v>0</v>
      </c>
      <c r="K774">
        <f>IF('House Count'!H774="Y",IF('House Count'!F774="COMM-SU",1,IF('House Count'!F774="COM-MTU",1,IF('House Count'!F774="ENT",1,0))),0)</f>
        <v>0</v>
      </c>
    </row>
    <row r="775" spans="1:11" x14ac:dyDescent="0.25">
      <c r="H775" s="192"/>
      <c r="I775" s="773"/>
      <c r="J775">
        <f>IF('House Count'!H775="Y",IF('House Count'!F775="RES-SFU",1,IF('House Count'!F775="RES-MDU",1,IF('House Count'!F775="RES-HOA",1,0))),0)</f>
        <v>0</v>
      </c>
      <c r="K775">
        <f>IF('House Count'!H775="Y",IF('House Count'!F775="COMM-SU",1,IF('House Count'!F775="COM-MTU",1,IF('House Count'!F775="ENT",1,0))),0)</f>
        <v>0</v>
      </c>
    </row>
    <row r="776" spans="1:11" x14ac:dyDescent="0.25">
      <c r="H776" s="192"/>
      <c r="I776" s="773"/>
      <c r="J776">
        <f>IF('House Count'!H776="Y",IF('House Count'!F776="RES-SFU",1,IF('House Count'!F776="RES-MDU",1,IF('House Count'!F776="RES-HOA",1,0))),0)</f>
        <v>0</v>
      </c>
      <c r="K776">
        <f>IF('House Count'!H776="Y",IF('House Count'!F776="COMM-SU",1,IF('House Count'!F776="COM-MTU",1,IF('House Count'!F776="ENT",1,0))),0)</f>
        <v>0</v>
      </c>
    </row>
    <row r="777" spans="1:11" x14ac:dyDescent="0.25">
      <c r="H777" s="192"/>
      <c r="I777" s="773"/>
      <c r="J777">
        <f>IF('House Count'!H777="Y",IF('House Count'!F777="RES-SFU",1,IF('House Count'!F777="RES-MDU",1,IF('House Count'!F777="RES-HOA",1,0))),0)</f>
        <v>0</v>
      </c>
      <c r="K777">
        <f>IF('House Count'!H777="Y",IF('House Count'!F777="COMM-SU",1,IF('House Count'!F777="COM-MTU",1,IF('House Count'!F777="ENT",1,0))),0)</f>
        <v>0</v>
      </c>
    </row>
    <row r="778" spans="1:11" x14ac:dyDescent="0.25">
      <c r="H778" s="192"/>
      <c r="I778" s="773"/>
      <c r="J778">
        <f>IF('House Count'!H778="Y",IF('House Count'!F778="RES-SFU",1,IF('House Count'!F778="RES-MDU",1,IF('House Count'!F778="RES-HOA",1,0))),0)</f>
        <v>0</v>
      </c>
      <c r="K778">
        <f>IF('House Count'!H778="Y",IF('House Count'!F778="COMM-SU",1,IF('House Count'!F778="COM-MTU",1,IF('House Count'!F778="ENT",1,0))),0)</f>
        <v>0</v>
      </c>
    </row>
    <row r="779" spans="1:11" x14ac:dyDescent="0.25">
      <c r="H779" s="192"/>
      <c r="I779" s="773"/>
      <c r="J779">
        <f>IF('House Count'!H779="Y",IF('House Count'!F779="RES-SFU",1,IF('House Count'!F779="RES-MDU",1,IF('House Count'!F779="RES-HOA",1,0))),0)</f>
        <v>0</v>
      </c>
      <c r="K779">
        <f>IF('House Count'!H779="Y",IF('House Count'!F779="COMM-SU",1,IF('House Count'!F779="COM-MTU",1,IF('House Count'!F779="ENT",1,0))),0)</f>
        <v>0</v>
      </c>
    </row>
    <row r="780" spans="1:11" x14ac:dyDescent="0.25">
      <c r="H780" s="192"/>
      <c r="I780" s="773"/>
      <c r="J780">
        <f>IF('House Count'!H780="Y",IF('House Count'!F780="RES-SFU",1,IF('House Count'!F780="RES-MDU",1,IF('House Count'!F780="RES-HOA",1,0))),0)</f>
        <v>0</v>
      </c>
      <c r="K780">
        <f>IF('House Count'!H780="Y",IF('House Count'!F780="COMM-SU",1,IF('House Count'!F780="COM-MTU",1,IF('House Count'!F780="ENT",1,0))),0)</f>
        <v>0</v>
      </c>
    </row>
    <row r="781" spans="1:11" ht="15.75" thickBot="1" x14ac:dyDescent="0.3">
      <c r="A781" s="774"/>
      <c r="B781" s="774"/>
      <c r="C781" s="774"/>
      <c r="D781" s="774"/>
      <c r="E781" s="774"/>
      <c r="F781" s="774"/>
      <c r="G781" s="774"/>
      <c r="H781" s="774"/>
      <c r="I781" s="775"/>
      <c r="J781">
        <f>IF('House Count'!H781="Y",IF('House Count'!F781="RES-SFU",1,IF('House Count'!F781="RES-MDU",1,IF('House Count'!F781="RES-HOA",1,0))),0)</f>
        <v>0</v>
      </c>
      <c r="K781">
        <f>IF('House Count'!H781="Y",IF('House Count'!F781="COMM-SU",1,IF('House Count'!F781="COM-MTU",1,IF('House Count'!F781="ENT",1,0))),0)</f>
        <v>0</v>
      </c>
    </row>
    <row r="782" spans="1:11" ht="15.75" thickTop="1" x14ac:dyDescent="0.25">
      <c r="H782" s="192"/>
      <c r="I782" s="773"/>
      <c r="J782">
        <f>IF('House Count'!H782="Y",IF('House Count'!F782="RES-SFU",1,IF('House Count'!F782="RES-MDU",1,IF('House Count'!F782="RES-HOA",1,0))),0)</f>
        <v>0</v>
      </c>
      <c r="K782">
        <f>IF('House Count'!H782="Y",IF('House Count'!F782="COMM-SU",1,IF('House Count'!F782="COM-MTU",1,IF('House Count'!F782="ENT",1,0))),0)</f>
        <v>0</v>
      </c>
    </row>
    <row r="783" spans="1:11" x14ac:dyDescent="0.25">
      <c r="H783" s="192"/>
      <c r="I783" s="773"/>
      <c r="J783">
        <f>IF('House Count'!H783="Y",IF('House Count'!F783="RES-SFU",1,IF('House Count'!F783="RES-MDU",1,IF('House Count'!F783="RES-HOA",1,0))),0)</f>
        <v>0</v>
      </c>
      <c r="K783">
        <f>IF('House Count'!H783="Y",IF('House Count'!F783="COMM-SU",1,IF('House Count'!F783="COM-MTU",1,IF('House Count'!F783="ENT",1,0))),0)</f>
        <v>0</v>
      </c>
    </row>
    <row r="784" spans="1:11" x14ac:dyDescent="0.25">
      <c r="H784" s="192"/>
      <c r="I784" s="773"/>
      <c r="J784">
        <f>IF('House Count'!H784="Y",IF('House Count'!F784="RES-SFU",1,IF('House Count'!F784="RES-MDU",1,IF('House Count'!F784="RES-HOA",1,0))),0)</f>
        <v>0</v>
      </c>
      <c r="K784">
        <f>IF('House Count'!H784="Y",IF('House Count'!F784="COMM-SU",1,IF('House Count'!F784="COM-MTU",1,IF('House Count'!F784="ENT",1,0))),0)</f>
        <v>0</v>
      </c>
    </row>
    <row r="785" spans="1:11" x14ac:dyDescent="0.25">
      <c r="H785" s="192"/>
      <c r="I785" s="773"/>
      <c r="J785">
        <f>IF('House Count'!H785="Y",IF('House Count'!F785="RES-SFU",1,IF('House Count'!F785="RES-MDU",1,IF('House Count'!F785="RES-HOA",1,0))),0)</f>
        <v>0</v>
      </c>
      <c r="K785">
        <f>IF('House Count'!H785="Y",IF('House Count'!F785="COMM-SU",1,IF('House Count'!F785="COM-MTU",1,IF('House Count'!F785="ENT",1,0))),0)</f>
        <v>0</v>
      </c>
    </row>
    <row r="786" spans="1:11" x14ac:dyDescent="0.25">
      <c r="H786" s="192"/>
      <c r="I786" s="773"/>
      <c r="J786">
        <f>IF('House Count'!H786="Y",IF('House Count'!F786="RES-SFU",1,IF('House Count'!F786="RES-MDU",1,IF('House Count'!F786="RES-HOA",1,0))),0)</f>
        <v>0</v>
      </c>
      <c r="K786">
        <f>IF('House Count'!H786="Y",IF('House Count'!F786="COMM-SU",1,IF('House Count'!F786="COM-MTU",1,IF('House Count'!F786="ENT",1,0))),0)</f>
        <v>0</v>
      </c>
    </row>
    <row r="787" spans="1:11" x14ac:dyDescent="0.25">
      <c r="H787" s="192"/>
      <c r="I787" s="773"/>
      <c r="J787">
        <f>IF('House Count'!H787="Y",IF('House Count'!F787="RES-SFU",1,IF('House Count'!F787="RES-MDU",1,IF('House Count'!F787="RES-HOA",1,0))),0)</f>
        <v>0</v>
      </c>
      <c r="K787">
        <f>IF('House Count'!H787="Y",IF('House Count'!F787="COMM-SU",1,IF('House Count'!F787="COM-MTU",1,IF('House Count'!F787="ENT",1,0))),0)</f>
        <v>0</v>
      </c>
    </row>
    <row r="788" spans="1:11" x14ac:dyDescent="0.25">
      <c r="H788" s="192"/>
      <c r="I788" s="773"/>
      <c r="J788">
        <f>IF('House Count'!H788="Y",IF('House Count'!F788="RES-SFU",1,IF('House Count'!F788="RES-MDU",1,IF('House Count'!F788="RES-HOA",1,0))),0)</f>
        <v>0</v>
      </c>
      <c r="K788">
        <f>IF('House Count'!H788="Y",IF('House Count'!F788="COMM-SU",1,IF('House Count'!F788="COM-MTU",1,IF('House Count'!F788="ENT",1,0))),0)</f>
        <v>0</v>
      </c>
    </row>
    <row r="789" spans="1:11" x14ac:dyDescent="0.25">
      <c r="H789" s="192"/>
      <c r="I789" s="773"/>
      <c r="J789">
        <f>IF('House Count'!H789="Y",IF('House Count'!F789="RES-SFU",1,IF('House Count'!F789="RES-MDU",1,IF('House Count'!F789="RES-HOA",1,0))),0)</f>
        <v>0</v>
      </c>
      <c r="K789">
        <f>IF('House Count'!H789="Y",IF('House Count'!F789="COMM-SU",1,IF('House Count'!F789="COM-MTU",1,IF('House Count'!F789="ENT",1,0))),0)</f>
        <v>0</v>
      </c>
    </row>
    <row r="790" spans="1:11" x14ac:dyDescent="0.25">
      <c r="H790" s="192"/>
      <c r="I790" s="773"/>
      <c r="J790">
        <f>IF('House Count'!H790="Y",IF('House Count'!F790="RES-SFU",1,IF('House Count'!F790="RES-MDU",1,IF('House Count'!F790="RES-HOA",1,0))),0)</f>
        <v>0</v>
      </c>
      <c r="K790">
        <f>IF('House Count'!H790="Y",IF('House Count'!F790="COMM-SU",1,IF('House Count'!F790="COM-MTU",1,IF('House Count'!F790="ENT",1,0))),0)</f>
        <v>0</v>
      </c>
    </row>
    <row r="791" spans="1:11" x14ac:dyDescent="0.25">
      <c r="H791" s="192"/>
      <c r="I791" s="773"/>
      <c r="J791">
        <f>IF('House Count'!H791="Y",IF('House Count'!F791="RES-SFU",1,IF('House Count'!F791="RES-MDU",1,IF('House Count'!F791="RES-HOA",1,0))),0)</f>
        <v>0</v>
      </c>
      <c r="K791">
        <f>IF('House Count'!H791="Y",IF('House Count'!F791="COMM-SU",1,IF('House Count'!F791="COM-MTU",1,IF('House Count'!F791="ENT",1,0))),0)</f>
        <v>0</v>
      </c>
    </row>
    <row r="792" spans="1:11" x14ac:dyDescent="0.25">
      <c r="H792" s="192"/>
      <c r="I792" s="773"/>
      <c r="J792">
        <f>IF('House Count'!H792="Y",IF('House Count'!F792="RES-SFU",1,IF('House Count'!F792="RES-MDU",1,IF('House Count'!F792="RES-HOA",1,0))),0)</f>
        <v>0</v>
      </c>
      <c r="K792">
        <f>IF('House Count'!H792="Y",IF('House Count'!F792="COMM-SU",1,IF('House Count'!F792="COM-MTU",1,IF('House Count'!F792="ENT",1,0))),0)</f>
        <v>0</v>
      </c>
    </row>
    <row r="793" spans="1:11" ht="15.75" thickBot="1" x14ac:dyDescent="0.3">
      <c r="A793" s="774"/>
      <c r="B793" s="774"/>
      <c r="C793" s="774"/>
      <c r="D793" s="774"/>
      <c r="E793" s="774"/>
      <c r="F793" s="774"/>
      <c r="G793" s="774"/>
      <c r="H793" s="774"/>
      <c r="I793" s="775"/>
      <c r="J793">
        <f>IF('House Count'!H793="Y",IF('House Count'!F793="RES-SFU",1,IF('House Count'!F793="RES-MDU",1,IF('House Count'!F793="RES-HOA",1,0))),0)</f>
        <v>0</v>
      </c>
      <c r="K793">
        <f>IF('House Count'!H793="Y",IF('House Count'!F793="COMM-SU",1,IF('House Count'!F793="COM-MTU",1,IF('House Count'!F793="ENT",1,0))),0)</f>
        <v>0</v>
      </c>
    </row>
    <row r="794" spans="1:11" ht="15.75" thickTop="1" x14ac:dyDescent="0.25">
      <c r="H794" s="192"/>
      <c r="I794" s="773"/>
      <c r="J794">
        <f>IF('House Count'!H794="Y",IF('House Count'!F794="RES-SFU",1,IF('House Count'!F794="RES-MDU",1,IF('House Count'!F794="RES-HOA",1,0))),0)</f>
        <v>0</v>
      </c>
      <c r="K794">
        <f>IF('House Count'!H794="Y",IF('House Count'!F794="COMM-SU",1,IF('House Count'!F794="COM-MTU",1,IF('House Count'!F794="ENT",1,0))),0)</f>
        <v>0</v>
      </c>
    </row>
    <row r="795" spans="1:11" x14ac:dyDescent="0.25">
      <c r="H795" s="192"/>
      <c r="I795" s="773"/>
      <c r="J795">
        <f>IF('House Count'!H795="Y",IF('House Count'!F795="RES-SFU",1,IF('House Count'!F795="RES-MDU",1,IF('House Count'!F795="RES-HOA",1,0))),0)</f>
        <v>0</v>
      </c>
      <c r="K795">
        <f>IF('House Count'!H795="Y",IF('House Count'!F795="COMM-SU",1,IF('House Count'!F795="COM-MTU",1,IF('House Count'!F795="ENT",1,0))),0)</f>
        <v>0</v>
      </c>
    </row>
    <row r="796" spans="1:11" x14ac:dyDescent="0.25">
      <c r="H796" s="192"/>
      <c r="I796" s="773"/>
      <c r="J796">
        <f>IF('House Count'!H796="Y",IF('House Count'!F796="RES-SFU",1,IF('House Count'!F796="RES-MDU",1,IF('House Count'!F796="RES-HOA",1,0))),0)</f>
        <v>0</v>
      </c>
      <c r="K796">
        <f>IF('House Count'!H796="Y",IF('House Count'!F796="COMM-SU",1,IF('House Count'!F796="COM-MTU",1,IF('House Count'!F796="ENT",1,0))),0)</f>
        <v>0</v>
      </c>
    </row>
    <row r="797" spans="1:11" x14ac:dyDescent="0.25">
      <c r="H797" s="192"/>
      <c r="I797" s="773"/>
      <c r="J797">
        <f>IF('House Count'!H797="Y",IF('House Count'!F797="RES-SFU",1,IF('House Count'!F797="RES-MDU",1,IF('House Count'!F797="RES-HOA",1,0))),0)</f>
        <v>0</v>
      </c>
      <c r="K797">
        <f>IF('House Count'!H797="Y",IF('House Count'!F797="COMM-SU",1,IF('House Count'!F797="COM-MTU",1,IF('House Count'!F797="ENT",1,0))),0)</f>
        <v>0</v>
      </c>
    </row>
    <row r="798" spans="1:11" x14ac:dyDescent="0.25">
      <c r="H798" s="192"/>
      <c r="I798" s="773"/>
      <c r="J798">
        <f>IF('House Count'!H798="Y",IF('House Count'!F798="RES-SFU",1,IF('House Count'!F798="RES-MDU",1,IF('House Count'!F798="RES-HOA",1,0))),0)</f>
        <v>0</v>
      </c>
      <c r="K798">
        <f>IF('House Count'!H798="Y",IF('House Count'!F798="COMM-SU",1,IF('House Count'!F798="COM-MTU",1,IF('House Count'!F798="ENT",1,0))),0)</f>
        <v>0</v>
      </c>
    </row>
    <row r="799" spans="1:11" x14ac:dyDescent="0.25">
      <c r="H799" s="192"/>
      <c r="I799" s="773"/>
      <c r="J799">
        <f>IF('House Count'!H799="Y",IF('House Count'!F799="RES-SFU",1,IF('House Count'!F799="RES-MDU",1,IF('House Count'!F799="RES-HOA",1,0))),0)</f>
        <v>0</v>
      </c>
      <c r="K799">
        <f>IF('House Count'!H799="Y",IF('House Count'!F799="COMM-SU",1,IF('House Count'!F799="COM-MTU",1,IF('House Count'!F799="ENT",1,0))),0)</f>
        <v>0</v>
      </c>
    </row>
    <row r="800" spans="1:11" x14ac:dyDescent="0.25">
      <c r="H800" s="192"/>
      <c r="I800" s="773"/>
      <c r="J800">
        <f>IF('House Count'!H800="Y",IF('House Count'!F800="RES-SFU",1,IF('House Count'!F800="RES-MDU",1,IF('House Count'!F800="RES-HOA",1,0))),0)</f>
        <v>0</v>
      </c>
      <c r="K800">
        <f>IF('House Count'!H800="Y",IF('House Count'!F800="COMM-SU",1,IF('House Count'!F800="COM-MTU",1,IF('House Count'!F800="ENT",1,0))),0)</f>
        <v>0</v>
      </c>
    </row>
    <row r="801" spans="1:11" x14ac:dyDescent="0.25">
      <c r="H801" s="192"/>
      <c r="I801" s="773"/>
      <c r="J801">
        <f>IF('House Count'!H801="Y",IF('House Count'!F801="RES-SFU",1,IF('House Count'!F801="RES-MDU",1,IF('House Count'!F801="RES-HOA",1,0))),0)</f>
        <v>0</v>
      </c>
      <c r="K801">
        <f>IF('House Count'!H801="Y",IF('House Count'!F801="COMM-SU",1,IF('House Count'!F801="COM-MTU",1,IF('House Count'!F801="ENT",1,0))),0)</f>
        <v>0</v>
      </c>
    </row>
    <row r="802" spans="1:11" x14ac:dyDescent="0.25">
      <c r="H802" s="192"/>
      <c r="I802" s="773"/>
      <c r="J802">
        <f>IF('House Count'!H802="Y",IF('House Count'!F802="RES-SFU",1,IF('House Count'!F802="RES-MDU",1,IF('House Count'!F802="RES-HOA",1,0))),0)</f>
        <v>0</v>
      </c>
      <c r="K802">
        <f>IF('House Count'!H802="Y",IF('House Count'!F802="COMM-SU",1,IF('House Count'!F802="COM-MTU",1,IF('House Count'!F802="ENT",1,0))),0)</f>
        <v>0</v>
      </c>
    </row>
    <row r="803" spans="1:11" x14ac:dyDescent="0.25">
      <c r="H803" s="192"/>
      <c r="I803" s="773"/>
      <c r="J803">
        <f>IF('House Count'!H803="Y",IF('House Count'!F803="RES-SFU",1,IF('House Count'!F803="RES-MDU",1,IF('House Count'!F803="RES-HOA",1,0))),0)</f>
        <v>0</v>
      </c>
      <c r="K803">
        <f>IF('House Count'!H803="Y",IF('House Count'!F803="COMM-SU",1,IF('House Count'!F803="COM-MTU",1,IF('House Count'!F803="ENT",1,0))),0)</f>
        <v>0</v>
      </c>
    </row>
    <row r="804" spans="1:11" x14ac:dyDescent="0.25">
      <c r="H804" s="192"/>
      <c r="I804" s="773"/>
      <c r="J804">
        <f>IF('House Count'!H804="Y",IF('House Count'!F804="RES-SFU",1,IF('House Count'!F804="RES-MDU",1,IF('House Count'!F804="RES-HOA",1,0))),0)</f>
        <v>0</v>
      </c>
      <c r="K804">
        <f>IF('House Count'!H804="Y",IF('House Count'!F804="COMM-SU",1,IF('House Count'!F804="COM-MTU",1,IF('House Count'!F804="ENT",1,0))),0)</f>
        <v>0</v>
      </c>
    </row>
    <row r="805" spans="1:11" ht="15.75" thickBot="1" x14ac:dyDescent="0.3">
      <c r="A805" s="774"/>
      <c r="B805" s="774"/>
      <c r="C805" s="774"/>
      <c r="D805" s="774"/>
      <c r="E805" s="774"/>
      <c r="F805" s="774"/>
      <c r="G805" s="774"/>
      <c r="H805" s="774"/>
      <c r="I805" s="775"/>
      <c r="J805">
        <f>IF('House Count'!H805="Y",IF('House Count'!F805="RES-SFU",1,IF('House Count'!F805="RES-MDU",1,IF('House Count'!F805="RES-HOA",1,0))),0)</f>
        <v>0</v>
      </c>
      <c r="K805">
        <f>IF('House Count'!H805="Y",IF('House Count'!F805="COMM-SU",1,IF('House Count'!F805="COM-MTU",1,IF('House Count'!F805="ENT",1,0))),0)</f>
        <v>0</v>
      </c>
    </row>
    <row r="806" spans="1:11" ht="15.75" thickTop="1" x14ac:dyDescent="0.25">
      <c r="H806" s="192"/>
      <c r="I806" s="773"/>
      <c r="J806">
        <f>IF('House Count'!H806="Y",IF('House Count'!F806="RES-SFU",1,IF('House Count'!F806="RES-MDU",1,IF('House Count'!F806="RES-HOA",1,0))),0)</f>
        <v>0</v>
      </c>
      <c r="K806">
        <f>IF('House Count'!H806="Y",IF('House Count'!F806="COMM-SU",1,IF('House Count'!F806="COM-MTU",1,IF('House Count'!F806="ENT",1,0))),0)</f>
        <v>0</v>
      </c>
    </row>
    <row r="807" spans="1:11" x14ac:dyDescent="0.25">
      <c r="H807" s="192"/>
      <c r="I807" s="773"/>
      <c r="J807">
        <f>IF('House Count'!H807="Y",IF('House Count'!F807="RES-SFU",1,IF('House Count'!F807="RES-MDU",1,IF('House Count'!F807="RES-HOA",1,0))),0)</f>
        <v>0</v>
      </c>
      <c r="K807">
        <f>IF('House Count'!H807="Y",IF('House Count'!F807="COMM-SU",1,IF('House Count'!F807="COM-MTU",1,IF('House Count'!F807="ENT",1,0))),0)</f>
        <v>0</v>
      </c>
    </row>
    <row r="808" spans="1:11" x14ac:dyDescent="0.25">
      <c r="H808" s="192"/>
      <c r="I808" s="773"/>
      <c r="J808">
        <f>IF('House Count'!H808="Y",IF('House Count'!F808="RES-SFU",1,IF('House Count'!F808="RES-MDU",1,IF('House Count'!F808="RES-HOA",1,0))),0)</f>
        <v>0</v>
      </c>
      <c r="K808">
        <f>IF('House Count'!H808="Y",IF('House Count'!F808="COMM-SU",1,IF('House Count'!F808="COM-MTU",1,IF('House Count'!F808="ENT",1,0))),0)</f>
        <v>0</v>
      </c>
    </row>
    <row r="809" spans="1:11" x14ac:dyDescent="0.25">
      <c r="H809" s="192"/>
      <c r="I809" s="773"/>
      <c r="J809">
        <f>IF('House Count'!H809="Y",IF('House Count'!F809="RES-SFU",1,IF('House Count'!F809="RES-MDU",1,IF('House Count'!F809="RES-HOA",1,0))),0)</f>
        <v>0</v>
      </c>
      <c r="K809">
        <f>IF('House Count'!H809="Y",IF('House Count'!F809="COMM-SU",1,IF('House Count'!F809="COM-MTU",1,IF('House Count'!F809="ENT",1,0))),0)</f>
        <v>0</v>
      </c>
    </row>
    <row r="810" spans="1:11" x14ac:dyDescent="0.25">
      <c r="H810" s="192"/>
      <c r="I810" s="773"/>
      <c r="J810">
        <f>IF('House Count'!H810="Y",IF('House Count'!F810="RES-SFU",1,IF('House Count'!F810="RES-MDU",1,IF('House Count'!F810="RES-HOA",1,0))),0)</f>
        <v>0</v>
      </c>
      <c r="K810">
        <f>IF('House Count'!H810="Y",IF('House Count'!F810="COMM-SU",1,IF('House Count'!F810="COM-MTU",1,IF('House Count'!F810="ENT",1,0))),0)</f>
        <v>0</v>
      </c>
    </row>
    <row r="811" spans="1:11" x14ac:dyDescent="0.25">
      <c r="H811" s="192"/>
      <c r="I811" s="773"/>
      <c r="J811">
        <f>IF('House Count'!H811="Y",IF('House Count'!F811="RES-SFU",1,IF('House Count'!F811="RES-MDU",1,IF('House Count'!F811="RES-HOA",1,0))),0)</f>
        <v>0</v>
      </c>
      <c r="K811">
        <f>IF('House Count'!H811="Y",IF('House Count'!F811="COMM-SU",1,IF('House Count'!F811="COM-MTU",1,IF('House Count'!F811="ENT",1,0))),0)</f>
        <v>0</v>
      </c>
    </row>
    <row r="812" spans="1:11" x14ac:dyDescent="0.25">
      <c r="H812" s="192"/>
      <c r="I812" s="773"/>
      <c r="J812">
        <f>IF('House Count'!H812="Y",IF('House Count'!F812="RES-SFU",1,IF('House Count'!F812="RES-MDU",1,IF('House Count'!F812="RES-HOA",1,0))),0)</f>
        <v>0</v>
      </c>
      <c r="K812">
        <f>IF('House Count'!H812="Y",IF('House Count'!F812="COMM-SU",1,IF('House Count'!F812="COM-MTU",1,IF('House Count'!F812="ENT",1,0))),0)</f>
        <v>0</v>
      </c>
    </row>
    <row r="813" spans="1:11" x14ac:dyDescent="0.25">
      <c r="H813" s="192"/>
      <c r="I813" s="773"/>
      <c r="J813">
        <f>IF('House Count'!H813="Y",IF('House Count'!F813="RES-SFU",1,IF('House Count'!F813="RES-MDU",1,IF('House Count'!F813="RES-HOA",1,0))),0)</f>
        <v>0</v>
      </c>
      <c r="K813">
        <f>IF('House Count'!H813="Y",IF('House Count'!F813="COMM-SU",1,IF('House Count'!F813="COM-MTU",1,IF('House Count'!F813="ENT",1,0))),0)</f>
        <v>0</v>
      </c>
    </row>
    <row r="814" spans="1:11" x14ac:dyDescent="0.25">
      <c r="H814" s="192"/>
      <c r="I814" s="773"/>
      <c r="J814">
        <f>IF('House Count'!H814="Y",IF('House Count'!F814="RES-SFU",1,IF('House Count'!F814="RES-MDU",1,IF('House Count'!F814="RES-HOA",1,0))),0)</f>
        <v>0</v>
      </c>
      <c r="K814">
        <f>IF('House Count'!H814="Y",IF('House Count'!F814="COMM-SU",1,IF('House Count'!F814="COM-MTU",1,IF('House Count'!F814="ENT",1,0))),0)</f>
        <v>0</v>
      </c>
    </row>
    <row r="815" spans="1:11" x14ac:dyDescent="0.25">
      <c r="H815" s="192"/>
      <c r="I815" s="773"/>
      <c r="J815">
        <f>IF('House Count'!H815="Y",IF('House Count'!F815="RES-SFU",1,IF('House Count'!F815="RES-MDU",1,IF('House Count'!F815="RES-HOA",1,0))),0)</f>
        <v>0</v>
      </c>
      <c r="K815">
        <f>IF('House Count'!H815="Y",IF('House Count'!F815="COMM-SU",1,IF('House Count'!F815="COM-MTU",1,IF('House Count'!F815="ENT",1,0))),0)</f>
        <v>0</v>
      </c>
    </row>
    <row r="816" spans="1:11" x14ac:dyDescent="0.25">
      <c r="H816" s="192"/>
      <c r="I816" s="773"/>
      <c r="J816">
        <f>IF('House Count'!H816="Y",IF('House Count'!F816="RES-SFU",1,IF('House Count'!F816="RES-MDU",1,IF('House Count'!F816="RES-HOA",1,0))),0)</f>
        <v>0</v>
      </c>
      <c r="K816">
        <f>IF('House Count'!H816="Y",IF('House Count'!F816="COMM-SU",1,IF('House Count'!F816="COM-MTU",1,IF('House Count'!F816="ENT",1,0))),0)</f>
        <v>0</v>
      </c>
    </row>
    <row r="817" spans="1:11" ht="15.75" thickBot="1" x14ac:dyDescent="0.3">
      <c r="A817" s="774"/>
      <c r="B817" s="774"/>
      <c r="C817" s="774"/>
      <c r="D817" s="774"/>
      <c r="E817" s="774"/>
      <c r="F817" s="774"/>
      <c r="G817" s="774"/>
      <c r="H817" s="774"/>
      <c r="I817" s="775"/>
      <c r="J817">
        <f>IF('House Count'!H817="Y",IF('House Count'!F817="RES-SFU",1,IF('House Count'!F817="RES-MDU",1,IF('House Count'!F817="RES-HOA",1,0))),0)</f>
        <v>0</v>
      </c>
      <c r="K817">
        <f>IF('House Count'!H817="Y",IF('House Count'!F817="COMM-SU",1,IF('House Count'!F817="COM-MTU",1,IF('House Count'!F817="ENT",1,0))),0)</f>
        <v>0</v>
      </c>
    </row>
    <row r="818" spans="1:11" ht="15.75" thickTop="1" x14ac:dyDescent="0.25">
      <c r="H818" s="192"/>
      <c r="I818" s="773"/>
      <c r="J818">
        <f>IF('House Count'!H818="Y",IF('House Count'!F818="RES-SFU",1,IF('House Count'!F818="RES-MDU",1,IF('House Count'!F818="RES-HOA",1,0))),0)</f>
        <v>0</v>
      </c>
      <c r="K818">
        <f>IF('House Count'!H818="Y",IF('House Count'!F818="COMM-SU",1,IF('House Count'!F818="COM-MTU",1,IF('House Count'!F818="ENT",1,0))),0)</f>
        <v>0</v>
      </c>
    </row>
    <row r="819" spans="1:11" x14ac:dyDescent="0.25">
      <c r="H819" s="192"/>
      <c r="I819" s="773"/>
      <c r="J819">
        <f>IF('House Count'!H819="Y",IF('House Count'!F819="RES-SFU",1,IF('House Count'!F819="RES-MDU",1,IF('House Count'!F819="RES-HOA",1,0))),0)</f>
        <v>0</v>
      </c>
      <c r="K819">
        <f>IF('House Count'!H819="Y",IF('House Count'!F819="COMM-SU",1,IF('House Count'!F819="COM-MTU",1,IF('House Count'!F819="ENT",1,0))),0)</f>
        <v>0</v>
      </c>
    </row>
    <row r="820" spans="1:11" x14ac:dyDescent="0.25">
      <c r="H820" s="192"/>
      <c r="I820" s="773"/>
      <c r="J820">
        <f>IF('House Count'!H820="Y",IF('House Count'!F820="RES-SFU",1,IF('House Count'!F820="RES-MDU",1,IF('House Count'!F820="RES-HOA",1,0))),0)</f>
        <v>0</v>
      </c>
      <c r="K820">
        <f>IF('House Count'!H820="Y",IF('House Count'!F820="COMM-SU",1,IF('House Count'!F820="COM-MTU",1,IF('House Count'!F820="ENT",1,0))),0)</f>
        <v>0</v>
      </c>
    </row>
    <row r="821" spans="1:11" x14ac:dyDescent="0.25">
      <c r="H821" s="192"/>
      <c r="I821" s="773"/>
      <c r="J821">
        <f>IF('House Count'!H821="Y",IF('House Count'!F821="RES-SFU",1,IF('House Count'!F821="RES-MDU",1,IF('House Count'!F821="RES-HOA",1,0))),0)</f>
        <v>0</v>
      </c>
      <c r="K821">
        <f>IF('House Count'!H821="Y",IF('House Count'!F821="COMM-SU",1,IF('House Count'!F821="COM-MTU",1,IF('House Count'!F821="ENT",1,0))),0)</f>
        <v>0</v>
      </c>
    </row>
    <row r="822" spans="1:11" x14ac:dyDescent="0.25">
      <c r="H822" s="192"/>
      <c r="I822" s="773"/>
      <c r="J822">
        <f>IF('House Count'!H822="Y",IF('House Count'!F822="RES-SFU",1,IF('House Count'!F822="RES-MDU",1,IF('House Count'!F822="RES-HOA",1,0))),0)</f>
        <v>0</v>
      </c>
      <c r="K822">
        <f>IF('House Count'!H822="Y",IF('House Count'!F822="COMM-SU",1,IF('House Count'!F822="COM-MTU",1,IF('House Count'!F822="ENT",1,0))),0)</f>
        <v>0</v>
      </c>
    </row>
    <row r="823" spans="1:11" x14ac:dyDescent="0.25">
      <c r="H823" s="192"/>
      <c r="I823" s="773"/>
      <c r="J823">
        <f>IF('House Count'!H823="Y",IF('House Count'!F823="RES-SFU",1,IF('House Count'!F823="RES-MDU",1,IF('House Count'!F823="RES-HOA",1,0))),0)</f>
        <v>0</v>
      </c>
      <c r="K823">
        <f>IF('House Count'!H823="Y",IF('House Count'!F823="COMM-SU",1,IF('House Count'!F823="COM-MTU",1,IF('House Count'!F823="ENT",1,0))),0)</f>
        <v>0</v>
      </c>
    </row>
    <row r="824" spans="1:11" x14ac:dyDescent="0.25">
      <c r="H824" s="192"/>
      <c r="I824" s="773"/>
      <c r="J824">
        <f>IF('House Count'!H824="Y",IF('House Count'!F824="RES-SFU",1,IF('House Count'!F824="RES-MDU",1,IF('House Count'!F824="RES-HOA",1,0))),0)</f>
        <v>0</v>
      </c>
      <c r="K824">
        <f>IF('House Count'!H824="Y",IF('House Count'!F824="COMM-SU",1,IF('House Count'!F824="COM-MTU",1,IF('House Count'!F824="ENT",1,0))),0)</f>
        <v>0</v>
      </c>
    </row>
    <row r="825" spans="1:11" x14ac:dyDescent="0.25">
      <c r="H825" s="192"/>
      <c r="I825" s="773"/>
      <c r="J825">
        <f>IF('House Count'!H825="Y",IF('House Count'!F825="RES-SFU",1,IF('House Count'!F825="RES-MDU",1,IF('House Count'!F825="RES-HOA",1,0))),0)</f>
        <v>0</v>
      </c>
      <c r="K825">
        <f>IF('House Count'!H825="Y",IF('House Count'!F825="COMM-SU",1,IF('House Count'!F825="COM-MTU",1,IF('House Count'!F825="ENT",1,0))),0)</f>
        <v>0</v>
      </c>
    </row>
    <row r="826" spans="1:11" x14ac:dyDescent="0.25">
      <c r="H826" s="192"/>
      <c r="I826" s="773"/>
      <c r="J826">
        <f>IF('House Count'!H826="Y",IF('House Count'!F826="RES-SFU",1,IF('House Count'!F826="RES-MDU",1,IF('House Count'!F826="RES-HOA",1,0))),0)</f>
        <v>0</v>
      </c>
      <c r="K826">
        <f>IF('House Count'!H826="Y",IF('House Count'!F826="COMM-SU",1,IF('House Count'!F826="COM-MTU",1,IF('House Count'!F826="ENT",1,0))),0)</f>
        <v>0</v>
      </c>
    </row>
    <row r="827" spans="1:11" x14ac:dyDescent="0.25">
      <c r="H827" s="192"/>
      <c r="I827" s="773"/>
      <c r="J827">
        <f>IF('House Count'!H827="Y",IF('House Count'!F827="RES-SFU",1,IF('House Count'!F827="RES-MDU",1,IF('House Count'!F827="RES-HOA",1,0))),0)</f>
        <v>0</v>
      </c>
      <c r="K827">
        <f>IF('House Count'!H827="Y",IF('House Count'!F827="COMM-SU",1,IF('House Count'!F827="COM-MTU",1,IF('House Count'!F827="ENT",1,0))),0)</f>
        <v>0</v>
      </c>
    </row>
    <row r="828" spans="1:11" x14ac:dyDescent="0.25">
      <c r="H828" s="192"/>
      <c r="I828" s="773"/>
      <c r="J828">
        <f>IF('House Count'!H828="Y",IF('House Count'!F828="RES-SFU",1,IF('House Count'!F828="RES-MDU",1,IF('House Count'!F828="RES-HOA",1,0))),0)</f>
        <v>0</v>
      </c>
      <c r="K828">
        <f>IF('House Count'!H828="Y",IF('House Count'!F828="COMM-SU",1,IF('House Count'!F828="COM-MTU",1,IF('House Count'!F828="ENT",1,0))),0)</f>
        <v>0</v>
      </c>
    </row>
    <row r="829" spans="1:11" ht="15.75" thickBot="1" x14ac:dyDescent="0.3">
      <c r="A829" s="774"/>
      <c r="B829" s="774"/>
      <c r="C829" s="774"/>
      <c r="D829" s="774"/>
      <c r="E829" s="774"/>
      <c r="F829" s="774"/>
      <c r="G829" s="774"/>
      <c r="H829" s="774"/>
      <c r="I829" s="775"/>
      <c r="J829">
        <f>IF('House Count'!H829="Y",IF('House Count'!F829="RES-SFU",1,IF('House Count'!F829="RES-MDU",1,IF('House Count'!F829="RES-HOA",1,0))),0)</f>
        <v>0</v>
      </c>
      <c r="K829">
        <f>IF('House Count'!H829="Y",IF('House Count'!F829="COMM-SU",1,IF('House Count'!F829="COM-MTU",1,IF('House Count'!F829="ENT",1,0))),0)</f>
        <v>0</v>
      </c>
    </row>
    <row r="830" spans="1:11" ht="15.75" thickTop="1" x14ac:dyDescent="0.25">
      <c r="H830" s="192"/>
      <c r="I830" s="773"/>
      <c r="J830">
        <f>IF('House Count'!H830="Y",IF('House Count'!F830="RES-SFU",1,IF('House Count'!F830="RES-MDU",1,IF('House Count'!F830="RES-HOA",1,0))),0)</f>
        <v>0</v>
      </c>
      <c r="K830">
        <f>IF('House Count'!H830="Y",IF('House Count'!F830="COMM-SU",1,IF('House Count'!F830="COM-MTU",1,IF('House Count'!F830="ENT",1,0))),0)</f>
        <v>0</v>
      </c>
    </row>
    <row r="831" spans="1:11" x14ac:dyDescent="0.25">
      <c r="H831" s="192"/>
      <c r="I831" s="773"/>
      <c r="J831">
        <f>IF('House Count'!H831="Y",IF('House Count'!F831="RES-SFU",1,IF('House Count'!F831="RES-MDU",1,IF('House Count'!F831="RES-HOA",1,0))),0)</f>
        <v>0</v>
      </c>
      <c r="K831">
        <f>IF('House Count'!H831="Y",IF('House Count'!F831="COMM-SU",1,IF('House Count'!F831="COM-MTU",1,IF('House Count'!F831="ENT",1,0))),0)</f>
        <v>0</v>
      </c>
    </row>
    <row r="832" spans="1:11" x14ac:dyDescent="0.25">
      <c r="H832" s="192"/>
      <c r="I832" s="773"/>
      <c r="J832">
        <f>IF('House Count'!H832="Y",IF('House Count'!F832="RES-SFU",1,IF('House Count'!F832="RES-MDU",1,IF('House Count'!F832="RES-HOA",1,0))),0)</f>
        <v>0</v>
      </c>
      <c r="K832">
        <f>IF('House Count'!H832="Y",IF('House Count'!F832="COMM-SU",1,IF('House Count'!F832="COM-MTU",1,IF('House Count'!F832="ENT",1,0))),0)</f>
        <v>0</v>
      </c>
    </row>
    <row r="833" spans="1:11" x14ac:dyDescent="0.25">
      <c r="H833" s="192"/>
      <c r="I833" s="773"/>
      <c r="J833">
        <f>IF('House Count'!H833="Y",IF('House Count'!F833="RES-SFU",1,IF('House Count'!F833="RES-MDU",1,IF('House Count'!F833="RES-HOA",1,0))),0)</f>
        <v>0</v>
      </c>
      <c r="K833">
        <f>IF('House Count'!H833="Y",IF('House Count'!F833="COMM-SU",1,IF('House Count'!F833="COM-MTU",1,IF('House Count'!F833="ENT",1,0))),0)</f>
        <v>0</v>
      </c>
    </row>
    <row r="834" spans="1:11" x14ac:dyDescent="0.25">
      <c r="H834" s="192"/>
      <c r="I834" s="773"/>
      <c r="J834">
        <f>IF('House Count'!H834="Y",IF('House Count'!F834="RES-SFU",1,IF('House Count'!F834="RES-MDU",1,IF('House Count'!F834="RES-HOA",1,0))),0)</f>
        <v>0</v>
      </c>
      <c r="K834">
        <f>IF('House Count'!H834="Y",IF('House Count'!F834="COMM-SU",1,IF('House Count'!F834="COM-MTU",1,IF('House Count'!F834="ENT",1,0))),0)</f>
        <v>0</v>
      </c>
    </row>
    <row r="835" spans="1:11" x14ac:dyDescent="0.25">
      <c r="H835" s="192"/>
      <c r="I835" s="773"/>
      <c r="J835">
        <f>IF('House Count'!H835="Y",IF('House Count'!F835="RES-SFU",1,IF('House Count'!F835="RES-MDU",1,IF('House Count'!F835="RES-HOA",1,0))),0)</f>
        <v>0</v>
      </c>
      <c r="K835">
        <f>IF('House Count'!H835="Y",IF('House Count'!F835="COMM-SU",1,IF('House Count'!F835="COM-MTU",1,IF('House Count'!F835="ENT",1,0))),0)</f>
        <v>0</v>
      </c>
    </row>
    <row r="836" spans="1:11" x14ac:dyDescent="0.25">
      <c r="H836" s="192"/>
      <c r="I836" s="773"/>
      <c r="J836">
        <f>IF('House Count'!H836="Y",IF('House Count'!F836="RES-SFU",1,IF('House Count'!F836="RES-MDU",1,IF('House Count'!F836="RES-HOA",1,0))),0)</f>
        <v>0</v>
      </c>
      <c r="K836">
        <f>IF('House Count'!H836="Y",IF('House Count'!F836="COMM-SU",1,IF('House Count'!F836="COM-MTU",1,IF('House Count'!F836="ENT",1,0))),0)</f>
        <v>0</v>
      </c>
    </row>
    <row r="837" spans="1:11" x14ac:dyDescent="0.25">
      <c r="H837" s="192"/>
      <c r="I837" s="773"/>
      <c r="J837">
        <f>IF('House Count'!H837="Y",IF('House Count'!F837="RES-SFU",1,IF('House Count'!F837="RES-MDU",1,IF('House Count'!F837="RES-HOA",1,0))),0)</f>
        <v>0</v>
      </c>
      <c r="K837">
        <f>IF('House Count'!H837="Y",IF('House Count'!F837="COMM-SU",1,IF('House Count'!F837="COM-MTU",1,IF('House Count'!F837="ENT",1,0))),0)</f>
        <v>0</v>
      </c>
    </row>
    <row r="838" spans="1:11" x14ac:dyDescent="0.25">
      <c r="H838" s="192"/>
      <c r="I838" s="773"/>
      <c r="J838">
        <f>IF('House Count'!H838="Y",IF('House Count'!F838="RES-SFU",1,IF('House Count'!F838="RES-MDU",1,IF('House Count'!F838="RES-HOA",1,0))),0)</f>
        <v>0</v>
      </c>
      <c r="K838">
        <f>IF('House Count'!H838="Y",IF('House Count'!F838="COMM-SU",1,IF('House Count'!F838="COM-MTU",1,IF('House Count'!F838="ENT",1,0))),0)</f>
        <v>0</v>
      </c>
    </row>
    <row r="839" spans="1:11" x14ac:dyDescent="0.25">
      <c r="H839" s="192"/>
      <c r="I839" s="773"/>
      <c r="J839">
        <f>IF('House Count'!H839="Y",IF('House Count'!F839="RES-SFU",1,IF('House Count'!F839="RES-MDU",1,IF('House Count'!F839="RES-HOA",1,0))),0)</f>
        <v>0</v>
      </c>
      <c r="K839">
        <f>IF('House Count'!H839="Y",IF('House Count'!F839="COMM-SU",1,IF('House Count'!F839="COM-MTU",1,IF('House Count'!F839="ENT",1,0))),0)</f>
        <v>0</v>
      </c>
    </row>
    <row r="840" spans="1:11" x14ac:dyDescent="0.25">
      <c r="H840" s="192"/>
      <c r="I840" s="773"/>
      <c r="J840">
        <f>IF('House Count'!H840="Y",IF('House Count'!F840="RES-SFU",1,IF('House Count'!F840="RES-MDU",1,IF('House Count'!F840="RES-HOA",1,0))),0)</f>
        <v>0</v>
      </c>
      <c r="K840">
        <f>IF('House Count'!H840="Y",IF('House Count'!F840="COMM-SU",1,IF('House Count'!F840="COM-MTU",1,IF('House Count'!F840="ENT",1,0))),0)</f>
        <v>0</v>
      </c>
    </row>
    <row r="841" spans="1:11" ht="15.75" thickBot="1" x14ac:dyDescent="0.3">
      <c r="A841" s="774"/>
      <c r="B841" s="774"/>
      <c r="C841" s="774"/>
      <c r="D841" s="774"/>
      <c r="E841" s="774"/>
      <c r="F841" s="774"/>
      <c r="G841" s="774"/>
      <c r="H841" s="774"/>
      <c r="I841" s="775"/>
      <c r="J841">
        <f>IF('House Count'!H841="Y",IF('House Count'!F841="RES-SFU",1,IF('House Count'!F841="RES-MDU",1,IF('House Count'!F841="RES-HOA",1,0))),0)</f>
        <v>0</v>
      </c>
      <c r="K841">
        <f>IF('House Count'!H841="Y",IF('House Count'!F841="COMM-SU",1,IF('House Count'!F841="COM-MTU",1,IF('House Count'!F841="ENT",1,0))),0)</f>
        <v>0</v>
      </c>
    </row>
    <row r="842" spans="1:11" ht="15.75" thickTop="1" x14ac:dyDescent="0.25">
      <c r="H842" s="192"/>
      <c r="I842" s="773"/>
      <c r="J842">
        <f>IF('House Count'!H842="Y",IF('House Count'!F842="RES-SFU",1,IF('House Count'!F842="RES-MDU",1,IF('House Count'!F842="RES-HOA",1,0))),0)</f>
        <v>0</v>
      </c>
      <c r="K842">
        <f>IF('House Count'!H842="Y",IF('House Count'!F842="COMM-SU",1,IF('House Count'!F842="COM-MTU",1,IF('House Count'!F842="ENT",1,0))),0)</f>
        <v>0</v>
      </c>
    </row>
    <row r="843" spans="1:11" x14ac:dyDescent="0.25">
      <c r="H843" s="192"/>
      <c r="I843" s="773"/>
      <c r="J843">
        <f>IF('House Count'!H843="Y",IF('House Count'!F843="RES-SFU",1,IF('House Count'!F843="RES-MDU",1,IF('House Count'!F843="RES-HOA",1,0))),0)</f>
        <v>0</v>
      </c>
      <c r="K843">
        <f>IF('House Count'!H843="Y",IF('House Count'!F843="COMM-SU",1,IF('House Count'!F843="COM-MTU",1,IF('House Count'!F843="ENT",1,0))),0)</f>
        <v>0</v>
      </c>
    </row>
    <row r="844" spans="1:11" x14ac:dyDescent="0.25">
      <c r="H844" s="192"/>
      <c r="I844" s="773"/>
      <c r="J844">
        <f>IF('House Count'!H844="Y",IF('House Count'!F844="RES-SFU",1,IF('House Count'!F844="RES-MDU",1,IF('House Count'!F844="RES-HOA",1,0))),0)</f>
        <v>0</v>
      </c>
      <c r="K844">
        <f>IF('House Count'!H844="Y",IF('House Count'!F844="COMM-SU",1,IF('House Count'!F844="COM-MTU",1,IF('House Count'!F844="ENT",1,0))),0)</f>
        <v>0</v>
      </c>
    </row>
    <row r="845" spans="1:11" x14ac:dyDescent="0.25">
      <c r="H845" s="192"/>
      <c r="I845" s="773"/>
      <c r="J845">
        <f>IF('House Count'!H845="Y",IF('House Count'!F845="RES-SFU",1,IF('House Count'!F845="RES-MDU",1,IF('House Count'!F845="RES-HOA",1,0))),0)</f>
        <v>0</v>
      </c>
      <c r="K845">
        <f>IF('House Count'!H845="Y",IF('House Count'!F845="COMM-SU",1,IF('House Count'!F845="COM-MTU",1,IF('House Count'!F845="ENT",1,0))),0)</f>
        <v>0</v>
      </c>
    </row>
    <row r="846" spans="1:11" x14ac:dyDescent="0.25">
      <c r="H846" s="192"/>
      <c r="I846" s="773"/>
      <c r="J846">
        <f>IF('House Count'!H846="Y",IF('House Count'!F846="RES-SFU",1,IF('House Count'!F846="RES-MDU",1,IF('House Count'!F846="RES-HOA",1,0))),0)</f>
        <v>0</v>
      </c>
      <c r="K846">
        <f>IF('House Count'!H846="Y",IF('House Count'!F846="COMM-SU",1,IF('House Count'!F846="COM-MTU",1,IF('House Count'!F846="ENT",1,0))),0)</f>
        <v>0</v>
      </c>
    </row>
    <row r="847" spans="1:11" x14ac:dyDescent="0.25">
      <c r="H847" s="192"/>
      <c r="I847" s="773"/>
      <c r="J847">
        <f>IF('House Count'!H847="Y",IF('House Count'!F847="RES-SFU",1,IF('House Count'!F847="RES-MDU",1,IF('House Count'!F847="RES-HOA",1,0))),0)</f>
        <v>0</v>
      </c>
      <c r="K847">
        <f>IF('House Count'!H847="Y",IF('House Count'!F847="COMM-SU",1,IF('House Count'!F847="COM-MTU",1,IF('House Count'!F847="ENT",1,0))),0)</f>
        <v>0</v>
      </c>
    </row>
    <row r="848" spans="1:11" x14ac:dyDescent="0.25">
      <c r="H848" s="192"/>
      <c r="I848" s="773"/>
      <c r="J848">
        <f>IF('House Count'!H848="Y",IF('House Count'!F848="RES-SFU",1,IF('House Count'!F848="RES-MDU",1,IF('House Count'!F848="RES-HOA",1,0))),0)</f>
        <v>0</v>
      </c>
      <c r="K848">
        <f>IF('House Count'!H848="Y",IF('House Count'!F848="COMM-SU",1,IF('House Count'!F848="COM-MTU",1,IF('House Count'!F848="ENT",1,0))),0)</f>
        <v>0</v>
      </c>
    </row>
    <row r="849" spans="1:11" x14ac:dyDescent="0.25">
      <c r="H849" s="192"/>
      <c r="I849" s="773"/>
      <c r="J849">
        <f>IF('House Count'!H849="Y",IF('House Count'!F849="RES-SFU",1,IF('House Count'!F849="RES-MDU",1,IF('House Count'!F849="RES-HOA",1,0))),0)</f>
        <v>0</v>
      </c>
      <c r="K849">
        <f>IF('House Count'!H849="Y",IF('House Count'!F849="COMM-SU",1,IF('House Count'!F849="COM-MTU",1,IF('House Count'!F849="ENT",1,0))),0)</f>
        <v>0</v>
      </c>
    </row>
    <row r="850" spans="1:11" x14ac:dyDescent="0.25">
      <c r="H850" s="192"/>
      <c r="I850" s="773"/>
      <c r="J850">
        <f>IF('House Count'!H850="Y",IF('House Count'!F850="RES-SFU",1,IF('House Count'!F850="RES-MDU",1,IF('House Count'!F850="RES-HOA",1,0))),0)</f>
        <v>0</v>
      </c>
      <c r="K850">
        <f>IF('House Count'!H850="Y",IF('House Count'!F850="COMM-SU",1,IF('House Count'!F850="COM-MTU",1,IF('House Count'!F850="ENT",1,0))),0)</f>
        <v>0</v>
      </c>
    </row>
    <row r="851" spans="1:11" x14ac:dyDescent="0.25">
      <c r="H851" s="192"/>
      <c r="I851" s="773"/>
      <c r="J851">
        <f>IF('House Count'!H851="Y",IF('House Count'!F851="RES-SFU",1,IF('House Count'!F851="RES-MDU",1,IF('House Count'!F851="RES-HOA",1,0))),0)</f>
        <v>0</v>
      </c>
      <c r="K851">
        <f>IF('House Count'!H851="Y",IF('House Count'!F851="COMM-SU",1,IF('House Count'!F851="COM-MTU",1,IF('House Count'!F851="ENT",1,0))),0)</f>
        <v>0</v>
      </c>
    </row>
    <row r="852" spans="1:11" x14ac:dyDescent="0.25">
      <c r="H852" s="192"/>
      <c r="I852" s="773"/>
      <c r="J852">
        <f>IF('House Count'!H852="Y",IF('House Count'!F852="RES-SFU",1,IF('House Count'!F852="RES-MDU",1,IF('House Count'!F852="RES-HOA",1,0))),0)</f>
        <v>0</v>
      </c>
      <c r="K852">
        <f>IF('House Count'!H852="Y",IF('House Count'!F852="COMM-SU",1,IF('House Count'!F852="COM-MTU",1,IF('House Count'!F852="ENT",1,0))),0)</f>
        <v>0</v>
      </c>
    </row>
    <row r="853" spans="1:11" ht="15.75" thickBot="1" x14ac:dyDescent="0.3">
      <c r="A853" s="774"/>
      <c r="B853" s="774"/>
      <c r="C853" s="774"/>
      <c r="D853" s="774"/>
      <c r="E853" s="774"/>
      <c r="F853" s="774"/>
      <c r="G853" s="774"/>
      <c r="H853" s="774"/>
      <c r="I853" s="775"/>
      <c r="J853">
        <f>IF('House Count'!H853="Y",IF('House Count'!F853="RES-SFU",1,IF('House Count'!F853="RES-MDU",1,IF('House Count'!F853="RES-HOA",1,0))),0)</f>
        <v>0</v>
      </c>
      <c r="K853">
        <f>IF('House Count'!H853="Y",IF('House Count'!F853="COMM-SU",1,IF('House Count'!F853="COM-MTU",1,IF('House Count'!F853="ENT",1,0))),0)</f>
        <v>0</v>
      </c>
    </row>
    <row r="854" spans="1:11" ht="15.75" thickTop="1" x14ac:dyDescent="0.25">
      <c r="H854" s="192"/>
      <c r="I854" s="773"/>
      <c r="J854">
        <f>IF('House Count'!H854="Y",IF('House Count'!F854="RES-SFU",1,IF('House Count'!F854="RES-MDU",1,IF('House Count'!F854="RES-HOA",1,0))),0)</f>
        <v>0</v>
      </c>
      <c r="K854">
        <f>IF('House Count'!H854="Y",IF('House Count'!F854="COMM-SU",1,IF('House Count'!F854="COM-MTU",1,IF('House Count'!F854="ENT",1,0))),0)</f>
        <v>0</v>
      </c>
    </row>
    <row r="855" spans="1:11" x14ac:dyDescent="0.25">
      <c r="H855" s="192"/>
      <c r="I855" s="773"/>
      <c r="J855">
        <f>IF('House Count'!H855="Y",IF('House Count'!F855="RES-SFU",1,IF('House Count'!F855="RES-MDU",1,IF('House Count'!F855="RES-HOA",1,0))),0)</f>
        <v>0</v>
      </c>
      <c r="K855">
        <f>IF('House Count'!H855="Y",IF('House Count'!F855="COMM-SU",1,IF('House Count'!F855="COM-MTU",1,IF('House Count'!F855="ENT",1,0))),0)</f>
        <v>0</v>
      </c>
    </row>
    <row r="856" spans="1:11" x14ac:dyDescent="0.25">
      <c r="H856" s="192"/>
      <c r="I856" s="773"/>
      <c r="J856">
        <f>IF('House Count'!H856="Y",IF('House Count'!F856="RES-SFU",1,IF('House Count'!F856="RES-MDU",1,IF('House Count'!F856="RES-HOA",1,0))),0)</f>
        <v>0</v>
      </c>
      <c r="K856">
        <f>IF('House Count'!H856="Y",IF('House Count'!F856="COMM-SU",1,IF('House Count'!F856="COM-MTU",1,IF('House Count'!F856="ENT",1,0))),0)</f>
        <v>0</v>
      </c>
    </row>
    <row r="857" spans="1:11" x14ac:dyDescent="0.25">
      <c r="H857" s="192"/>
      <c r="I857" s="773"/>
      <c r="J857">
        <f>IF('House Count'!H857="Y",IF('House Count'!F857="RES-SFU",1,IF('House Count'!F857="RES-MDU",1,IF('House Count'!F857="RES-HOA",1,0))),0)</f>
        <v>0</v>
      </c>
      <c r="K857">
        <f>IF('House Count'!H857="Y",IF('House Count'!F857="COMM-SU",1,IF('House Count'!F857="COM-MTU",1,IF('House Count'!F857="ENT",1,0))),0)</f>
        <v>0</v>
      </c>
    </row>
    <row r="858" spans="1:11" x14ac:dyDescent="0.25">
      <c r="H858" s="192"/>
      <c r="I858" s="773"/>
      <c r="J858">
        <f>IF('House Count'!H858="Y",IF('House Count'!F858="RES-SFU",1,IF('House Count'!F858="RES-MDU",1,IF('House Count'!F858="RES-HOA",1,0))),0)</f>
        <v>0</v>
      </c>
      <c r="K858">
        <f>IF('House Count'!H858="Y",IF('House Count'!F858="COMM-SU",1,IF('House Count'!F858="COM-MTU",1,IF('House Count'!F858="ENT",1,0))),0)</f>
        <v>0</v>
      </c>
    </row>
    <row r="859" spans="1:11" x14ac:dyDescent="0.25">
      <c r="H859" s="192"/>
      <c r="I859" s="773"/>
      <c r="J859">
        <f>IF('House Count'!H859="Y",IF('House Count'!F859="RES-SFU",1,IF('House Count'!F859="RES-MDU",1,IF('House Count'!F859="RES-HOA",1,0))),0)</f>
        <v>0</v>
      </c>
      <c r="K859">
        <f>IF('House Count'!H859="Y",IF('House Count'!F859="COMM-SU",1,IF('House Count'!F859="COM-MTU",1,IF('House Count'!F859="ENT",1,0))),0)</f>
        <v>0</v>
      </c>
    </row>
    <row r="860" spans="1:11" x14ac:dyDescent="0.25">
      <c r="H860" s="192"/>
      <c r="I860" s="773"/>
      <c r="J860">
        <f>IF('House Count'!H860="Y",IF('House Count'!F860="RES-SFU",1,IF('House Count'!F860="RES-MDU",1,IF('House Count'!F860="RES-HOA",1,0))),0)</f>
        <v>0</v>
      </c>
      <c r="K860">
        <f>IF('House Count'!H860="Y",IF('House Count'!F860="COMM-SU",1,IF('House Count'!F860="COM-MTU",1,IF('House Count'!F860="ENT",1,0))),0)</f>
        <v>0</v>
      </c>
    </row>
    <row r="861" spans="1:11" x14ac:dyDescent="0.25">
      <c r="H861" s="192"/>
      <c r="I861" s="773"/>
      <c r="J861">
        <f>IF('House Count'!H861="Y",IF('House Count'!F861="RES-SFU",1,IF('House Count'!F861="RES-MDU",1,IF('House Count'!F861="RES-HOA",1,0))),0)</f>
        <v>0</v>
      </c>
      <c r="K861">
        <f>IF('House Count'!H861="Y",IF('House Count'!F861="COMM-SU",1,IF('House Count'!F861="COM-MTU",1,IF('House Count'!F861="ENT",1,0))),0)</f>
        <v>0</v>
      </c>
    </row>
    <row r="862" spans="1:11" x14ac:dyDescent="0.25">
      <c r="H862" s="192"/>
      <c r="I862" s="773"/>
      <c r="J862">
        <f>IF('House Count'!H862="Y",IF('House Count'!F862="RES-SFU",1,IF('House Count'!F862="RES-MDU",1,IF('House Count'!F862="RES-HOA",1,0))),0)</f>
        <v>0</v>
      </c>
      <c r="K862">
        <f>IF('House Count'!H862="Y",IF('House Count'!F862="COMM-SU",1,IF('House Count'!F862="COM-MTU",1,IF('House Count'!F862="ENT",1,0))),0)</f>
        <v>0</v>
      </c>
    </row>
    <row r="863" spans="1:11" x14ac:dyDescent="0.25">
      <c r="H863" s="192"/>
      <c r="I863" s="773"/>
      <c r="J863">
        <f>IF('House Count'!H863="Y",IF('House Count'!F863="RES-SFU",1,IF('House Count'!F863="RES-MDU",1,IF('House Count'!F863="RES-HOA",1,0))),0)</f>
        <v>0</v>
      </c>
      <c r="K863">
        <f>IF('House Count'!H863="Y",IF('House Count'!F863="COMM-SU",1,IF('House Count'!F863="COM-MTU",1,IF('House Count'!F863="ENT",1,0))),0)</f>
        <v>0</v>
      </c>
    </row>
    <row r="864" spans="1:11" x14ac:dyDescent="0.25">
      <c r="H864" s="192"/>
      <c r="I864" s="773"/>
      <c r="J864">
        <f>IF('House Count'!H864="Y",IF('House Count'!F864="RES-SFU",1,IF('House Count'!F864="RES-MDU",1,IF('House Count'!F864="RES-HOA",1,0))),0)</f>
        <v>0</v>
      </c>
      <c r="K864">
        <f>IF('House Count'!H864="Y",IF('House Count'!F864="COMM-SU",1,IF('House Count'!F864="COM-MTU",1,IF('House Count'!F864="ENT",1,0))),0)</f>
        <v>0</v>
      </c>
    </row>
    <row r="865" spans="1:11" ht="15.75" thickBot="1" x14ac:dyDescent="0.3">
      <c r="A865" s="774"/>
      <c r="B865" s="774"/>
      <c r="C865" s="774"/>
      <c r="D865" s="774"/>
      <c r="E865" s="774"/>
      <c r="F865" s="774"/>
      <c r="G865" s="774"/>
      <c r="H865" s="774"/>
      <c r="I865" s="775"/>
      <c r="J865">
        <f>IF('House Count'!H865="Y",IF('House Count'!F865="RES-SFU",1,IF('House Count'!F865="RES-MDU",1,IF('House Count'!F865="RES-HOA",1,0))),0)</f>
        <v>0</v>
      </c>
      <c r="K865">
        <f>IF('House Count'!H865="Y",IF('House Count'!F865="COMM-SU",1,IF('House Count'!F865="COM-MTU",1,IF('House Count'!F865="ENT",1,0))),0)</f>
        <v>0</v>
      </c>
    </row>
    <row r="866" spans="1:11" ht="15.75" thickTop="1" x14ac:dyDescent="0.25">
      <c r="H866" s="192"/>
      <c r="I866" s="773"/>
      <c r="J866">
        <f>IF('House Count'!H866="Y",IF('House Count'!F866="RES-SFU",1,IF('House Count'!F866="RES-MDU",1,IF('House Count'!F866="RES-HOA",1,0))),0)</f>
        <v>0</v>
      </c>
      <c r="K866">
        <f>IF('House Count'!H866="Y",IF('House Count'!F866="COMM-SU",1,IF('House Count'!F866="COM-MTU",1,IF('House Count'!F866="ENT",1,0))),0)</f>
        <v>0</v>
      </c>
    </row>
    <row r="867" spans="1:11" x14ac:dyDescent="0.25">
      <c r="H867" s="192"/>
      <c r="I867" s="773"/>
      <c r="J867">
        <f>IF('House Count'!H867="Y",IF('House Count'!F867="RES-SFU",1,IF('House Count'!F867="RES-MDU",1,IF('House Count'!F867="RES-HOA",1,0))),0)</f>
        <v>0</v>
      </c>
      <c r="K867">
        <f>IF('House Count'!H867="Y",IF('House Count'!F867="COMM-SU",1,IF('House Count'!F867="COM-MTU",1,IF('House Count'!F867="ENT",1,0))),0)</f>
        <v>0</v>
      </c>
    </row>
    <row r="868" spans="1:11" x14ac:dyDescent="0.25">
      <c r="H868" s="192"/>
      <c r="I868" s="773"/>
      <c r="J868">
        <f>IF('House Count'!H868="Y",IF('House Count'!F868="RES-SFU",1,IF('House Count'!F868="RES-MDU",1,IF('House Count'!F868="RES-HOA",1,0))),0)</f>
        <v>0</v>
      </c>
      <c r="K868">
        <f>IF('House Count'!H868="Y",IF('House Count'!F868="COMM-SU",1,IF('House Count'!F868="COM-MTU",1,IF('House Count'!F868="ENT",1,0))),0)</f>
        <v>0</v>
      </c>
    </row>
    <row r="869" spans="1:11" x14ac:dyDescent="0.25">
      <c r="H869" s="192"/>
      <c r="I869" s="773"/>
      <c r="J869">
        <f>IF('House Count'!H869="Y",IF('House Count'!F869="RES-SFU",1,IF('House Count'!F869="RES-MDU",1,IF('House Count'!F869="RES-HOA",1,0))),0)</f>
        <v>0</v>
      </c>
      <c r="K869">
        <f>IF('House Count'!H869="Y",IF('House Count'!F869="COMM-SU",1,IF('House Count'!F869="COM-MTU",1,IF('House Count'!F869="ENT",1,0))),0)</f>
        <v>0</v>
      </c>
    </row>
    <row r="870" spans="1:11" x14ac:dyDescent="0.25">
      <c r="H870" s="192"/>
      <c r="I870" s="773"/>
      <c r="J870">
        <f>IF('House Count'!H870="Y",IF('House Count'!F870="RES-SFU",1,IF('House Count'!F870="RES-MDU",1,IF('House Count'!F870="RES-HOA",1,0))),0)</f>
        <v>0</v>
      </c>
      <c r="K870">
        <f>IF('House Count'!H870="Y",IF('House Count'!F870="COMM-SU",1,IF('House Count'!F870="COM-MTU",1,IF('House Count'!F870="ENT",1,0))),0)</f>
        <v>0</v>
      </c>
    </row>
    <row r="871" spans="1:11" x14ac:dyDescent="0.25">
      <c r="H871" s="192"/>
      <c r="I871" s="773"/>
      <c r="J871">
        <f>IF('House Count'!H871="Y",IF('House Count'!F871="RES-SFU",1,IF('House Count'!F871="RES-MDU",1,IF('House Count'!F871="RES-HOA",1,0))),0)</f>
        <v>0</v>
      </c>
      <c r="K871">
        <f>IF('House Count'!H871="Y",IF('House Count'!F871="COMM-SU",1,IF('House Count'!F871="COM-MTU",1,IF('House Count'!F871="ENT",1,0))),0)</f>
        <v>0</v>
      </c>
    </row>
    <row r="872" spans="1:11" x14ac:dyDescent="0.25">
      <c r="H872" s="192"/>
      <c r="I872" s="773"/>
      <c r="J872">
        <f>IF('House Count'!H872="Y",IF('House Count'!F872="RES-SFU",1,IF('House Count'!F872="RES-MDU",1,IF('House Count'!F872="RES-HOA",1,0))),0)</f>
        <v>0</v>
      </c>
      <c r="K872">
        <f>IF('House Count'!H872="Y",IF('House Count'!F872="COMM-SU",1,IF('House Count'!F872="COM-MTU",1,IF('House Count'!F872="ENT",1,0))),0)</f>
        <v>0</v>
      </c>
    </row>
    <row r="873" spans="1:11" x14ac:dyDescent="0.25">
      <c r="H873" s="192"/>
      <c r="I873" s="773"/>
      <c r="J873">
        <f>IF('House Count'!H873="Y",IF('House Count'!F873="RES-SFU",1,IF('House Count'!F873="RES-MDU",1,IF('House Count'!F873="RES-HOA",1,0))),0)</f>
        <v>0</v>
      </c>
      <c r="K873">
        <f>IF('House Count'!H873="Y",IF('House Count'!F873="COMM-SU",1,IF('House Count'!F873="COM-MTU",1,IF('House Count'!F873="ENT",1,0))),0)</f>
        <v>0</v>
      </c>
    </row>
    <row r="874" spans="1:11" x14ac:dyDescent="0.25">
      <c r="H874" s="192"/>
      <c r="I874" s="773"/>
      <c r="J874">
        <f>IF('House Count'!H874="Y",IF('House Count'!F874="RES-SFU",1,IF('House Count'!F874="RES-MDU",1,IF('House Count'!F874="RES-HOA",1,0))),0)</f>
        <v>0</v>
      </c>
      <c r="K874">
        <f>IF('House Count'!H874="Y",IF('House Count'!F874="COMM-SU",1,IF('House Count'!F874="COM-MTU",1,IF('House Count'!F874="ENT",1,0))),0)</f>
        <v>0</v>
      </c>
    </row>
    <row r="875" spans="1:11" x14ac:dyDescent="0.25">
      <c r="H875" s="192"/>
      <c r="I875" s="773"/>
      <c r="J875">
        <f>IF('House Count'!H875="Y",IF('House Count'!F875="RES-SFU",1,IF('House Count'!F875="RES-MDU",1,IF('House Count'!F875="RES-HOA",1,0))),0)</f>
        <v>0</v>
      </c>
      <c r="K875">
        <f>IF('House Count'!H875="Y",IF('House Count'!F875="COMM-SU",1,IF('House Count'!F875="COM-MTU",1,IF('House Count'!F875="ENT",1,0))),0)</f>
        <v>0</v>
      </c>
    </row>
    <row r="876" spans="1:11" x14ac:dyDescent="0.25">
      <c r="H876" s="192"/>
      <c r="I876" s="773"/>
      <c r="J876">
        <f>IF('House Count'!H876="Y",IF('House Count'!F876="RES-SFU",1,IF('House Count'!F876="RES-MDU",1,IF('House Count'!F876="RES-HOA",1,0))),0)</f>
        <v>0</v>
      </c>
      <c r="K876">
        <f>IF('House Count'!H876="Y",IF('House Count'!F876="COMM-SU",1,IF('House Count'!F876="COM-MTU",1,IF('House Count'!F876="ENT",1,0))),0)</f>
        <v>0</v>
      </c>
    </row>
    <row r="877" spans="1:11" ht="15.75" thickBot="1" x14ac:dyDescent="0.3">
      <c r="A877" s="774"/>
      <c r="B877" s="774"/>
      <c r="C877" s="774"/>
      <c r="D877" s="774"/>
      <c r="E877" s="774"/>
      <c r="F877" s="774"/>
      <c r="G877" s="774"/>
      <c r="H877" s="774"/>
      <c r="I877" s="775"/>
      <c r="J877">
        <f>IF('House Count'!H877="Y",IF('House Count'!F877="RES-SFU",1,IF('House Count'!F877="RES-MDU",1,IF('House Count'!F877="RES-HOA",1,0))),0)</f>
        <v>0</v>
      </c>
      <c r="K877">
        <f>IF('House Count'!H877="Y",IF('House Count'!F877="COMM-SU",1,IF('House Count'!F877="COM-MTU",1,IF('House Count'!F877="ENT",1,0))),0)</f>
        <v>0</v>
      </c>
    </row>
    <row r="878" spans="1:11" ht="15.75" thickTop="1" x14ac:dyDescent="0.25">
      <c r="H878" s="192"/>
      <c r="I878" s="773"/>
      <c r="J878">
        <f>IF('House Count'!H878="Y",IF('House Count'!F878="RES-SFU",1,IF('House Count'!F878="RES-MDU",1,IF('House Count'!F878="RES-HOA",1,0))),0)</f>
        <v>0</v>
      </c>
      <c r="K878">
        <f>IF('House Count'!H878="Y",IF('House Count'!F878="COMM-SU",1,IF('House Count'!F878="COM-MTU",1,IF('House Count'!F878="ENT",1,0))),0)</f>
        <v>0</v>
      </c>
    </row>
    <row r="879" spans="1:11" x14ac:dyDescent="0.25">
      <c r="H879" s="192"/>
      <c r="I879" s="773"/>
      <c r="J879">
        <f>IF('House Count'!H879="Y",IF('House Count'!F879="RES-SFU",1,IF('House Count'!F879="RES-MDU",1,IF('House Count'!F879="RES-HOA",1,0))),0)</f>
        <v>0</v>
      </c>
      <c r="K879">
        <f>IF('House Count'!H879="Y",IF('House Count'!F879="COMM-SU",1,IF('House Count'!F879="COM-MTU",1,IF('House Count'!F879="ENT",1,0))),0)</f>
        <v>0</v>
      </c>
    </row>
    <row r="880" spans="1:11" x14ac:dyDescent="0.25">
      <c r="H880" s="192"/>
      <c r="I880" s="773"/>
      <c r="J880">
        <f>IF('House Count'!H880="Y",IF('House Count'!F880="RES-SFU",1,IF('House Count'!F880="RES-MDU",1,IF('House Count'!F880="RES-HOA",1,0))),0)</f>
        <v>0</v>
      </c>
      <c r="K880">
        <f>IF('House Count'!H880="Y",IF('House Count'!F880="COMM-SU",1,IF('House Count'!F880="COM-MTU",1,IF('House Count'!F880="ENT",1,0))),0)</f>
        <v>0</v>
      </c>
    </row>
    <row r="881" spans="1:11" x14ac:dyDescent="0.25">
      <c r="H881" s="192"/>
      <c r="I881" s="773"/>
      <c r="J881">
        <f>IF('House Count'!H881="Y",IF('House Count'!F881="RES-SFU",1,IF('House Count'!F881="RES-MDU",1,IF('House Count'!F881="RES-HOA",1,0))),0)</f>
        <v>0</v>
      </c>
      <c r="K881">
        <f>IF('House Count'!H881="Y",IF('House Count'!F881="COMM-SU",1,IF('House Count'!F881="COM-MTU",1,IF('House Count'!F881="ENT",1,0))),0)</f>
        <v>0</v>
      </c>
    </row>
    <row r="882" spans="1:11" x14ac:dyDescent="0.25">
      <c r="H882" s="192"/>
      <c r="I882" s="773"/>
      <c r="J882">
        <f>IF('House Count'!H882="Y",IF('House Count'!F882="RES-SFU",1,IF('House Count'!F882="RES-MDU",1,IF('House Count'!F882="RES-HOA",1,0))),0)</f>
        <v>0</v>
      </c>
      <c r="K882">
        <f>IF('House Count'!H882="Y",IF('House Count'!F882="COMM-SU",1,IF('House Count'!F882="COM-MTU",1,IF('House Count'!F882="ENT",1,0))),0)</f>
        <v>0</v>
      </c>
    </row>
    <row r="883" spans="1:11" x14ac:dyDescent="0.25">
      <c r="H883" s="192"/>
      <c r="I883" s="773"/>
      <c r="J883">
        <f>IF('House Count'!H883="Y",IF('House Count'!F883="RES-SFU",1,IF('House Count'!F883="RES-MDU",1,IF('House Count'!F883="RES-HOA",1,0))),0)</f>
        <v>0</v>
      </c>
      <c r="K883">
        <f>IF('House Count'!H883="Y",IF('House Count'!F883="COMM-SU",1,IF('House Count'!F883="COM-MTU",1,IF('House Count'!F883="ENT",1,0))),0)</f>
        <v>0</v>
      </c>
    </row>
    <row r="884" spans="1:11" x14ac:dyDescent="0.25">
      <c r="H884" s="192"/>
      <c r="I884" s="773"/>
      <c r="J884">
        <f>IF('House Count'!H884="Y",IF('House Count'!F884="RES-SFU",1,IF('House Count'!F884="RES-MDU",1,IF('House Count'!F884="RES-HOA",1,0))),0)</f>
        <v>0</v>
      </c>
      <c r="K884">
        <f>IF('House Count'!H884="Y",IF('House Count'!F884="COMM-SU",1,IF('House Count'!F884="COM-MTU",1,IF('House Count'!F884="ENT",1,0))),0)</f>
        <v>0</v>
      </c>
    </row>
    <row r="885" spans="1:11" x14ac:dyDescent="0.25">
      <c r="H885" s="192"/>
      <c r="I885" s="773"/>
      <c r="J885">
        <f>IF('House Count'!H885="Y",IF('House Count'!F885="RES-SFU",1,IF('House Count'!F885="RES-MDU",1,IF('House Count'!F885="RES-HOA",1,0))),0)</f>
        <v>0</v>
      </c>
      <c r="K885">
        <f>IF('House Count'!H885="Y",IF('House Count'!F885="COMM-SU",1,IF('House Count'!F885="COM-MTU",1,IF('House Count'!F885="ENT",1,0))),0)</f>
        <v>0</v>
      </c>
    </row>
    <row r="886" spans="1:11" x14ac:dyDescent="0.25">
      <c r="H886" s="192"/>
      <c r="I886" s="773"/>
      <c r="J886">
        <f>IF('House Count'!H886="Y",IF('House Count'!F886="RES-SFU",1,IF('House Count'!F886="RES-MDU",1,IF('House Count'!F886="RES-HOA",1,0))),0)</f>
        <v>0</v>
      </c>
      <c r="K886">
        <f>IF('House Count'!H886="Y",IF('House Count'!F886="COMM-SU",1,IF('House Count'!F886="COM-MTU",1,IF('House Count'!F886="ENT",1,0))),0)</f>
        <v>0</v>
      </c>
    </row>
    <row r="887" spans="1:11" x14ac:dyDescent="0.25">
      <c r="H887" s="192"/>
      <c r="I887" s="773"/>
      <c r="J887">
        <f>IF('House Count'!H887="Y",IF('House Count'!F887="RES-SFU",1,IF('House Count'!F887="RES-MDU",1,IF('House Count'!F887="RES-HOA",1,0))),0)</f>
        <v>0</v>
      </c>
      <c r="K887">
        <f>IF('House Count'!H887="Y",IF('House Count'!F887="COMM-SU",1,IF('House Count'!F887="COM-MTU",1,IF('House Count'!F887="ENT",1,0))),0)</f>
        <v>0</v>
      </c>
    </row>
    <row r="888" spans="1:11" x14ac:dyDescent="0.25">
      <c r="H888" s="192"/>
      <c r="I888" s="773"/>
      <c r="J888">
        <f>IF('House Count'!H888="Y",IF('House Count'!F888="RES-SFU",1,IF('House Count'!F888="RES-MDU",1,IF('House Count'!F888="RES-HOA",1,0))),0)</f>
        <v>0</v>
      </c>
      <c r="K888">
        <f>IF('House Count'!H888="Y",IF('House Count'!F888="COMM-SU",1,IF('House Count'!F888="COM-MTU",1,IF('House Count'!F888="ENT",1,0))),0)</f>
        <v>0</v>
      </c>
    </row>
    <row r="889" spans="1:11" ht="15.75" thickBot="1" x14ac:dyDescent="0.3">
      <c r="A889" s="774"/>
      <c r="B889" s="774"/>
      <c r="C889" s="774"/>
      <c r="D889" s="774"/>
      <c r="E889" s="774"/>
      <c r="F889" s="774"/>
      <c r="G889" s="774"/>
      <c r="H889" s="774"/>
      <c r="I889" s="775"/>
      <c r="J889">
        <f>IF('House Count'!H889="Y",IF('House Count'!F889="RES-SFU",1,IF('House Count'!F889="RES-MDU",1,IF('House Count'!F889="RES-HOA",1,0))),0)</f>
        <v>0</v>
      </c>
      <c r="K889">
        <f>IF('House Count'!H889="Y",IF('House Count'!F889="COMM-SU",1,IF('House Count'!F889="COM-MTU",1,IF('House Count'!F889="ENT",1,0))),0)</f>
        <v>0</v>
      </c>
    </row>
    <row r="890" spans="1:11" ht="15.75" thickTop="1" x14ac:dyDescent="0.25">
      <c r="H890" s="192"/>
      <c r="I890" s="773"/>
      <c r="J890">
        <f>IF('House Count'!H890="Y",IF('House Count'!F890="RES-SFU",1,IF('House Count'!F890="RES-MDU",1,IF('House Count'!F890="RES-HOA",1,0))),0)</f>
        <v>0</v>
      </c>
      <c r="K890">
        <f>IF('House Count'!H890="Y",IF('House Count'!F890="COMM-SU",1,IF('House Count'!F890="COM-MTU",1,IF('House Count'!F890="ENT",1,0))),0)</f>
        <v>0</v>
      </c>
    </row>
    <row r="891" spans="1:11" x14ac:dyDescent="0.25">
      <c r="H891" s="192"/>
      <c r="I891" s="773"/>
      <c r="J891">
        <f>IF('House Count'!H891="Y",IF('House Count'!F891="RES-SFU",1,IF('House Count'!F891="RES-MDU",1,IF('House Count'!F891="RES-HOA",1,0))),0)</f>
        <v>0</v>
      </c>
      <c r="K891">
        <f>IF('House Count'!H891="Y",IF('House Count'!F891="COMM-SU",1,IF('House Count'!F891="COM-MTU",1,IF('House Count'!F891="ENT",1,0))),0)</f>
        <v>0</v>
      </c>
    </row>
    <row r="892" spans="1:11" x14ac:dyDescent="0.25">
      <c r="H892" s="192"/>
      <c r="I892" s="773"/>
      <c r="J892">
        <f>IF('House Count'!H892="Y",IF('House Count'!F892="RES-SFU",1,IF('House Count'!F892="RES-MDU",1,IF('House Count'!F892="RES-HOA",1,0))),0)</f>
        <v>0</v>
      </c>
      <c r="K892">
        <f>IF('House Count'!H892="Y",IF('House Count'!F892="COMM-SU",1,IF('House Count'!F892="COM-MTU",1,IF('House Count'!F892="ENT",1,0))),0)</f>
        <v>0</v>
      </c>
    </row>
    <row r="893" spans="1:11" x14ac:dyDescent="0.25">
      <c r="H893" s="192"/>
      <c r="I893" s="773"/>
      <c r="J893">
        <f>IF('House Count'!H893="Y",IF('House Count'!F893="RES-SFU",1,IF('House Count'!F893="RES-MDU",1,IF('House Count'!F893="RES-HOA",1,0))),0)</f>
        <v>0</v>
      </c>
      <c r="K893">
        <f>IF('House Count'!H893="Y",IF('House Count'!F893="COMM-SU",1,IF('House Count'!F893="COM-MTU",1,IF('House Count'!F893="ENT",1,0))),0)</f>
        <v>0</v>
      </c>
    </row>
    <row r="894" spans="1:11" x14ac:dyDescent="0.25">
      <c r="H894" s="192"/>
      <c r="I894" s="773"/>
      <c r="J894">
        <f>IF('House Count'!H894="Y",IF('House Count'!F894="RES-SFU",1,IF('House Count'!F894="RES-MDU",1,IF('House Count'!F894="RES-HOA",1,0))),0)</f>
        <v>0</v>
      </c>
      <c r="K894">
        <f>IF('House Count'!H894="Y",IF('House Count'!F894="COMM-SU",1,IF('House Count'!F894="COM-MTU",1,IF('House Count'!F894="ENT",1,0))),0)</f>
        <v>0</v>
      </c>
    </row>
    <row r="895" spans="1:11" x14ac:dyDescent="0.25">
      <c r="H895" s="192"/>
      <c r="I895" s="773"/>
      <c r="J895">
        <f>IF('House Count'!H895="Y",IF('House Count'!F895="RES-SFU",1,IF('House Count'!F895="RES-MDU",1,IF('House Count'!F895="RES-HOA",1,0))),0)</f>
        <v>0</v>
      </c>
      <c r="K895">
        <f>IF('House Count'!H895="Y",IF('House Count'!F895="COMM-SU",1,IF('House Count'!F895="COM-MTU",1,IF('House Count'!F895="ENT",1,0))),0)</f>
        <v>0</v>
      </c>
    </row>
    <row r="896" spans="1:11" x14ac:dyDescent="0.25">
      <c r="H896" s="192"/>
      <c r="I896" s="773"/>
      <c r="J896">
        <f>IF('House Count'!H896="Y",IF('House Count'!F896="RES-SFU",1,IF('House Count'!F896="RES-MDU",1,IF('House Count'!F896="RES-HOA",1,0))),0)</f>
        <v>0</v>
      </c>
      <c r="K896">
        <f>IF('House Count'!H896="Y",IF('House Count'!F896="COMM-SU",1,IF('House Count'!F896="COM-MTU",1,IF('House Count'!F896="ENT",1,0))),0)</f>
        <v>0</v>
      </c>
    </row>
    <row r="897" spans="1:11" x14ac:dyDescent="0.25">
      <c r="H897" s="192"/>
      <c r="I897" s="773"/>
      <c r="J897">
        <f>IF('House Count'!H897="Y",IF('House Count'!F897="RES-SFU",1,IF('House Count'!F897="RES-MDU",1,IF('House Count'!F897="RES-HOA",1,0))),0)</f>
        <v>0</v>
      </c>
      <c r="K897">
        <f>IF('House Count'!H897="Y",IF('House Count'!F897="COMM-SU",1,IF('House Count'!F897="COM-MTU",1,IF('House Count'!F897="ENT",1,0))),0)</f>
        <v>0</v>
      </c>
    </row>
    <row r="898" spans="1:11" x14ac:dyDescent="0.25">
      <c r="H898" s="192"/>
      <c r="I898" s="773"/>
      <c r="J898">
        <f>IF('House Count'!H898="Y",IF('House Count'!F898="RES-SFU",1,IF('House Count'!F898="RES-MDU",1,IF('House Count'!F898="RES-HOA",1,0))),0)</f>
        <v>0</v>
      </c>
      <c r="K898">
        <f>IF('House Count'!H898="Y",IF('House Count'!F898="COMM-SU",1,IF('House Count'!F898="COM-MTU",1,IF('House Count'!F898="ENT",1,0))),0)</f>
        <v>0</v>
      </c>
    </row>
    <row r="899" spans="1:11" x14ac:dyDescent="0.25">
      <c r="H899" s="192"/>
      <c r="I899" s="773"/>
      <c r="J899">
        <f>IF('House Count'!H899="Y",IF('House Count'!F899="RES-SFU",1,IF('House Count'!F899="RES-MDU",1,IF('House Count'!F899="RES-HOA",1,0))),0)</f>
        <v>0</v>
      </c>
      <c r="K899">
        <f>IF('House Count'!H899="Y",IF('House Count'!F899="COMM-SU",1,IF('House Count'!F899="COM-MTU",1,IF('House Count'!F899="ENT",1,0))),0)</f>
        <v>0</v>
      </c>
    </row>
    <row r="900" spans="1:11" x14ac:dyDescent="0.25">
      <c r="H900" s="192"/>
      <c r="I900" s="773"/>
      <c r="J900">
        <f>IF('House Count'!H900="Y",IF('House Count'!F900="RES-SFU",1,IF('House Count'!F900="RES-MDU",1,IF('House Count'!F900="RES-HOA",1,0))),0)</f>
        <v>0</v>
      </c>
      <c r="K900">
        <f>IF('House Count'!H900="Y",IF('House Count'!F900="COMM-SU",1,IF('House Count'!F900="COM-MTU",1,IF('House Count'!F900="ENT",1,0))),0)</f>
        <v>0</v>
      </c>
    </row>
    <row r="901" spans="1:11" ht="15.75" thickBot="1" x14ac:dyDescent="0.3">
      <c r="A901" s="774"/>
      <c r="B901" s="774"/>
      <c r="C901" s="774"/>
      <c r="D901" s="774"/>
      <c r="E901" s="774"/>
      <c r="F901" s="774"/>
      <c r="G901" s="774"/>
      <c r="H901" s="774"/>
      <c r="I901" s="775"/>
      <c r="J901">
        <f>IF('House Count'!H901="Y",IF('House Count'!F901="RES-SFU",1,IF('House Count'!F901="RES-MDU",1,IF('House Count'!F901="RES-HOA",1,0))),0)</f>
        <v>0</v>
      </c>
      <c r="K901">
        <f>IF('House Count'!H901="Y",IF('House Count'!F901="COMM-SU",1,IF('House Count'!F901="COM-MTU",1,IF('House Count'!F901="ENT",1,0))),0)</f>
        <v>0</v>
      </c>
    </row>
    <row r="902" spans="1:11" ht="15.75" thickTop="1" x14ac:dyDescent="0.25">
      <c r="H902" s="192"/>
      <c r="I902" s="773"/>
      <c r="J902">
        <f>IF('House Count'!H902="Y",IF('House Count'!F902="RES-SFU",1,IF('House Count'!F902="RES-MDU",1,IF('House Count'!F902="RES-HOA",1,0))),0)</f>
        <v>0</v>
      </c>
      <c r="K902">
        <f>IF('House Count'!H902="Y",IF('House Count'!F902="COMM-SU",1,IF('House Count'!F902="COM-MTU",1,IF('House Count'!F902="ENT",1,0))),0)</f>
        <v>0</v>
      </c>
    </row>
    <row r="903" spans="1:11" x14ac:dyDescent="0.25">
      <c r="H903" s="192"/>
      <c r="I903" s="773"/>
      <c r="J903">
        <f>IF('House Count'!H903="Y",IF('House Count'!F903="RES-SFU",1,IF('House Count'!F903="RES-MDU",1,IF('House Count'!F903="RES-HOA",1,0))),0)</f>
        <v>0</v>
      </c>
      <c r="K903">
        <f>IF('House Count'!H903="Y",IF('House Count'!F903="COMM-SU",1,IF('House Count'!F903="COM-MTU",1,IF('House Count'!F903="ENT",1,0))),0)</f>
        <v>0</v>
      </c>
    </row>
    <row r="904" spans="1:11" x14ac:dyDescent="0.25">
      <c r="H904" s="192"/>
      <c r="I904" s="773"/>
      <c r="J904">
        <f>IF('House Count'!H904="Y",IF('House Count'!F904="RES-SFU",1,IF('House Count'!F904="RES-MDU",1,IF('House Count'!F904="RES-HOA",1,0))),0)</f>
        <v>0</v>
      </c>
      <c r="K904">
        <f>IF('House Count'!H904="Y",IF('House Count'!F904="COMM-SU",1,IF('House Count'!F904="COM-MTU",1,IF('House Count'!F904="ENT",1,0))),0)</f>
        <v>0</v>
      </c>
    </row>
    <row r="905" spans="1:11" x14ac:dyDescent="0.25">
      <c r="H905" s="192"/>
      <c r="I905" s="773"/>
      <c r="J905">
        <f>IF('House Count'!H905="Y",IF('House Count'!F905="RES-SFU",1,IF('House Count'!F905="RES-MDU",1,IF('House Count'!F905="RES-HOA",1,0))),0)</f>
        <v>0</v>
      </c>
      <c r="K905">
        <f>IF('House Count'!H905="Y",IF('House Count'!F905="COMM-SU",1,IF('House Count'!F905="COM-MTU",1,IF('House Count'!F905="ENT",1,0))),0)</f>
        <v>0</v>
      </c>
    </row>
    <row r="906" spans="1:11" x14ac:dyDescent="0.25">
      <c r="H906" s="192"/>
      <c r="I906" s="773"/>
      <c r="J906">
        <f>IF('House Count'!H906="Y",IF('House Count'!F906="RES-SFU",1,IF('House Count'!F906="RES-MDU",1,IF('House Count'!F906="RES-HOA",1,0))),0)</f>
        <v>0</v>
      </c>
      <c r="K906">
        <f>IF('House Count'!H906="Y",IF('House Count'!F906="COMM-SU",1,IF('House Count'!F906="COM-MTU",1,IF('House Count'!F906="ENT",1,0))),0)</f>
        <v>0</v>
      </c>
    </row>
    <row r="907" spans="1:11" x14ac:dyDescent="0.25">
      <c r="H907" s="192"/>
      <c r="I907" s="773"/>
      <c r="J907">
        <f>IF('House Count'!H907="Y",IF('House Count'!F907="RES-SFU",1,IF('House Count'!F907="RES-MDU",1,IF('House Count'!F907="RES-HOA",1,0))),0)</f>
        <v>0</v>
      </c>
      <c r="K907">
        <f>IF('House Count'!H907="Y",IF('House Count'!F907="COMM-SU",1,IF('House Count'!F907="COM-MTU",1,IF('House Count'!F907="ENT",1,0))),0)</f>
        <v>0</v>
      </c>
    </row>
    <row r="908" spans="1:11" x14ac:dyDescent="0.25">
      <c r="H908" s="192"/>
      <c r="I908" s="773"/>
      <c r="J908">
        <f>IF('House Count'!H908="Y",IF('House Count'!F908="RES-SFU",1,IF('House Count'!F908="RES-MDU",1,IF('House Count'!F908="RES-HOA",1,0))),0)</f>
        <v>0</v>
      </c>
      <c r="K908">
        <f>IF('House Count'!H908="Y",IF('House Count'!F908="COMM-SU",1,IF('House Count'!F908="COM-MTU",1,IF('House Count'!F908="ENT",1,0))),0)</f>
        <v>0</v>
      </c>
    </row>
    <row r="909" spans="1:11" x14ac:dyDescent="0.25">
      <c r="H909" s="192"/>
      <c r="I909" s="773"/>
      <c r="J909">
        <f>IF('House Count'!H909="Y",IF('House Count'!F909="RES-SFU",1,IF('House Count'!F909="RES-MDU",1,IF('House Count'!F909="RES-HOA",1,0))),0)</f>
        <v>0</v>
      </c>
      <c r="K909">
        <f>IF('House Count'!H909="Y",IF('House Count'!F909="COMM-SU",1,IF('House Count'!F909="COM-MTU",1,IF('House Count'!F909="ENT",1,0))),0)</f>
        <v>0</v>
      </c>
    </row>
    <row r="910" spans="1:11" x14ac:dyDescent="0.25">
      <c r="H910" s="192"/>
      <c r="I910" s="773"/>
      <c r="J910">
        <f>IF('House Count'!H910="Y",IF('House Count'!F910="RES-SFU",1,IF('House Count'!F910="RES-MDU",1,IF('House Count'!F910="RES-HOA",1,0))),0)</f>
        <v>0</v>
      </c>
      <c r="K910">
        <f>IF('House Count'!H910="Y",IF('House Count'!F910="COMM-SU",1,IF('House Count'!F910="COM-MTU",1,IF('House Count'!F910="ENT",1,0))),0)</f>
        <v>0</v>
      </c>
    </row>
    <row r="911" spans="1:11" x14ac:dyDescent="0.25">
      <c r="H911" s="192"/>
      <c r="I911" s="773"/>
      <c r="J911">
        <f>IF('House Count'!H911="Y",IF('House Count'!F911="RES-SFU",1,IF('House Count'!F911="RES-MDU",1,IF('House Count'!F911="RES-HOA",1,0))),0)</f>
        <v>0</v>
      </c>
      <c r="K911">
        <f>IF('House Count'!H911="Y",IF('House Count'!F911="COMM-SU",1,IF('House Count'!F911="COM-MTU",1,IF('House Count'!F911="ENT",1,0))),0)</f>
        <v>0</v>
      </c>
    </row>
    <row r="912" spans="1:11" x14ac:dyDescent="0.25">
      <c r="H912" s="192"/>
      <c r="I912" s="773"/>
      <c r="J912">
        <f>IF('House Count'!H912="Y",IF('House Count'!F912="RES-SFU",1,IF('House Count'!F912="RES-MDU",1,IF('House Count'!F912="RES-HOA",1,0))),0)</f>
        <v>0</v>
      </c>
      <c r="K912">
        <f>IF('House Count'!H912="Y",IF('House Count'!F912="COMM-SU",1,IF('House Count'!F912="COM-MTU",1,IF('House Count'!F912="ENT",1,0))),0)</f>
        <v>0</v>
      </c>
    </row>
    <row r="913" spans="1:11" ht="15.75" thickBot="1" x14ac:dyDescent="0.3">
      <c r="A913" s="774"/>
      <c r="B913" s="774"/>
      <c r="C913" s="774"/>
      <c r="D913" s="774"/>
      <c r="E913" s="774"/>
      <c r="F913" s="774"/>
      <c r="G913" s="774"/>
      <c r="H913" s="774"/>
      <c r="I913" s="775"/>
      <c r="J913">
        <f>IF('House Count'!H913="Y",IF('House Count'!F913="RES-SFU",1,IF('House Count'!F913="RES-MDU",1,IF('House Count'!F913="RES-HOA",1,0))),0)</f>
        <v>0</v>
      </c>
      <c r="K913">
        <f>IF('House Count'!H913="Y",IF('House Count'!F913="COMM-SU",1,IF('House Count'!F913="COM-MTU",1,IF('House Count'!F913="ENT",1,0))),0)</f>
        <v>0</v>
      </c>
    </row>
    <row r="914" spans="1:11" ht="15.75" thickTop="1" x14ac:dyDescent="0.25">
      <c r="H914" s="192"/>
      <c r="I914" s="773"/>
      <c r="J914">
        <f>IF('House Count'!H914="Y",IF('House Count'!F914="RES-SFU",1,IF('House Count'!F914="RES-MDU",1,IF('House Count'!F914="RES-HOA",1,0))),0)</f>
        <v>0</v>
      </c>
      <c r="K914">
        <f>IF('House Count'!H914="Y",IF('House Count'!F914="COMM-SU",1,IF('House Count'!F914="COM-MTU",1,IF('House Count'!F914="ENT",1,0))),0)</f>
        <v>0</v>
      </c>
    </row>
    <row r="915" spans="1:11" x14ac:dyDescent="0.25">
      <c r="H915" s="192"/>
      <c r="I915" s="773"/>
      <c r="J915">
        <f>IF('House Count'!H915="Y",IF('House Count'!F915="RES-SFU",1,IF('House Count'!F915="RES-MDU",1,IF('House Count'!F915="RES-HOA",1,0))),0)</f>
        <v>0</v>
      </c>
      <c r="K915">
        <f>IF('House Count'!H915="Y",IF('House Count'!F915="COMM-SU",1,IF('House Count'!F915="COM-MTU",1,IF('House Count'!F915="ENT",1,0))),0)</f>
        <v>0</v>
      </c>
    </row>
    <row r="916" spans="1:11" x14ac:dyDescent="0.25">
      <c r="H916" s="192"/>
      <c r="I916" s="773"/>
      <c r="J916">
        <f>IF('House Count'!H916="Y",IF('House Count'!F916="RES-SFU",1,IF('House Count'!F916="RES-MDU",1,IF('House Count'!F916="RES-HOA",1,0))),0)</f>
        <v>0</v>
      </c>
      <c r="K916">
        <f>IF('House Count'!H916="Y",IF('House Count'!F916="COMM-SU",1,IF('House Count'!F916="COM-MTU",1,IF('House Count'!F916="ENT",1,0))),0)</f>
        <v>0</v>
      </c>
    </row>
    <row r="917" spans="1:11" x14ac:dyDescent="0.25">
      <c r="H917" s="192"/>
      <c r="I917" s="773"/>
      <c r="J917">
        <f>IF('House Count'!H917="Y",IF('House Count'!F917="RES-SFU",1,IF('House Count'!F917="RES-MDU",1,IF('House Count'!F917="RES-HOA",1,0))),0)</f>
        <v>0</v>
      </c>
      <c r="K917">
        <f>IF('House Count'!H917="Y",IF('House Count'!F917="COMM-SU",1,IF('House Count'!F917="COM-MTU",1,IF('House Count'!F917="ENT",1,0))),0)</f>
        <v>0</v>
      </c>
    </row>
    <row r="918" spans="1:11" x14ac:dyDescent="0.25">
      <c r="H918" s="192"/>
      <c r="I918" s="773"/>
      <c r="J918">
        <f>IF('House Count'!H918="Y",IF('House Count'!F918="RES-SFU",1,IF('House Count'!F918="RES-MDU",1,IF('House Count'!F918="RES-HOA",1,0))),0)</f>
        <v>0</v>
      </c>
      <c r="K918">
        <f>IF('House Count'!H918="Y",IF('House Count'!F918="COMM-SU",1,IF('House Count'!F918="COM-MTU",1,IF('House Count'!F918="ENT",1,0))),0)</f>
        <v>0</v>
      </c>
    </row>
    <row r="919" spans="1:11" x14ac:dyDescent="0.25">
      <c r="H919" s="192"/>
      <c r="I919" s="773"/>
      <c r="J919">
        <f>IF('House Count'!H919="Y",IF('House Count'!F919="RES-SFU",1,IF('House Count'!F919="RES-MDU",1,IF('House Count'!F919="RES-HOA",1,0))),0)</f>
        <v>0</v>
      </c>
      <c r="K919">
        <f>IF('House Count'!H919="Y",IF('House Count'!F919="COMM-SU",1,IF('House Count'!F919="COM-MTU",1,IF('House Count'!F919="ENT",1,0))),0)</f>
        <v>0</v>
      </c>
    </row>
    <row r="920" spans="1:11" x14ac:dyDescent="0.25">
      <c r="H920" s="192"/>
      <c r="I920" s="773"/>
      <c r="J920">
        <f>IF('House Count'!H920="Y",IF('House Count'!F920="RES-SFU",1,IF('House Count'!F920="RES-MDU",1,IF('House Count'!F920="RES-HOA",1,0))),0)</f>
        <v>0</v>
      </c>
      <c r="K920">
        <f>IF('House Count'!H920="Y",IF('House Count'!F920="COMM-SU",1,IF('House Count'!F920="COM-MTU",1,IF('House Count'!F920="ENT",1,0))),0)</f>
        <v>0</v>
      </c>
    </row>
    <row r="921" spans="1:11" x14ac:dyDescent="0.25">
      <c r="H921" s="192"/>
      <c r="I921" s="773"/>
      <c r="J921">
        <f>IF('House Count'!H921="Y",IF('House Count'!F921="RES-SFU",1,IF('House Count'!F921="RES-MDU",1,IF('House Count'!F921="RES-HOA",1,0))),0)</f>
        <v>0</v>
      </c>
      <c r="K921">
        <f>IF('House Count'!H921="Y",IF('House Count'!F921="COMM-SU",1,IF('House Count'!F921="COM-MTU",1,IF('House Count'!F921="ENT",1,0))),0)</f>
        <v>0</v>
      </c>
    </row>
    <row r="922" spans="1:11" x14ac:dyDescent="0.25">
      <c r="H922" s="192"/>
      <c r="I922" s="773"/>
      <c r="J922">
        <f>IF('House Count'!H922="Y",IF('House Count'!F922="RES-SFU",1,IF('House Count'!F922="RES-MDU",1,IF('House Count'!F922="RES-HOA",1,0))),0)</f>
        <v>0</v>
      </c>
      <c r="K922">
        <f>IF('House Count'!H922="Y",IF('House Count'!F922="COMM-SU",1,IF('House Count'!F922="COM-MTU",1,IF('House Count'!F922="ENT",1,0))),0)</f>
        <v>0</v>
      </c>
    </row>
    <row r="923" spans="1:11" x14ac:dyDescent="0.25">
      <c r="H923" s="192"/>
      <c r="I923" s="773"/>
      <c r="J923">
        <f>IF('House Count'!H923="Y",IF('House Count'!F923="RES-SFU",1,IF('House Count'!F923="RES-MDU",1,IF('House Count'!F923="RES-HOA",1,0))),0)</f>
        <v>0</v>
      </c>
      <c r="K923">
        <f>IF('House Count'!H923="Y",IF('House Count'!F923="COMM-SU",1,IF('House Count'!F923="COM-MTU",1,IF('House Count'!F923="ENT",1,0))),0)</f>
        <v>0</v>
      </c>
    </row>
    <row r="924" spans="1:11" x14ac:dyDescent="0.25">
      <c r="H924" s="192"/>
      <c r="I924" s="773"/>
      <c r="J924">
        <f>IF('House Count'!H924="Y",IF('House Count'!F924="RES-SFU",1,IF('House Count'!F924="RES-MDU",1,IF('House Count'!F924="RES-HOA",1,0))),0)</f>
        <v>0</v>
      </c>
      <c r="K924">
        <f>IF('House Count'!H924="Y",IF('House Count'!F924="COMM-SU",1,IF('House Count'!F924="COM-MTU",1,IF('House Count'!F924="ENT",1,0))),0)</f>
        <v>0</v>
      </c>
    </row>
    <row r="925" spans="1:11" ht="15.75" thickBot="1" x14ac:dyDescent="0.3">
      <c r="A925" s="774"/>
      <c r="B925" s="774"/>
      <c r="C925" s="774"/>
      <c r="D925" s="774"/>
      <c r="E925" s="774"/>
      <c r="F925" s="774"/>
      <c r="G925" s="774"/>
      <c r="H925" s="774"/>
      <c r="I925" s="775"/>
      <c r="J925">
        <f>IF('House Count'!H925="Y",IF('House Count'!F925="RES-SFU",1,IF('House Count'!F925="RES-MDU",1,IF('House Count'!F925="RES-HOA",1,0))),0)</f>
        <v>0</v>
      </c>
      <c r="K925">
        <f>IF('House Count'!H925="Y",IF('House Count'!F925="COMM-SU",1,IF('House Count'!F925="COM-MTU",1,IF('House Count'!F925="ENT",1,0))),0)</f>
        <v>0</v>
      </c>
    </row>
    <row r="926" spans="1:11" ht="15.75" thickTop="1" x14ac:dyDescent="0.25">
      <c r="H926" s="192"/>
      <c r="I926" s="773"/>
      <c r="J926">
        <f>IF('House Count'!H926="Y",IF('House Count'!F926="RES-SFU",1,IF('House Count'!F926="RES-MDU",1,IF('House Count'!F926="RES-HOA",1,0))),0)</f>
        <v>0</v>
      </c>
      <c r="K926">
        <f>IF('House Count'!H926="Y",IF('House Count'!F926="COMM-SU",1,IF('House Count'!F926="COM-MTU",1,IF('House Count'!F926="ENT",1,0))),0)</f>
        <v>0</v>
      </c>
    </row>
    <row r="927" spans="1:11" x14ac:dyDescent="0.25">
      <c r="H927" s="192"/>
      <c r="I927" s="773"/>
      <c r="J927">
        <f>IF('House Count'!H927="Y",IF('House Count'!F927="RES-SFU",1,IF('House Count'!F927="RES-MDU",1,IF('House Count'!F927="RES-HOA",1,0))),0)</f>
        <v>0</v>
      </c>
      <c r="K927">
        <f>IF('House Count'!H927="Y",IF('House Count'!F927="COMM-SU",1,IF('House Count'!F927="COM-MTU",1,IF('House Count'!F927="ENT",1,0))),0)</f>
        <v>0</v>
      </c>
    </row>
    <row r="928" spans="1:11" x14ac:dyDescent="0.25">
      <c r="H928" s="192"/>
      <c r="I928" s="773"/>
      <c r="J928">
        <f>IF('House Count'!H928="Y",IF('House Count'!F928="RES-SFU",1,IF('House Count'!F928="RES-MDU",1,IF('House Count'!F928="RES-HOA",1,0))),0)</f>
        <v>0</v>
      </c>
      <c r="K928">
        <f>IF('House Count'!H928="Y",IF('House Count'!F928="COMM-SU",1,IF('House Count'!F928="COM-MTU",1,IF('House Count'!F928="ENT",1,0))),0)</f>
        <v>0</v>
      </c>
    </row>
    <row r="929" spans="1:11" x14ac:dyDescent="0.25">
      <c r="H929" s="192"/>
      <c r="I929" s="773"/>
      <c r="J929">
        <f>IF('House Count'!H929="Y",IF('House Count'!F929="RES-SFU",1,IF('House Count'!F929="RES-MDU",1,IF('House Count'!F929="RES-HOA",1,0))),0)</f>
        <v>0</v>
      </c>
      <c r="K929">
        <f>IF('House Count'!H929="Y",IF('House Count'!F929="COMM-SU",1,IF('House Count'!F929="COM-MTU",1,IF('House Count'!F929="ENT",1,0))),0)</f>
        <v>0</v>
      </c>
    </row>
    <row r="930" spans="1:11" x14ac:dyDescent="0.25">
      <c r="H930" s="192"/>
      <c r="I930" s="773"/>
      <c r="J930">
        <f>IF('House Count'!H930="Y",IF('House Count'!F930="RES-SFU",1,IF('House Count'!F930="RES-MDU",1,IF('House Count'!F930="RES-HOA",1,0))),0)</f>
        <v>0</v>
      </c>
      <c r="K930">
        <f>IF('House Count'!H930="Y",IF('House Count'!F930="COMM-SU",1,IF('House Count'!F930="COM-MTU",1,IF('House Count'!F930="ENT",1,0))),0)</f>
        <v>0</v>
      </c>
    </row>
    <row r="931" spans="1:11" x14ac:dyDescent="0.25">
      <c r="H931" s="192"/>
      <c r="I931" s="773"/>
      <c r="J931">
        <f>IF('House Count'!H931="Y",IF('House Count'!F931="RES-SFU",1,IF('House Count'!F931="RES-MDU",1,IF('House Count'!F931="RES-HOA",1,0))),0)</f>
        <v>0</v>
      </c>
      <c r="K931">
        <f>IF('House Count'!H931="Y",IF('House Count'!F931="COMM-SU",1,IF('House Count'!F931="COM-MTU",1,IF('House Count'!F931="ENT",1,0))),0)</f>
        <v>0</v>
      </c>
    </row>
    <row r="932" spans="1:11" x14ac:dyDescent="0.25">
      <c r="H932" s="192"/>
      <c r="I932" s="773"/>
      <c r="J932">
        <f>IF('House Count'!H932="Y",IF('House Count'!F932="RES-SFU",1,IF('House Count'!F932="RES-MDU",1,IF('House Count'!F932="RES-HOA",1,0))),0)</f>
        <v>0</v>
      </c>
      <c r="K932">
        <f>IF('House Count'!H932="Y",IF('House Count'!F932="COMM-SU",1,IF('House Count'!F932="COM-MTU",1,IF('House Count'!F932="ENT",1,0))),0)</f>
        <v>0</v>
      </c>
    </row>
    <row r="933" spans="1:11" x14ac:dyDescent="0.25">
      <c r="H933" s="192"/>
      <c r="I933" s="773"/>
      <c r="J933">
        <f>IF('House Count'!H933="Y",IF('House Count'!F933="RES-SFU",1,IF('House Count'!F933="RES-MDU",1,IF('House Count'!F933="RES-HOA",1,0))),0)</f>
        <v>0</v>
      </c>
      <c r="K933">
        <f>IF('House Count'!H933="Y",IF('House Count'!F933="COMM-SU",1,IF('House Count'!F933="COM-MTU",1,IF('House Count'!F933="ENT",1,0))),0)</f>
        <v>0</v>
      </c>
    </row>
    <row r="934" spans="1:11" x14ac:dyDescent="0.25">
      <c r="H934" s="192"/>
      <c r="I934" s="773"/>
      <c r="J934">
        <f>IF('House Count'!H934="Y",IF('House Count'!F934="RES-SFU",1,IF('House Count'!F934="RES-MDU",1,IF('House Count'!F934="RES-HOA",1,0))),0)</f>
        <v>0</v>
      </c>
      <c r="K934">
        <f>IF('House Count'!H934="Y",IF('House Count'!F934="COMM-SU",1,IF('House Count'!F934="COM-MTU",1,IF('House Count'!F934="ENT",1,0))),0)</f>
        <v>0</v>
      </c>
    </row>
    <row r="935" spans="1:11" x14ac:dyDescent="0.25">
      <c r="H935" s="192"/>
      <c r="I935" s="773"/>
      <c r="J935">
        <f>IF('House Count'!H935="Y",IF('House Count'!F935="RES-SFU",1,IF('House Count'!F935="RES-MDU",1,IF('House Count'!F935="RES-HOA",1,0))),0)</f>
        <v>0</v>
      </c>
      <c r="K935">
        <f>IF('House Count'!H935="Y",IF('House Count'!F935="COMM-SU",1,IF('House Count'!F935="COM-MTU",1,IF('House Count'!F935="ENT",1,0))),0)</f>
        <v>0</v>
      </c>
    </row>
    <row r="936" spans="1:11" x14ac:dyDescent="0.25">
      <c r="H936" s="192"/>
      <c r="I936" s="773"/>
      <c r="J936">
        <f>IF('House Count'!H936="Y",IF('House Count'!F936="RES-SFU",1,IF('House Count'!F936="RES-MDU",1,IF('House Count'!F936="RES-HOA",1,0))),0)</f>
        <v>0</v>
      </c>
      <c r="K936">
        <f>IF('House Count'!H936="Y",IF('House Count'!F936="COMM-SU",1,IF('House Count'!F936="COM-MTU",1,IF('House Count'!F936="ENT",1,0))),0)</f>
        <v>0</v>
      </c>
    </row>
    <row r="937" spans="1:11" ht="15.75" thickBot="1" x14ac:dyDescent="0.3">
      <c r="A937" s="774"/>
      <c r="B937" s="774"/>
      <c r="C937" s="774"/>
      <c r="D937" s="774"/>
      <c r="E937" s="774"/>
      <c r="F937" s="774"/>
      <c r="G937" s="774"/>
      <c r="H937" s="774"/>
      <c r="I937" s="775"/>
      <c r="J937">
        <f>IF('House Count'!H937="Y",IF('House Count'!F937="RES-SFU",1,IF('House Count'!F937="RES-MDU",1,IF('House Count'!F937="RES-HOA",1,0))),0)</f>
        <v>0</v>
      </c>
      <c r="K937">
        <f>IF('House Count'!H937="Y",IF('House Count'!F937="COMM-SU",1,IF('House Count'!F937="COM-MTU",1,IF('House Count'!F937="ENT",1,0))),0)</f>
        <v>0</v>
      </c>
    </row>
    <row r="938" spans="1:11" ht="15.75" thickTop="1" x14ac:dyDescent="0.25">
      <c r="H938" s="192"/>
      <c r="I938" s="773"/>
      <c r="J938">
        <f>IF('House Count'!H938="Y",IF('House Count'!F938="RES-SFU",1,IF('House Count'!F938="RES-MDU",1,IF('House Count'!F938="RES-HOA",1,0))),0)</f>
        <v>0</v>
      </c>
      <c r="K938">
        <f>IF('House Count'!H938="Y",IF('House Count'!F938="COMM-SU",1,IF('House Count'!F938="COM-MTU",1,IF('House Count'!F938="ENT",1,0))),0)</f>
        <v>0</v>
      </c>
    </row>
    <row r="939" spans="1:11" x14ac:dyDescent="0.25">
      <c r="H939" s="192"/>
      <c r="I939" s="773"/>
      <c r="J939">
        <f>IF('House Count'!H939="Y",IF('House Count'!F939="RES-SFU",1,IF('House Count'!F939="RES-MDU",1,IF('House Count'!F939="RES-HOA",1,0))),0)</f>
        <v>0</v>
      </c>
      <c r="K939">
        <f>IF('House Count'!H939="Y",IF('House Count'!F939="COMM-SU",1,IF('House Count'!F939="COM-MTU",1,IF('House Count'!F939="ENT",1,0))),0)</f>
        <v>0</v>
      </c>
    </row>
    <row r="940" spans="1:11" x14ac:dyDescent="0.25">
      <c r="H940" s="192"/>
      <c r="I940" s="773"/>
      <c r="J940">
        <f>IF('House Count'!H940="Y",IF('House Count'!F940="RES-SFU",1,IF('House Count'!F940="RES-MDU",1,IF('House Count'!F940="RES-HOA",1,0))),0)</f>
        <v>0</v>
      </c>
      <c r="K940">
        <f>IF('House Count'!H940="Y",IF('House Count'!F940="COMM-SU",1,IF('House Count'!F940="COM-MTU",1,IF('House Count'!F940="ENT",1,0))),0)</f>
        <v>0</v>
      </c>
    </row>
    <row r="941" spans="1:11" x14ac:dyDescent="0.25">
      <c r="H941" s="192"/>
      <c r="I941" s="773"/>
      <c r="J941">
        <f>IF('House Count'!H941="Y",IF('House Count'!F941="RES-SFU",1,IF('House Count'!F941="RES-MDU",1,IF('House Count'!F941="RES-HOA",1,0))),0)</f>
        <v>0</v>
      </c>
      <c r="K941">
        <f>IF('House Count'!H941="Y",IF('House Count'!F941="COMM-SU",1,IF('House Count'!F941="COM-MTU",1,IF('House Count'!F941="ENT",1,0))),0)</f>
        <v>0</v>
      </c>
    </row>
    <row r="942" spans="1:11" x14ac:dyDescent="0.25">
      <c r="H942" s="192"/>
      <c r="I942" s="773"/>
      <c r="J942">
        <f>IF('House Count'!H942="Y",IF('House Count'!F942="RES-SFU",1,IF('House Count'!F942="RES-MDU",1,IF('House Count'!F942="RES-HOA",1,0))),0)</f>
        <v>0</v>
      </c>
      <c r="K942">
        <f>IF('House Count'!H942="Y",IF('House Count'!F942="COMM-SU",1,IF('House Count'!F942="COM-MTU",1,IF('House Count'!F942="ENT",1,0))),0)</f>
        <v>0</v>
      </c>
    </row>
    <row r="943" spans="1:11" x14ac:dyDescent="0.25">
      <c r="H943" s="192"/>
      <c r="I943" s="773"/>
      <c r="J943">
        <f>IF('House Count'!H943="Y",IF('House Count'!F943="RES-SFU",1,IF('House Count'!F943="RES-MDU",1,IF('House Count'!F943="RES-HOA",1,0))),0)</f>
        <v>0</v>
      </c>
      <c r="K943">
        <f>IF('House Count'!H943="Y",IF('House Count'!F943="COMM-SU",1,IF('House Count'!F943="COM-MTU",1,IF('House Count'!F943="ENT",1,0))),0)</f>
        <v>0</v>
      </c>
    </row>
    <row r="944" spans="1:11" x14ac:dyDescent="0.25">
      <c r="H944" s="192"/>
      <c r="I944" s="773"/>
      <c r="J944">
        <f>IF('House Count'!H944="Y",IF('House Count'!F944="RES-SFU",1,IF('House Count'!F944="RES-MDU",1,IF('House Count'!F944="RES-HOA",1,0))),0)</f>
        <v>0</v>
      </c>
      <c r="K944">
        <f>IF('House Count'!H944="Y",IF('House Count'!F944="COMM-SU",1,IF('House Count'!F944="COM-MTU",1,IF('House Count'!F944="ENT",1,0))),0)</f>
        <v>0</v>
      </c>
    </row>
    <row r="945" spans="1:11" x14ac:dyDescent="0.25">
      <c r="H945" s="192"/>
      <c r="I945" s="773"/>
      <c r="J945">
        <f>IF('House Count'!H945="Y",IF('House Count'!F945="RES-SFU",1,IF('House Count'!F945="RES-MDU",1,IF('House Count'!F945="RES-HOA",1,0))),0)</f>
        <v>0</v>
      </c>
      <c r="K945">
        <f>IF('House Count'!H945="Y",IF('House Count'!F945="COMM-SU",1,IF('House Count'!F945="COM-MTU",1,IF('House Count'!F945="ENT",1,0))),0)</f>
        <v>0</v>
      </c>
    </row>
    <row r="946" spans="1:11" x14ac:dyDescent="0.25">
      <c r="H946" s="192"/>
      <c r="I946" s="773"/>
      <c r="J946">
        <f>IF('House Count'!H946="Y",IF('House Count'!F946="RES-SFU",1,IF('House Count'!F946="RES-MDU",1,IF('House Count'!F946="RES-HOA",1,0))),0)</f>
        <v>0</v>
      </c>
      <c r="K946">
        <f>IF('House Count'!H946="Y",IF('House Count'!F946="COMM-SU",1,IF('House Count'!F946="COM-MTU",1,IF('House Count'!F946="ENT",1,0))),0)</f>
        <v>0</v>
      </c>
    </row>
    <row r="947" spans="1:11" x14ac:dyDescent="0.25">
      <c r="H947" s="192"/>
      <c r="I947" s="773"/>
      <c r="J947">
        <f>IF('House Count'!H947="Y",IF('House Count'!F947="RES-SFU",1,IF('House Count'!F947="RES-MDU",1,IF('House Count'!F947="RES-HOA",1,0))),0)</f>
        <v>0</v>
      </c>
      <c r="K947">
        <f>IF('House Count'!H947="Y",IF('House Count'!F947="COMM-SU",1,IF('House Count'!F947="COM-MTU",1,IF('House Count'!F947="ENT",1,0))),0)</f>
        <v>0</v>
      </c>
    </row>
    <row r="948" spans="1:11" x14ac:dyDescent="0.25">
      <c r="H948" s="192"/>
      <c r="I948" s="773"/>
      <c r="J948">
        <f>IF('House Count'!H948="Y",IF('House Count'!F948="RES-SFU",1,IF('House Count'!F948="RES-MDU",1,IF('House Count'!F948="RES-HOA",1,0))),0)</f>
        <v>0</v>
      </c>
      <c r="K948">
        <f>IF('House Count'!H948="Y",IF('House Count'!F948="COMM-SU",1,IF('House Count'!F948="COM-MTU",1,IF('House Count'!F948="ENT",1,0))),0)</f>
        <v>0</v>
      </c>
    </row>
    <row r="949" spans="1:11" ht="15.75" thickBot="1" x14ac:dyDescent="0.3">
      <c r="A949" s="774"/>
      <c r="B949" s="774"/>
      <c r="C949" s="774"/>
      <c r="D949" s="774"/>
      <c r="E949" s="774"/>
      <c r="F949" s="774"/>
      <c r="G949" s="774"/>
      <c r="H949" s="774"/>
      <c r="I949" s="775"/>
      <c r="J949">
        <f>IF('House Count'!H949="Y",IF('House Count'!F949="RES-SFU",1,IF('House Count'!F949="RES-MDU",1,IF('House Count'!F949="RES-HOA",1,0))),0)</f>
        <v>0</v>
      </c>
      <c r="K949">
        <f>IF('House Count'!H949="Y",IF('House Count'!F949="COMM-SU",1,IF('House Count'!F949="COM-MTU",1,IF('House Count'!F949="ENT",1,0))),0)</f>
        <v>0</v>
      </c>
    </row>
    <row r="950" spans="1:11" ht="15.75" thickTop="1" x14ac:dyDescent="0.25">
      <c r="H950" s="192"/>
      <c r="I950" s="773"/>
      <c r="J950">
        <f>IF('House Count'!H950="Y",IF('House Count'!F950="RES-SFU",1,IF('House Count'!F950="RES-MDU",1,IF('House Count'!F950="RES-HOA",1,0))),0)</f>
        <v>0</v>
      </c>
      <c r="K950">
        <f>IF('House Count'!H950="Y",IF('House Count'!F950="COMM-SU",1,IF('House Count'!F950="COM-MTU",1,IF('House Count'!F950="ENT",1,0))),0)</f>
        <v>0</v>
      </c>
    </row>
    <row r="951" spans="1:11" x14ac:dyDescent="0.25">
      <c r="H951" s="192"/>
      <c r="I951" s="773"/>
      <c r="J951">
        <f>IF('House Count'!H951="Y",IF('House Count'!F951="RES-SFU",1,IF('House Count'!F951="RES-MDU",1,IF('House Count'!F951="RES-HOA",1,0))),0)</f>
        <v>0</v>
      </c>
      <c r="K951">
        <f>IF('House Count'!H951="Y",IF('House Count'!F951="COMM-SU",1,IF('House Count'!F951="COM-MTU",1,IF('House Count'!F951="ENT",1,0))),0)</f>
        <v>0</v>
      </c>
    </row>
    <row r="952" spans="1:11" x14ac:dyDescent="0.25">
      <c r="H952" s="192"/>
      <c r="I952" s="773"/>
      <c r="J952">
        <f>IF('House Count'!H952="Y",IF('House Count'!F952="RES-SFU",1,IF('House Count'!F952="RES-MDU",1,IF('House Count'!F952="RES-HOA",1,0))),0)</f>
        <v>0</v>
      </c>
      <c r="K952">
        <f>IF('House Count'!H952="Y",IF('House Count'!F952="COMM-SU",1,IF('House Count'!F952="COM-MTU",1,IF('House Count'!F952="ENT",1,0))),0)</f>
        <v>0</v>
      </c>
    </row>
    <row r="953" spans="1:11" x14ac:dyDescent="0.25">
      <c r="H953" s="192"/>
      <c r="I953" s="773"/>
      <c r="J953">
        <f>IF('House Count'!H953="Y",IF('House Count'!F953="RES-SFU",1,IF('House Count'!F953="RES-MDU",1,IF('House Count'!F953="RES-HOA",1,0))),0)</f>
        <v>0</v>
      </c>
      <c r="K953">
        <f>IF('House Count'!H953="Y",IF('House Count'!F953="COMM-SU",1,IF('House Count'!F953="COM-MTU",1,IF('House Count'!F953="ENT",1,0))),0)</f>
        <v>0</v>
      </c>
    </row>
    <row r="954" spans="1:11" x14ac:dyDescent="0.25">
      <c r="H954" s="192"/>
      <c r="I954" s="773"/>
      <c r="J954">
        <f>IF('House Count'!H954="Y",IF('House Count'!F954="RES-SFU",1,IF('House Count'!F954="RES-MDU",1,IF('House Count'!F954="RES-HOA",1,0))),0)</f>
        <v>0</v>
      </c>
      <c r="K954">
        <f>IF('House Count'!H954="Y",IF('House Count'!F954="COMM-SU",1,IF('House Count'!F954="COM-MTU",1,IF('House Count'!F954="ENT",1,0))),0)</f>
        <v>0</v>
      </c>
    </row>
    <row r="955" spans="1:11" x14ac:dyDescent="0.25">
      <c r="H955" s="192"/>
      <c r="I955" s="773"/>
      <c r="J955">
        <f>IF('House Count'!H955="Y",IF('House Count'!F955="RES-SFU",1,IF('House Count'!F955="RES-MDU",1,IF('House Count'!F955="RES-HOA",1,0))),0)</f>
        <v>0</v>
      </c>
      <c r="K955">
        <f>IF('House Count'!H955="Y",IF('House Count'!F955="COMM-SU",1,IF('House Count'!F955="COM-MTU",1,IF('House Count'!F955="ENT",1,0))),0)</f>
        <v>0</v>
      </c>
    </row>
    <row r="956" spans="1:11" x14ac:dyDescent="0.25">
      <c r="H956" s="192"/>
      <c r="I956" s="773"/>
      <c r="J956">
        <f>IF('House Count'!H956="Y",IF('House Count'!F956="RES-SFU",1,IF('House Count'!F956="RES-MDU",1,IF('House Count'!F956="RES-HOA",1,0))),0)</f>
        <v>0</v>
      </c>
      <c r="K956">
        <f>IF('House Count'!H956="Y",IF('House Count'!F956="COMM-SU",1,IF('House Count'!F956="COM-MTU",1,IF('House Count'!F956="ENT",1,0))),0)</f>
        <v>0</v>
      </c>
    </row>
    <row r="957" spans="1:11" x14ac:dyDescent="0.25">
      <c r="H957" s="192"/>
      <c r="I957" s="773"/>
      <c r="J957">
        <f>IF('House Count'!H957="Y",IF('House Count'!F957="RES-SFU",1,IF('House Count'!F957="RES-MDU",1,IF('House Count'!F957="RES-HOA",1,0))),0)</f>
        <v>0</v>
      </c>
      <c r="K957">
        <f>IF('House Count'!H957="Y",IF('House Count'!F957="COMM-SU",1,IF('House Count'!F957="COM-MTU",1,IF('House Count'!F957="ENT",1,0))),0)</f>
        <v>0</v>
      </c>
    </row>
    <row r="958" spans="1:11" x14ac:dyDescent="0.25">
      <c r="H958" s="192"/>
      <c r="I958" s="773"/>
      <c r="J958">
        <f>IF('House Count'!H958="Y",IF('House Count'!F958="RES-SFU",1,IF('House Count'!F958="RES-MDU",1,IF('House Count'!F958="RES-HOA",1,0))),0)</f>
        <v>0</v>
      </c>
      <c r="K958">
        <f>IF('House Count'!H958="Y",IF('House Count'!F958="COMM-SU",1,IF('House Count'!F958="COM-MTU",1,IF('House Count'!F958="ENT",1,0))),0)</f>
        <v>0</v>
      </c>
    </row>
    <row r="959" spans="1:11" x14ac:dyDescent="0.25">
      <c r="H959" s="192"/>
      <c r="I959" s="773"/>
      <c r="J959">
        <f>IF('House Count'!H959="Y",IF('House Count'!F959="RES-SFU",1,IF('House Count'!F959="RES-MDU",1,IF('House Count'!F959="RES-HOA",1,0))),0)</f>
        <v>0</v>
      </c>
      <c r="K959">
        <f>IF('House Count'!H959="Y",IF('House Count'!F959="COMM-SU",1,IF('House Count'!F959="COM-MTU",1,IF('House Count'!F959="ENT",1,0))),0)</f>
        <v>0</v>
      </c>
    </row>
    <row r="960" spans="1:11" x14ac:dyDescent="0.25">
      <c r="H960" s="192"/>
      <c r="I960" s="773"/>
      <c r="J960">
        <f>IF('House Count'!H960="Y",IF('House Count'!F960="RES-SFU",1,IF('House Count'!F960="RES-MDU",1,IF('House Count'!F960="RES-HOA",1,0))),0)</f>
        <v>0</v>
      </c>
      <c r="K960">
        <f>IF('House Count'!H960="Y",IF('House Count'!F960="COMM-SU",1,IF('House Count'!F960="COM-MTU",1,IF('House Count'!F960="ENT",1,0))),0)</f>
        <v>0</v>
      </c>
    </row>
    <row r="961" spans="1:11" ht="15.75" thickBot="1" x14ac:dyDescent="0.3">
      <c r="A961" s="774"/>
      <c r="B961" s="774"/>
      <c r="C961" s="774"/>
      <c r="D961" s="774"/>
      <c r="E961" s="774"/>
      <c r="F961" s="774"/>
      <c r="G961" s="774"/>
      <c r="H961" s="774"/>
      <c r="I961" s="775"/>
      <c r="J961">
        <f>IF('House Count'!H961="Y",IF('House Count'!F961="RES-SFU",1,IF('House Count'!F961="RES-MDU",1,IF('House Count'!F961="RES-HOA",1,0))),0)</f>
        <v>0</v>
      </c>
      <c r="K961">
        <f>IF('House Count'!H961="Y",IF('House Count'!F961="COMM-SU",1,IF('House Count'!F961="COM-MTU",1,IF('House Count'!F961="ENT",1,0))),0)</f>
        <v>0</v>
      </c>
    </row>
    <row r="962" spans="1:11" ht="15.75" thickTop="1" x14ac:dyDescent="0.25">
      <c r="H962" s="192"/>
      <c r="I962" s="773"/>
      <c r="J962">
        <f>IF('House Count'!H962="Y",IF('House Count'!F962="RES-SFU",1,IF('House Count'!F962="RES-MDU",1,IF('House Count'!F962="RES-HOA",1,0))),0)</f>
        <v>0</v>
      </c>
      <c r="K962">
        <f>IF('House Count'!H962="Y",IF('House Count'!F962="COMM-SU",1,IF('House Count'!F962="COM-MTU",1,IF('House Count'!F962="ENT",1,0))),0)</f>
        <v>0</v>
      </c>
    </row>
    <row r="963" spans="1:11" x14ac:dyDescent="0.25">
      <c r="H963" s="192"/>
      <c r="I963" s="773"/>
      <c r="J963">
        <f>IF('House Count'!H963="Y",IF('House Count'!F963="RES-SFU",1,IF('House Count'!F963="RES-MDU",1,IF('House Count'!F963="RES-HOA",1,0))),0)</f>
        <v>0</v>
      </c>
      <c r="K963">
        <f>IF('House Count'!H963="Y",IF('House Count'!F963="COMM-SU",1,IF('House Count'!F963="COM-MTU",1,IF('House Count'!F963="ENT",1,0))),0)</f>
        <v>0</v>
      </c>
    </row>
    <row r="964" spans="1:11" x14ac:dyDescent="0.25">
      <c r="H964" s="192"/>
      <c r="I964" s="773"/>
      <c r="J964">
        <f>IF('House Count'!H964="Y",IF('House Count'!F964="RES-SFU",1,IF('House Count'!F964="RES-MDU",1,IF('House Count'!F964="RES-HOA",1,0))),0)</f>
        <v>0</v>
      </c>
      <c r="K964">
        <f>IF('House Count'!H964="Y",IF('House Count'!F964="COMM-SU",1,IF('House Count'!F964="COM-MTU",1,IF('House Count'!F964="ENT",1,0))),0)</f>
        <v>0</v>
      </c>
    </row>
    <row r="965" spans="1:11" x14ac:dyDescent="0.25">
      <c r="H965" s="192"/>
      <c r="I965" s="773"/>
      <c r="J965">
        <f>IF('House Count'!H965="Y",IF('House Count'!F965="RES-SFU",1,IF('House Count'!F965="RES-MDU",1,IF('House Count'!F965="RES-HOA",1,0))),0)</f>
        <v>0</v>
      </c>
      <c r="K965">
        <f>IF('House Count'!H965="Y",IF('House Count'!F965="COMM-SU",1,IF('House Count'!F965="COM-MTU",1,IF('House Count'!F965="ENT",1,0))),0)</f>
        <v>0</v>
      </c>
    </row>
    <row r="966" spans="1:11" x14ac:dyDescent="0.25">
      <c r="H966" s="192"/>
      <c r="I966" s="773"/>
      <c r="J966">
        <f>IF('House Count'!H966="Y",IF('House Count'!F966="RES-SFU",1,IF('House Count'!F966="RES-MDU",1,IF('House Count'!F966="RES-HOA",1,0))),0)</f>
        <v>0</v>
      </c>
      <c r="K966">
        <f>IF('House Count'!H966="Y",IF('House Count'!F966="COMM-SU",1,IF('House Count'!F966="COM-MTU",1,IF('House Count'!F966="ENT",1,0))),0)</f>
        <v>0</v>
      </c>
    </row>
    <row r="967" spans="1:11" x14ac:dyDescent="0.25">
      <c r="H967" s="192"/>
      <c r="I967" s="773"/>
      <c r="J967">
        <f>IF('House Count'!H967="Y",IF('House Count'!F967="RES-SFU",1,IF('House Count'!F967="RES-MDU",1,IF('House Count'!F967="RES-HOA",1,0))),0)</f>
        <v>0</v>
      </c>
      <c r="K967">
        <f>IF('House Count'!H967="Y",IF('House Count'!F967="COMM-SU",1,IF('House Count'!F967="COM-MTU",1,IF('House Count'!F967="ENT",1,0))),0)</f>
        <v>0</v>
      </c>
    </row>
    <row r="968" spans="1:11" x14ac:dyDescent="0.25">
      <c r="H968" s="192"/>
      <c r="I968" s="773"/>
      <c r="J968">
        <f>IF('House Count'!H968="Y",IF('House Count'!F968="RES-SFU",1,IF('House Count'!F968="RES-MDU",1,IF('House Count'!F968="RES-HOA",1,0))),0)</f>
        <v>0</v>
      </c>
      <c r="K968">
        <f>IF('House Count'!H968="Y",IF('House Count'!F968="COMM-SU",1,IF('House Count'!F968="COM-MTU",1,IF('House Count'!F968="ENT",1,0))),0)</f>
        <v>0</v>
      </c>
    </row>
    <row r="969" spans="1:11" x14ac:dyDescent="0.25">
      <c r="H969" s="192"/>
      <c r="I969" s="773"/>
      <c r="J969">
        <f>IF('House Count'!H969="Y",IF('House Count'!F969="RES-SFU",1,IF('House Count'!F969="RES-MDU",1,IF('House Count'!F969="RES-HOA",1,0))),0)</f>
        <v>0</v>
      </c>
      <c r="K969">
        <f>IF('House Count'!H969="Y",IF('House Count'!F969="COMM-SU",1,IF('House Count'!F969="COM-MTU",1,IF('House Count'!F969="ENT",1,0))),0)</f>
        <v>0</v>
      </c>
    </row>
    <row r="970" spans="1:11" x14ac:dyDescent="0.25">
      <c r="H970" s="192"/>
      <c r="I970" s="773"/>
      <c r="J970">
        <f>IF('House Count'!H970="Y",IF('House Count'!F970="RES-SFU",1,IF('House Count'!F970="RES-MDU",1,IF('House Count'!F970="RES-HOA",1,0))),0)</f>
        <v>0</v>
      </c>
      <c r="K970">
        <f>IF('House Count'!H970="Y",IF('House Count'!F970="COMM-SU",1,IF('House Count'!F970="COM-MTU",1,IF('House Count'!F970="ENT",1,0))),0)</f>
        <v>0</v>
      </c>
    </row>
    <row r="971" spans="1:11" x14ac:dyDescent="0.25">
      <c r="H971" s="192"/>
      <c r="I971" s="773"/>
      <c r="J971">
        <f>IF('House Count'!H971="Y",IF('House Count'!F971="RES-SFU",1,IF('House Count'!F971="RES-MDU",1,IF('House Count'!F971="RES-HOA",1,0))),0)</f>
        <v>0</v>
      </c>
      <c r="K971">
        <f>IF('House Count'!H971="Y",IF('House Count'!F971="COMM-SU",1,IF('House Count'!F971="COM-MTU",1,IF('House Count'!F971="ENT",1,0))),0)</f>
        <v>0</v>
      </c>
    </row>
    <row r="972" spans="1:11" x14ac:dyDescent="0.25">
      <c r="H972" s="192"/>
      <c r="I972" s="773"/>
      <c r="J972">
        <f>IF('House Count'!H972="Y",IF('House Count'!F972="RES-SFU",1,IF('House Count'!F972="RES-MDU",1,IF('House Count'!F972="RES-HOA",1,0))),0)</f>
        <v>0</v>
      </c>
      <c r="K972">
        <f>IF('House Count'!H972="Y",IF('House Count'!F972="COMM-SU",1,IF('House Count'!F972="COM-MTU",1,IF('House Count'!F972="ENT",1,0))),0)</f>
        <v>0</v>
      </c>
    </row>
    <row r="973" spans="1:11" ht="15.75" thickBot="1" x14ac:dyDescent="0.3">
      <c r="A973" s="774"/>
      <c r="B973" s="774"/>
      <c r="C973" s="774"/>
      <c r="D973" s="774"/>
      <c r="E973" s="774"/>
      <c r="F973" s="774"/>
      <c r="G973" s="774"/>
      <c r="H973" s="774"/>
      <c r="I973" s="775"/>
      <c r="J973">
        <f>IF('House Count'!H973="Y",IF('House Count'!F973="RES-SFU",1,IF('House Count'!F973="RES-MDU",1,IF('House Count'!F973="RES-HOA",1,0))),0)</f>
        <v>0</v>
      </c>
      <c r="K973">
        <f>IF('House Count'!H973="Y",IF('House Count'!F973="COMM-SU",1,IF('House Count'!F973="COM-MTU",1,IF('House Count'!F973="ENT",1,0))),0)</f>
        <v>0</v>
      </c>
    </row>
    <row r="974" spans="1:11" ht="15.75" thickTop="1" x14ac:dyDescent="0.25">
      <c r="H974" s="192"/>
      <c r="I974" s="773"/>
      <c r="J974">
        <f>IF('House Count'!H974="Y",IF('House Count'!F974="RES-SFU",1,IF('House Count'!F974="RES-MDU",1,IF('House Count'!F974="RES-HOA",1,0))),0)</f>
        <v>0</v>
      </c>
      <c r="K974">
        <f>IF('House Count'!H974="Y",IF('House Count'!F974="COMM-SU",1,IF('House Count'!F974="COM-MTU",1,IF('House Count'!F974="ENT",1,0))),0)</f>
        <v>0</v>
      </c>
    </row>
    <row r="975" spans="1:11" x14ac:dyDescent="0.25">
      <c r="H975" s="192"/>
      <c r="I975" s="773"/>
      <c r="J975">
        <f>IF('House Count'!H975="Y",IF('House Count'!F975="RES-SFU",1,IF('House Count'!F975="RES-MDU",1,IF('House Count'!F975="RES-HOA",1,0))),0)</f>
        <v>0</v>
      </c>
      <c r="K975">
        <f>IF('House Count'!H975="Y",IF('House Count'!F975="COMM-SU",1,IF('House Count'!F975="COM-MTU",1,IF('House Count'!F975="ENT",1,0))),0)</f>
        <v>0</v>
      </c>
    </row>
    <row r="976" spans="1:11" x14ac:dyDescent="0.25">
      <c r="H976" s="192"/>
      <c r="I976" s="773"/>
      <c r="J976">
        <f>IF('House Count'!H976="Y",IF('House Count'!F976="RES-SFU",1,IF('House Count'!F976="RES-MDU",1,IF('House Count'!F976="RES-HOA",1,0))),0)</f>
        <v>0</v>
      </c>
      <c r="K976">
        <f>IF('House Count'!H976="Y",IF('House Count'!F976="COMM-SU",1,IF('House Count'!F976="COM-MTU",1,IF('House Count'!F976="ENT",1,0))),0)</f>
        <v>0</v>
      </c>
    </row>
    <row r="977" spans="1:11" x14ac:dyDescent="0.25">
      <c r="H977" s="192"/>
      <c r="I977" s="773"/>
      <c r="J977">
        <f>IF('House Count'!H977="Y",IF('House Count'!F977="RES-SFU",1,IF('House Count'!F977="RES-MDU",1,IF('House Count'!F977="RES-HOA",1,0))),0)</f>
        <v>0</v>
      </c>
      <c r="K977">
        <f>IF('House Count'!H977="Y",IF('House Count'!F977="COMM-SU",1,IF('House Count'!F977="COM-MTU",1,IF('House Count'!F977="ENT",1,0))),0)</f>
        <v>0</v>
      </c>
    </row>
    <row r="978" spans="1:11" x14ac:dyDescent="0.25">
      <c r="H978" s="192"/>
      <c r="I978" s="773"/>
      <c r="J978">
        <f>IF('House Count'!H978="Y",IF('House Count'!F978="RES-SFU",1,IF('House Count'!F978="RES-MDU",1,IF('House Count'!F978="RES-HOA",1,0))),0)</f>
        <v>0</v>
      </c>
      <c r="K978">
        <f>IF('House Count'!H978="Y",IF('House Count'!F978="COMM-SU",1,IF('House Count'!F978="COM-MTU",1,IF('House Count'!F978="ENT",1,0))),0)</f>
        <v>0</v>
      </c>
    </row>
    <row r="979" spans="1:11" x14ac:dyDescent="0.25">
      <c r="H979" s="192"/>
      <c r="I979" s="773"/>
      <c r="J979">
        <f>IF('House Count'!H979="Y",IF('House Count'!F979="RES-SFU",1,IF('House Count'!F979="RES-MDU",1,IF('House Count'!F979="RES-HOA",1,0))),0)</f>
        <v>0</v>
      </c>
      <c r="K979">
        <f>IF('House Count'!H979="Y",IF('House Count'!F979="COMM-SU",1,IF('House Count'!F979="COM-MTU",1,IF('House Count'!F979="ENT",1,0))),0)</f>
        <v>0</v>
      </c>
    </row>
    <row r="980" spans="1:11" x14ac:dyDescent="0.25">
      <c r="H980" s="192"/>
      <c r="I980" s="773"/>
      <c r="J980">
        <f>IF('House Count'!H980="Y",IF('House Count'!F980="RES-SFU",1,IF('House Count'!F980="RES-MDU",1,IF('House Count'!F980="RES-HOA",1,0))),0)</f>
        <v>0</v>
      </c>
      <c r="K980">
        <f>IF('House Count'!H980="Y",IF('House Count'!F980="COMM-SU",1,IF('House Count'!F980="COM-MTU",1,IF('House Count'!F980="ENT",1,0))),0)</f>
        <v>0</v>
      </c>
    </row>
    <row r="981" spans="1:11" x14ac:dyDescent="0.25">
      <c r="H981" s="192"/>
      <c r="I981" s="773"/>
      <c r="J981">
        <f>IF('House Count'!H981="Y",IF('House Count'!F981="RES-SFU",1,IF('House Count'!F981="RES-MDU",1,IF('House Count'!F981="RES-HOA",1,0))),0)</f>
        <v>0</v>
      </c>
      <c r="K981">
        <f>IF('House Count'!H981="Y",IF('House Count'!F981="COMM-SU",1,IF('House Count'!F981="COM-MTU",1,IF('House Count'!F981="ENT",1,0))),0)</f>
        <v>0</v>
      </c>
    </row>
    <row r="982" spans="1:11" x14ac:dyDescent="0.25">
      <c r="H982" s="192"/>
      <c r="I982" s="773"/>
      <c r="J982">
        <f>IF('House Count'!H982="Y",IF('House Count'!F982="RES-SFU",1,IF('House Count'!F982="RES-MDU",1,IF('House Count'!F982="RES-HOA",1,0))),0)</f>
        <v>0</v>
      </c>
      <c r="K982">
        <f>IF('House Count'!H982="Y",IF('House Count'!F982="COMM-SU",1,IF('House Count'!F982="COM-MTU",1,IF('House Count'!F982="ENT",1,0))),0)</f>
        <v>0</v>
      </c>
    </row>
    <row r="983" spans="1:11" x14ac:dyDescent="0.25">
      <c r="H983" s="192"/>
      <c r="I983" s="773"/>
      <c r="J983">
        <f>IF('House Count'!H983="Y",IF('House Count'!F983="RES-SFU",1,IF('House Count'!F983="RES-MDU",1,IF('House Count'!F983="RES-HOA",1,0))),0)</f>
        <v>0</v>
      </c>
      <c r="K983">
        <f>IF('House Count'!H983="Y",IF('House Count'!F983="COMM-SU",1,IF('House Count'!F983="COM-MTU",1,IF('House Count'!F983="ENT",1,0))),0)</f>
        <v>0</v>
      </c>
    </row>
    <row r="984" spans="1:11" x14ac:dyDescent="0.25">
      <c r="H984" s="192"/>
      <c r="I984" s="773"/>
      <c r="J984">
        <f>IF('House Count'!H984="Y",IF('House Count'!F984="RES-SFU",1,IF('House Count'!F984="RES-MDU",1,IF('House Count'!F984="RES-HOA",1,0))),0)</f>
        <v>0</v>
      </c>
      <c r="K984">
        <f>IF('House Count'!H984="Y",IF('House Count'!F984="COMM-SU",1,IF('House Count'!F984="COM-MTU",1,IF('House Count'!F984="ENT",1,0))),0)</f>
        <v>0</v>
      </c>
    </row>
    <row r="985" spans="1:11" ht="15.75" thickBot="1" x14ac:dyDescent="0.3">
      <c r="A985" s="774"/>
      <c r="B985" s="774"/>
      <c r="C985" s="774"/>
      <c r="D985" s="774"/>
      <c r="E985" s="774"/>
      <c r="F985" s="774"/>
      <c r="G985" s="774"/>
      <c r="H985" s="774"/>
      <c r="I985" s="775"/>
      <c r="J985">
        <f>IF('House Count'!H985="Y",IF('House Count'!F985="RES-SFU",1,IF('House Count'!F985="RES-MDU",1,IF('House Count'!F985="RES-HOA",1,0))),0)</f>
        <v>0</v>
      </c>
      <c r="K985">
        <f>IF('House Count'!H985="Y",IF('House Count'!F985="COMM-SU",1,IF('House Count'!F985="COM-MTU",1,IF('House Count'!F985="ENT",1,0))),0)</f>
        <v>0</v>
      </c>
    </row>
    <row r="986" spans="1:11" ht="15.75" thickTop="1" x14ac:dyDescent="0.25">
      <c r="H986" s="192"/>
      <c r="I986" s="773"/>
      <c r="J986">
        <f>IF('House Count'!H986="Y",IF('House Count'!F986="RES-SFU",1,IF('House Count'!F986="RES-MDU",1,IF('House Count'!F986="RES-HOA",1,0))),0)</f>
        <v>0</v>
      </c>
      <c r="K986">
        <f>IF('House Count'!H986="Y",IF('House Count'!F986="COMM-SU",1,IF('House Count'!F986="COM-MTU",1,IF('House Count'!F986="ENT",1,0))),0)</f>
        <v>0</v>
      </c>
    </row>
    <row r="987" spans="1:11" x14ac:dyDescent="0.25">
      <c r="H987" s="192"/>
      <c r="I987" s="773"/>
      <c r="J987">
        <f>IF('House Count'!H987="Y",IF('House Count'!F987="RES-SFU",1,IF('House Count'!F987="RES-MDU",1,IF('House Count'!F987="RES-HOA",1,0))),0)</f>
        <v>0</v>
      </c>
      <c r="K987">
        <f>IF('House Count'!H987="Y",IF('House Count'!F987="COMM-SU",1,IF('House Count'!F987="COM-MTU",1,IF('House Count'!F987="ENT",1,0))),0)</f>
        <v>0</v>
      </c>
    </row>
    <row r="988" spans="1:11" x14ac:dyDescent="0.25">
      <c r="H988" s="192"/>
      <c r="I988" s="773"/>
      <c r="J988">
        <f>IF('House Count'!H988="Y",IF('House Count'!F988="RES-SFU",1,IF('House Count'!F988="RES-MDU",1,IF('House Count'!F988="RES-HOA",1,0))),0)</f>
        <v>0</v>
      </c>
      <c r="K988">
        <f>IF('House Count'!H988="Y",IF('House Count'!F988="COMM-SU",1,IF('House Count'!F988="COM-MTU",1,IF('House Count'!F988="ENT",1,0))),0)</f>
        <v>0</v>
      </c>
    </row>
    <row r="989" spans="1:11" x14ac:dyDescent="0.25">
      <c r="H989" s="192"/>
      <c r="I989" s="773"/>
      <c r="J989">
        <f>IF('House Count'!H989="Y",IF('House Count'!F989="RES-SFU",1,IF('House Count'!F989="RES-MDU",1,IF('House Count'!F989="RES-HOA",1,0))),0)</f>
        <v>0</v>
      </c>
      <c r="K989">
        <f>IF('House Count'!H989="Y",IF('House Count'!F989="COMM-SU",1,IF('House Count'!F989="COM-MTU",1,IF('House Count'!F989="ENT",1,0))),0)</f>
        <v>0</v>
      </c>
    </row>
    <row r="990" spans="1:11" x14ac:dyDescent="0.25">
      <c r="H990" s="192"/>
      <c r="I990" s="773"/>
      <c r="J990">
        <f>IF('House Count'!H990="Y",IF('House Count'!F990="RES-SFU",1,IF('House Count'!F990="RES-MDU",1,IF('House Count'!F990="RES-HOA",1,0))),0)</f>
        <v>0</v>
      </c>
      <c r="K990">
        <f>IF('House Count'!H990="Y",IF('House Count'!F990="COMM-SU",1,IF('House Count'!F990="COM-MTU",1,IF('House Count'!F990="ENT",1,0))),0)</f>
        <v>0</v>
      </c>
    </row>
    <row r="991" spans="1:11" x14ac:dyDescent="0.25">
      <c r="H991" s="192"/>
      <c r="I991" s="773"/>
      <c r="J991">
        <f>IF('House Count'!H991="Y",IF('House Count'!F991="RES-SFU",1,IF('House Count'!F991="RES-MDU",1,IF('House Count'!F991="RES-HOA",1,0))),0)</f>
        <v>0</v>
      </c>
      <c r="K991">
        <f>IF('House Count'!H991="Y",IF('House Count'!F991="COMM-SU",1,IF('House Count'!F991="COM-MTU",1,IF('House Count'!F991="ENT",1,0))),0)</f>
        <v>0</v>
      </c>
    </row>
    <row r="992" spans="1:11" x14ac:dyDescent="0.25">
      <c r="H992" s="192"/>
      <c r="I992" s="773"/>
      <c r="J992">
        <f>IF('House Count'!H992="Y",IF('House Count'!F992="RES-SFU",1,IF('House Count'!F992="RES-MDU",1,IF('House Count'!F992="RES-HOA",1,0))),0)</f>
        <v>0</v>
      </c>
      <c r="K992">
        <f>IF('House Count'!H992="Y",IF('House Count'!F992="COMM-SU",1,IF('House Count'!F992="COM-MTU",1,IF('House Count'!F992="ENT",1,0))),0)</f>
        <v>0</v>
      </c>
    </row>
    <row r="993" spans="1:11" x14ac:dyDescent="0.25">
      <c r="H993" s="192"/>
      <c r="I993" s="773"/>
      <c r="J993">
        <f>IF('House Count'!H993="Y",IF('House Count'!F993="RES-SFU",1,IF('House Count'!F993="RES-MDU",1,IF('House Count'!F993="RES-HOA",1,0))),0)</f>
        <v>0</v>
      </c>
      <c r="K993">
        <f>IF('House Count'!H993="Y",IF('House Count'!F993="COMM-SU",1,IF('House Count'!F993="COM-MTU",1,IF('House Count'!F993="ENT",1,0))),0)</f>
        <v>0</v>
      </c>
    </row>
    <row r="994" spans="1:11" x14ac:dyDescent="0.25">
      <c r="H994" s="192"/>
      <c r="I994" s="773"/>
      <c r="J994">
        <f>IF('House Count'!H994="Y",IF('House Count'!F994="RES-SFU",1,IF('House Count'!F994="RES-MDU",1,IF('House Count'!F994="RES-HOA",1,0))),0)</f>
        <v>0</v>
      </c>
      <c r="K994">
        <f>IF('House Count'!H994="Y",IF('House Count'!F994="COMM-SU",1,IF('House Count'!F994="COM-MTU",1,IF('House Count'!F994="ENT",1,0))),0)</f>
        <v>0</v>
      </c>
    </row>
    <row r="995" spans="1:11" x14ac:dyDescent="0.25">
      <c r="H995" s="192"/>
      <c r="I995" s="773"/>
      <c r="J995">
        <f>IF('House Count'!H995="Y",IF('House Count'!F995="RES-SFU",1,IF('House Count'!F995="RES-MDU",1,IF('House Count'!F995="RES-HOA",1,0))),0)</f>
        <v>0</v>
      </c>
      <c r="K995">
        <f>IF('House Count'!H995="Y",IF('House Count'!F995="COMM-SU",1,IF('House Count'!F995="COM-MTU",1,IF('House Count'!F995="ENT",1,0))),0)</f>
        <v>0</v>
      </c>
    </row>
    <row r="996" spans="1:11" x14ac:dyDescent="0.25">
      <c r="H996" s="192"/>
      <c r="I996" s="773"/>
      <c r="J996">
        <f>IF('House Count'!H996="Y",IF('House Count'!F996="RES-SFU",1,IF('House Count'!F996="RES-MDU",1,IF('House Count'!F996="RES-HOA",1,0))),0)</f>
        <v>0</v>
      </c>
      <c r="K996">
        <f>IF('House Count'!H996="Y",IF('House Count'!F996="COMM-SU",1,IF('House Count'!F996="COM-MTU",1,IF('House Count'!F996="ENT",1,0))),0)</f>
        <v>0</v>
      </c>
    </row>
    <row r="997" spans="1:11" ht="15.75" thickBot="1" x14ac:dyDescent="0.3">
      <c r="A997" s="774"/>
      <c r="B997" s="774"/>
      <c r="C997" s="774"/>
      <c r="D997" s="774"/>
      <c r="E997" s="774"/>
      <c r="F997" s="774"/>
      <c r="G997" s="774"/>
      <c r="H997" s="774"/>
      <c r="I997" s="775"/>
      <c r="J997">
        <f>IF('House Count'!H997="Y",IF('House Count'!F997="RES-SFU",1,IF('House Count'!F997="RES-MDU",1,IF('House Count'!F997="RES-HOA",1,0))),0)</f>
        <v>0</v>
      </c>
      <c r="K997">
        <f>IF('House Count'!H997="Y",IF('House Count'!F997="COMM-SU",1,IF('House Count'!F997="COM-MTU",1,IF('House Count'!F997="ENT",1,0))),0)</f>
        <v>0</v>
      </c>
    </row>
    <row r="998" spans="1:11" ht="15.75" thickTop="1" x14ac:dyDescent="0.25">
      <c r="H998" s="192"/>
      <c r="I998" s="773"/>
      <c r="J998">
        <f>IF('House Count'!H998="Y",IF('House Count'!F998="RES-SFU",1,IF('House Count'!F998="RES-MDU",1,IF('House Count'!F998="RES-HOA",1,0))),0)</f>
        <v>0</v>
      </c>
      <c r="K998">
        <f>IF('House Count'!H998="Y",IF('House Count'!F998="COMM-SU",1,IF('House Count'!F998="COM-MTU",1,IF('House Count'!F998="ENT",1,0))),0)</f>
        <v>0</v>
      </c>
    </row>
    <row r="999" spans="1:11" x14ac:dyDescent="0.25">
      <c r="H999" s="192"/>
      <c r="I999" s="773"/>
      <c r="J999">
        <f>IF('House Count'!H999="Y",IF('House Count'!F999="RES-SFU",1,IF('House Count'!F999="RES-MDU",1,IF('House Count'!F999="RES-HOA",1,0))),0)</f>
        <v>0</v>
      </c>
      <c r="K999">
        <f>IF('House Count'!H999="Y",IF('House Count'!F999="COMM-SU",1,IF('House Count'!F999="COM-MTU",1,IF('House Count'!F999="ENT",1,0))),0)</f>
        <v>0</v>
      </c>
    </row>
    <row r="1000" spans="1:11" x14ac:dyDescent="0.25">
      <c r="H1000" s="192"/>
      <c r="I1000" s="773"/>
      <c r="J1000">
        <f>IF('House Count'!H1000="Y",IF('House Count'!F1000="RES-SFU",1,IF('House Count'!F1000="RES-MDU",1,IF('House Count'!F1000="RES-HOA",1,0))),0)</f>
        <v>0</v>
      </c>
      <c r="K1000">
        <f>IF('House Count'!H1000="Y",IF('House Count'!F1000="COMM-SU",1,IF('House Count'!F1000="COM-MTU",1,IF('House Count'!F1000="ENT",1,0))),0)</f>
        <v>0</v>
      </c>
    </row>
    <row r="1001" spans="1:11" x14ac:dyDescent="0.25">
      <c r="H1001" s="192"/>
      <c r="I1001" s="773"/>
      <c r="J1001">
        <f>IF('House Count'!H1001="Y",IF('House Count'!F1001="RES-SFU",1,IF('House Count'!F1001="RES-MDU",1,IF('House Count'!F1001="RES-HOA",1,0))),0)</f>
        <v>0</v>
      </c>
      <c r="K1001">
        <f>IF('House Count'!H1001="Y",IF('House Count'!F1001="COMM-SU",1,IF('House Count'!F1001="COM-MTU",1,IF('House Count'!F1001="ENT",1,0))),0)</f>
        <v>0</v>
      </c>
    </row>
    <row r="1002" spans="1:11" x14ac:dyDescent="0.25">
      <c r="H1002" s="192"/>
      <c r="I1002" s="773"/>
      <c r="J1002">
        <f>IF('House Count'!H1002="Y",IF('House Count'!F1002="RES-SFU",1,IF('House Count'!F1002="RES-MDU",1,IF('House Count'!F1002="RES-HOA",1,0))),0)</f>
        <v>0</v>
      </c>
      <c r="K1002">
        <f>IF('House Count'!H1002="Y",IF('House Count'!F1002="COMM-SU",1,IF('House Count'!F1002="COM-MTU",1,IF('House Count'!F1002="ENT",1,0))),0)</f>
        <v>0</v>
      </c>
    </row>
    <row r="1003" spans="1:11" x14ac:dyDescent="0.25">
      <c r="H1003" s="192"/>
      <c r="I1003" s="773"/>
      <c r="J1003">
        <f>IF('House Count'!H1003="Y",IF('House Count'!F1003="RES-SFU",1,IF('House Count'!F1003="RES-MDU",1,IF('House Count'!F1003="RES-HOA",1,0))),0)</f>
        <v>0</v>
      </c>
      <c r="K1003">
        <f>IF('House Count'!H1003="Y",IF('House Count'!F1003="COMM-SU",1,IF('House Count'!F1003="COM-MTU",1,IF('House Count'!F1003="ENT",1,0))),0)</f>
        <v>0</v>
      </c>
    </row>
    <row r="1004" spans="1:11" x14ac:dyDescent="0.25">
      <c r="H1004" s="192"/>
      <c r="I1004" s="773"/>
      <c r="J1004">
        <f>IF('House Count'!H1004="Y",IF('House Count'!F1004="RES-SFU",1,IF('House Count'!F1004="RES-MDU",1,IF('House Count'!F1004="RES-HOA",1,0))),0)</f>
        <v>0</v>
      </c>
      <c r="K1004">
        <f>IF('House Count'!H1004="Y",IF('House Count'!F1004="COMM-SU",1,IF('House Count'!F1004="COM-MTU",1,IF('House Count'!F1004="ENT",1,0))),0)</f>
        <v>0</v>
      </c>
    </row>
    <row r="1005" spans="1:11" x14ac:dyDescent="0.25">
      <c r="H1005" s="192"/>
      <c r="I1005" s="773"/>
      <c r="J1005">
        <f>IF('House Count'!H1005="Y",IF('House Count'!F1005="RES-SFU",1,IF('House Count'!F1005="RES-MDU",1,IF('House Count'!F1005="RES-HOA",1,0))),0)</f>
        <v>0</v>
      </c>
      <c r="K1005">
        <f>IF('House Count'!H1005="Y",IF('House Count'!F1005="COMM-SU",1,IF('House Count'!F1005="COM-MTU",1,IF('House Count'!F1005="ENT",1,0))),0)</f>
        <v>0</v>
      </c>
    </row>
    <row r="1006" spans="1:11" x14ac:dyDescent="0.25">
      <c r="H1006" s="192"/>
      <c r="I1006" s="773"/>
      <c r="J1006">
        <f>IF('House Count'!H1006="Y",IF('House Count'!F1006="RES-SFU",1,IF('House Count'!F1006="RES-MDU",1,IF('House Count'!F1006="RES-HOA",1,0))),0)</f>
        <v>0</v>
      </c>
      <c r="K1006">
        <f>IF('House Count'!H1006="Y",IF('House Count'!F1006="COMM-SU",1,IF('House Count'!F1006="COM-MTU",1,IF('House Count'!F1006="ENT",1,0))),0)</f>
        <v>0</v>
      </c>
    </row>
    <row r="1007" spans="1:11" x14ac:dyDescent="0.25">
      <c r="H1007" s="192"/>
      <c r="I1007" s="773"/>
      <c r="J1007">
        <f>IF('House Count'!H1007="Y",IF('House Count'!F1007="RES-SFU",1,IF('House Count'!F1007="RES-MDU",1,IF('House Count'!F1007="RES-HOA",1,0))),0)</f>
        <v>0</v>
      </c>
      <c r="K1007">
        <f>IF('House Count'!H1007="Y",IF('House Count'!F1007="COMM-SU",1,IF('House Count'!F1007="COM-MTU",1,IF('House Count'!F1007="ENT",1,0))),0)</f>
        <v>0</v>
      </c>
    </row>
    <row r="1008" spans="1:11" x14ac:dyDescent="0.25">
      <c r="H1008" s="192"/>
      <c r="I1008" s="773"/>
      <c r="J1008">
        <f>IF('House Count'!H1008="Y",IF('House Count'!F1008="RES-SFU",1,IF('House Count'!F1008="RES-MDU",1,IF('House Count'!F1008="RES-HOA",1,0))),0)</f>
        <v>0</v>
      </c>
      <c r="K1008">
        <f>IF('House Count'!H1008="Y",IF('House Count'!F1008="COMM-SU",1,IF('House Count'!F1008="COM-MTU",1,IF('House Count'!F1008="ENT",1,0))),0)</f>
        <v>0</v>
      </c>
    </row>
    <row r="1009" spans="1:11" ht="15.75" thickBot="1" x14ac:dyDescent="0.3">
      <c r="A1009" s="774"/>
      <c r="B1009" s="774"/>
      <c r="C1009" s="774"/>
      <c r="D1009" s="774"/>
      <c r="E1009" s="774"/>
      <c r="F1009" s="774"/>
      <c r="G1009" s="774"/>
      <c r="H1009" s="774"/>
      <c r="I1009" s="775"/>
      <c r="J1009">
        <f>IF('House Count'!H1009="Y",IF('House Count'!F1009="RES-SFU",1,IF('House Count'!F1009="RES-MDU",1,IF('House Count'!F1009="RES-HOA",1,0))),0)</f>
        <v>0</v>
      </c>
      <c r="K1009">
        <f>IF('House Count'!H1009="Y",IF('House Count'!F1009="COMM-SU",1,IF('House Count'!F1009="COM-MTU",1,IF('House Count'!F1009="ENT",1,0))),0)</f>
        <v>0</v>
      </c>
    </row>
    <row r="1010" spans="1:11" ht="15.75" thickTop="1" x14ac:dyDescent="0.25">
      <c r="H1010" s="192"/>
      <c r="I1010" s="773"/>
      <c r="J1010">
        <f>IF('House Count'!H1010="Y",IF('House Count'!F1010="RES-SFU",1,IF('House Count'!F1010="RES-MDU",1,IF('House Count'!F1010="RES-HOA",1,0))),0)</f>
        <v>0</v>
      </c>
      <c r="K1010">
        <f>IF('House Count'!H1010="Y",IF('House Count'!F1010="COMM-SU",1,IF('House Count'!F1010="COM-MTU",1,IF('House Count'!F1010="ENT",1,0))),0)</f>
        <v>0</v>
      </c>
    </row>
    <row r="1011" spans="1:11" x14ac:dyDescent="0.25">
      <c r="H1011" s="192"/>
      <c r="I1011" s="773"/>
      <c r="J1011">
        <f>IF('House Count'!H1011="Y",IF('House Count'!F1011="RES-SFU",1,IF('House Count'!F1011="RES-MDU",1,IF('House Count'!F1011="RES-HOA",1,0))),0)</f>
        <v>0</v>
      </c>
      <c r="K1011">
        <f>IF('House Count'!H1011="Y",IF('House Count'!F1011="COMM-SU",1,IF('House Count'!F1011="COM-MTU",1,IF('House Count'!F1011="ENT",1,0))),0)</f>
        <v>0</v>
      </c>
    </row>
    <row r="1012" spans="1:11" x14ac:dyDescent="0.25">
      <c r="H1012" s="192"/>
      <c r="I1012" s="773"/>
      <c r="J1012">
        <f>IF('House Count'!H1012="Y",IF('House Count'!F1012="RES-SFU",1,IF('House Count'!F1012="RES-MDU",1,IF('House Count'!F1012="RES-HOA",1,0))),0)</f>
        <v>0</v>
      </c>
      <c r="K1012">
        <f>IF('House Count'!H1012="Y",IF('House Count'!F1012="COMM-SU",1,IF('House Count'!F1012="COM-MTU",1,IF('House Count'!F1012="ENT",1,0))),0)</f>
        <v>0</v>
      </c>
    </row>
    <row r="1013" spans="1:11" x14ac:dyDescent="0.25">
      <c r="H1013" s="192"/>
      <c r="I1013" s="773"/>
      <c r="J1013">
        <f>IF('House Count'!H1013="Y",IF('House Count'!F1013="RES-SFU",1,IF('House Count'!F1013="RES-MDU",1,IF('House Count'!F1013="RES-HOA",1,0))),0)</f>
        <v>0</v>
      </c>
      <c r="K1013">
        <f>IF('House Count'!H1013="Y",IF('House Count'!F1013="COMM-SU",1,IF('House Count'!F1013="COM-MTU",1,IF('House Count'!F1013="ENT",1,0))),0)</f>
        <v>0</v>
      </c>
    </row>
    <row r="1014" spans="1:11" x14ac:dyDescent="0.25">
      <c r="H1014" s="192"/>
      <c r="I1014" s="773"/>
      <c r="J1014">
        <f>IF('House Count'!H1014="Y",IF('House Count'!F1014="RES-SFU",1,IF('House Count'!F1014="RES-MDU",1,IF('House Count'!F1014="RES-HOA",1,0))),0)</f>
        <v>0</v>
      </c>
      <c r="K1014">
        <f>IF('House Count'!H1014="Y",IF('House Count'!F1014="COMM-SU",1,IF('House Count'!F1014="COM-MTU",1,IF('House Count'!F1014="ENT",1,0))),0)</f>
        <v>0</v>
      </c>
    </row>
    <row r="1015" spans="1:11" x14ac:dyDescent="0.25">
      <c r="H1015" s="192"/>
      <c r="I1015" s="773"/>
      <c r="J1015">
        <f>IF('House Count'!H1015="Y",IF('House Count'!F1015="RES-SFU",1,IF('House Count'!F1015="RES-MDU",1,IF('House Count'!F1015="RES-HOA",1,0))),0)</f>
        <v>0</v>
      </c>
      <c r="K1015">
        <f>IF('House Count'!H1015="Y",IF('House Count'!F1015="COMM-SU",1,IF('House Count'!F1015="COM-MTU",1,IF('House Count'!F1015="ENT",1,0))),0)</f>
        <v>0</v>
      </c>
    </row>
    <row r="1016" spans="1:11" x14ac:dyDescent="0.25">
      <c r="H1016" s="192"/>
      <c r="I1016" s="773"/>
      <c r="J1016">
        <f>IF('House Count'!H1016="Y",IF('House Count'!F1016="RES-SFU",1,IF('House Count'!F1016="RES-MDU",1,IF('House Count'!F1016="RES-HOA",1,0))),0)</f>
        <v>0</v>
      </c>
      <c r="K1016">
        <f>IF('House Count'!H1016="Y",IF('House Count'!F1016="COMM-SU",1,IF('House Count'!F1016="COM-MTU",1,IF('House Count'!F1016="ENT",1,0))),0)</f>
        <v>0</v>
      </c>
    </row>
    <row r="1017" spans="1:11" x14ac:dyDescent="0.25">
      <c r="H1017" s="192"/>
      <c r="I1017" s="773"/>
      <c r="J1017">
        <f>IF('House Count'!H1017="Y",IF('House Count'!F1017="RES-SFU",1,IF('House Count'!F1017="RES-MDU",1,IF('House Count'!F1017="RES-HOA",1,0))),0)</f>
        <v>0</v>
      </c>
      <c r="K1017">
        <f>IF('House Count'!H1017="Y",IF('House Count'!F1017="COMM-SU",1,IF('House Count'!F1017="COM-MTU",1,IF('House Count'!F1017="ENT",1,0))),0)</f>
        <v>0</v>
      </c>
    </row>
    <row r="1018" spans="1:11" x14ac:dyDescent="0.25">
      <c r="H1018" s="192"/>
      <c r="I1018" s="773"/>
      <c r="J1018">
        <f>IF('House Count'!H1018="Y",IF('House Count'!F1018="RES-SFU",1,IF('House Count'!F1018="RES-MDU",1,IF('House Count'!F1018="RES-HOA",1,0))),0)</f>
        <v>0</v>
      </c>
      <c r="K1018">
        <f>IF('House Count'!H1018="Y",IF('House Count'!F1018="COMM-SU",1,IF('House Count'!F1018="COM-MTU",1,IF('House Count'!F1018="ENT",1,0))),0)</f>
        <v>0</v>
      </c>
    </row>
    <row r="1019" spans="1:11" x14ac:dyDescent="0.25">
      <c r="H1019" s="192"/>
      <c r="I1019" s="773"/>
      <c r="J1019">
        <f>IF('House Count'!H1019="Y",IF('House Count'!F1019="RES-SFU",1,IF('House Count'!F1019="RES-MDU",1,IF('House Count'!F1019="RES-HOA",1,0))),0)</f>
        <v>0</v>
      </c>
      <c r="K1019">
        <f>IF('House Count'!H1019="Y",IF('House Count'!F1019="COMM-SU",1,IF('House Count'!F1019="COM-MTU",1,IF('House Count'!F1019="ENT",1,0))),0)</f>
        <v>0</v>
      </c>
    </row>
    <row r="1020" spans="1:11" x14ac:dyDescent="0.25">
      <c r="H1020" s="192"/>
      <c r="I1020" s="773"/>
      <c r="J1020">
        <f>IF('House Count'!H1020="Y",IF('House Count'!F1020="RES-SFU",1,IF('House Count'!F1020="RES-MDU",1,IF('House Count'!F1020="RES-HOA",1,0))),0)</f>
        <v>0</v>
      </c>
      <c r="K1020">
        <f>IF('House Count'!H1020="Y",IF('House Count'!F1020="COMM-SU",1,IF('House Count'!F1020="COM-MTU",1,IF('House Count'!F1020="ENT",1,0))),0)</f>
        <v>0</v>
      </c>
    </row>
    <row r="1021" spans="1:11" ht="15.75" thickBot="1" x14ac:dyDescent="0.3">
      <c r="A1021" s="774"/>
      <c r="B1021" s="774"/>
      <c r="C1021" s="774"/>
      <c r="D1021" s="774"/>
      <c r="E1021" s="774"/>
      <c r="F1021" s="774"/>
      <c r="G1021" s="774"/>
      <c r="H1021" s="774"/>
      <c r="I1021" s="775"/>
      <c r="J1021">
        <f>IF('House Count'!H1021="Y",IF('House Count'!F1021="RES-SFU",1,IF('House Count'!F1021="RES-MDU",1,IF('House Count'!F1021="RES-HOA",1,0))),0)</f>
        <v>0</v>
      </c>
      <c r="K1021">
        <f>IF('House Count'!H1021="Y",IF('House Count'!F1021="COMM-SU",1,IF('House Count'!F1021="COM-MTU",1,IF('House Count'!F1021="ENT",1,0))),0)</f>
        <v>0</v>
      </c>
    </row>
    <row r="1022" spans="1:11" ht="15.75" thickTop="1" x14ac:dyDescent="0.25">
      <c r="H1022" s="192"/>
      <c r="I1022" s="773"/>
      <c r="J1022">
        <f>IF('House Count'!H1022="Y",IF('House Count'!F1022="RES-SFU",1,IF('House Count'!F1022="RES-MDU",1,IF('House Count'!F1022="RES-HOA",1,0))),0)</f>
        <v>0</v>
      </c>
      <c r="K1022">
        <f>IF('House Count'!H1022="Y",IF('House Count'!F1022="COMM-SU",1,IF('House Count'!F1022="COM-MTU",1,IF('House Count'!F1022="ENT",1,0))),0)</f>
        <v>0</v>
      </c>
    </row>
    <row r="1023" spans="1:11" x14ac:dyDescent="0.25">
      <c r="H1023" s="192"/>
      <c r="I1023" s="773"/>
      <c r="J1023">
        <f>IF('House Count'!H1023="Y",IF('House Count'!F1023="RES-SFU",1,IF('House Count'!F1023="RES-MDU",1,IF('House Count'!F1023="RES-HOA",1,0))),0)</f>
        <v>0</v>
      </c>
      <c r="K1023">
        <f>IF('House Count'!H1023="Y",IF('House Count'!F1023="COMM-SU",1,IF('House Count'!F1023="COM-MTU",1,IF('House Count'!F1023="ENT",1,0))),0)</f>
        <v>0</v>
      </c>
    </row>
    <row r="1024" spans="1:11" x14ac:dyDescent="0.25">
      <c r="H1024" s="192"/>
      <c r="I1024" s="773"/>
      <c r="J1024">
        <f>IF('House Count'!H1024="Y",IF('House Count'!F1024="RES-SFU",1,IF('House Count'!F1024="RES-MDU",1,IF('House Count'!F1024="RES-HOA",1,0))),0)</f>
        <v>0</v>
      </c>
      <c r="K1024">
        <f>IF('House Count'!H1024="Y",IF('House Count'!F1024="COMM-SU",1,IF('House Count'!F1024="COM-MTU",1,IF('House Count'!F1024="ENT",1,0))),0)</f>
        <v>0</v>
      </c>
    </row>
    <row r="1025" spans="1:11" x14ac:dyDescent="0.25">
      <c r="H1025" s="192"/>
      <c r="I1025" s="773"/>
      <c r="J1025">
        <f>IF('House Count'!H1025="Y",IF('House Count'!F1025="RES-SFU",1,IF('House Count'!F1025="RES-MDU",1,IF('House Count'!F1025="RES-HOA",1,0))),0)</f>
        <v>0</v>
      </c>
      <c r="K1025">
        <f>IF('House Count'!H1025="Y",IF('House Count'!F1025="COMM-SU",1,IF('House Count'!F1025="COM-MTU",1,IF('House Count'!F1025="ENT",1,0))),0)</f>
        <v>0</v>
      </c>
    </row>
    <row r="1026" spans="1:11" x14ac:dyDescent="0.25">
      <c r="H1026" s="192"/>
      <c r="I1026" s="773"/>
      <c r="J1026">
        <f>IF('House Count'!H1026="Y",IF('House Count'!F1026="RES-SFU",1,IF('House Count'!F1026="RES-MDU",1,IF('House Count'!F1026="RES-HOA",1,0))),0)</f>
        <v>0</v>
      </c>
      <c r="K1026">
        <f>IF('House Count'!H1026="Y",IF('House Count'!F1026="COMM-SU",1,IF('House Count'!F1026="COM-MTU",1,IF('House Count'!F1026="ENT",1,0))),0)</f>
        <v>0</v>
      </c>
    </row>
    <row r="1027" spans="1:11" x14ac:dyDescent="0.25">
      <c r="H1027" s="192"/>
      <c r="I1027" s="773"/>
      <c r="J1027">
        <f>IF('House Count'!H1027="Y",IF('House Count'!F1027="RES-SFU",1,IF('House Count'!F1027="RES-MDU",1,IF('House Count'!F1027="RES-HOA",1,0))),0)</f>
        <v>0</v>
      </c>
      <c r="K1027">
        <f>IF('House Count'!H1027="Y",IF('House Count'!F1027="COMM-SU",1,IF('House Count'!F1027="COM-MTU",1,IF('House Count'!F1027="ENT",1,0))),0)</f>
        <v>0</v>
      </c>
    </row>
    <row r="1028" spans="1:11" x14ac:dyDescent="0.25">
      <c r="H1028" s="192"/>
      <c r="I1028" s="773"/>
      <c r="J1028">
        <f>IF('House Count'!H1028="Y",IF('House Count'!F1028="RES-SFU",1,IF('House Count'!F1028="RES-MDU",1,IF('House Count'!F1028="RES-HOA",1,0))),0)</f>
        <v>0</v>
      </c>
      <c r="K1028">
        <f>IF('House Count'!H1028="Y",IF('House Count'!F1028="COMM-SU",1,IF('House Count'!F1028="COM-MTU",1,IF('House Count'!F1028="ENT",1,0))),0)</f>
        <v>0</v>
      </c>
    </row>
    <row r="1029" spans="1:11" x14ac:dyDescent="0.25">
      <c r="H1029" s="192"/>
      <c r="I1029" s="773"/>
      <c r="J1029">
        <f>IF('House Count'!H1029="Y",IF('House Count'!F1029="RES-SFU",1,IF('House Count'!F1029="RES-MDU",1,IF('House Count'!F1029="RES-HOA",1,0))),0)</f>
        <v>0</v>
      </c>
      <c r="K1029">
        <f>IF('House Count'!H1029="Y",IF('House Count'!F1029="COMM-SU",1,IF('House Count'!F1029="COM-MTU",1,IF('House Count'!F1029="ENT",1,0))),0)</f>
        <v>0</v>
      </c>
    </row>
    <row r="1030" spans="1:11" x14ac:dyDescent="0.25">
      <c r="H1030" s="192"/>
      <c r="I1030" s="773"/>
      <c r="J1030">
        <f>IF('House Count'!H1030="Y",IF('House Count'!F1030="RES-SFU",1,IF('House Count'!F1030="RES-MDU",1,IF('House Count'!F1030="RES-HOA",1,0))),0)</f>
        <v>0</v>
      </c>
      <c r="K1030">
        <f>IF('House Count'!H1030="Y",IF('House Count'!F1030="COMM-SU",1,IF('House Count'!F1030="COM-MTU",1,IF('House Count'!F1030="ENT",1,0))),0)</f>
        <v>0</v>
      </c>
    </row>
    <row r="1031" spans="1:11" x14ac:dyDescent="0.25">
      <c r="H1031" s="192"/>
      <c r="I1031" s="773"/>
      <c r="J1031">
        <f>IF('House Count'!H1031="Y",IF('House Count'!F1031="RES-SFU",1,IF('House Count'!F1031="RES-MDU",1,IF('House Count'!F1031="RES-HOA",1,0))),0)</f>
        <v>0</v>
      </c>
      <c r="K1031">
        <f>IF('House Count'!H1031="Y",IF('House Count'!F1031="COMM-SU",1,IF('House Count'!F1031="COM-MTU",1,IF('House Count'!F1031="ENT",1,0))),0)</f>
        <v>0</v>
      </c>
    </row>
    <row r="1032" spans="1:11" x14ac:dyDescent="0.25">
      <c r="H1032" s="192"/>
      <c r="I1032" s="773"/>
      <c r="J1032">
        <f>IF('House Count'!H1032="Y",IF('House Count'!F1032="RES-SFU",1,IF('House Count'!F1032="RES-MDU",1,IF('House Count'!F1032="RES-HOA",1,0))),0)</f>
        <v>0</v>
      </c>
      <c r="K1032">
        <f>IF('House Count'!H1032="Y",IF('House Count'!F1032="COMM-SU",1,IF('House Count'!F1032="COM-MTU",1,IF('House Count'!F1032="ENT",1,0))),0)</f>
        <v>0</v>
      </c>
    </row>
    <row r="1033" spans="1:11" ht="15.75" thickBot="1" x14ac:dyDescent="0.3">
      <c r="A1033" s="774"/>
      <c r="B1033" s="774"/>
      <c r="C1033" s="774"/>
      <c r="D1033" s="774"/>
      <c r="E1033" s="774"/>
      <c r="F1033" s="774"/>
      <c r="G1033" s="774"/>
      <c r="H1033" s="774"/>
      <c r="I1033" s="775"/>
      <c r="J1033">
        <f>IF('House Count'!H1033="Y",IF('House Count'!F1033="RES-SFU",1,IF('House Count'!F1033="RES-MDU",1,IF('House Count'!F1033="RES-HOA",1,0))),0)</f>
        <v>0</v>
      </c>
      <c r="K1033">
        <f>IF('House Count'!H1033="Y",IF('House Count'!F1033="COMM-SU",1,IF('House Count'!F1033="COM-MTU",1,IF('House Count'!F1033="ENT",1,0))),0)</f>
        <v>0</v>
      </c>
    </row>
    <row r="1034" spans="1:11" ht="15.75" thickTop="1" x14ac:dyDescent="0.25">
      <c r="H1034" s="192"/>
      <c r="I1034" s="773"/>
      <c r="J1034">
        <f>IF('House Count'!H1034="Y",IF('House Count'!F1034="RES-SFU",1,IF('House Count'!F1034="RES-MDU",1,IF('House Count'!F1034="RES-HOA",1,0))),0)</f>
        <v>0</v>
      </c>
      <c r="K1034">
        <f>IF('House Count'!H1034="Y",IF('House Count'!F1034="COMM-SU",1,IF('House Count'!F1034="COM-MTU",1,IF('House Count'!F1034="ENT",1,0))),0)</f>
        <v>0</v>
      </c>
    </row>
    <row r="1035" spans="1:11" x14ac:dyDescent="0.25">
      <c r="H1035" s="192"/>
      <c r="I1035" s="773"/>
      <c r="J1035">
        <f>IF('House Count'!H1035="Y",IF('House Count'!F1035="RES-SFU",1,IF('House Count'!F1035="RES-MDU",1,IF('House Count'!F1035="RES-HOA",1,0))),0)</f>
        <v>0</v>
      </c>
      <c r="K1035">
        <f>IF('House Count'!H1035="Y",IF('House Count'!F1035="COMM-SU",1,IF('House Count'!F1035="COM-MTU",1,IF('House Count'!F1035="ENT",1,0))),0)</f>
        <v>0</v>
      </c>
    </row>
    <row r="1036" spans="1:11" x14ac:dyDescent="0.25">
      <c r="H1036" s="192"/>
      <c r="I1036" s="773"/>
      <c r="J1036">
        <f>IF('House Count'!H1036="Y",IF('House Count'!F1036="RES-SFU",1,IF('House Count'!F1036="RES-MDU",1,IF('House Count'!F1036="RES-HOA",1,0))),0)</f>
        <v>0</v>
      </c>
      <c r="K1036">
        <f>IF('House Count'!H1036="Y",IF('House Count'!F1036="COMM-SU",1,IF('House Count'!F1036="COM-MTU",1,IF('House Count'!F1036="ENT",1,0))),0)</f>
        <v>0</v>
      </c>
    </row>
    <row r="1037" spans="1:11" x14ac:dyDescent="0.25">
      <c r="H1037" s="192"/>
      <c r="I1037" s="773"/>
      <c r="J1037">
        <f>IF('House Count'!H1037="Y",IF('House Count'!F1037="RES-SFU",1,IF('House Count'!F1037="RES-MDU",1,IF('House Count'!F1037="RES-HOA",1,0))),0)</f>
        <v>0</v>
      </c>
      <c r="K1037">
        <f>IF('House Count'!H1037="Y",IF('House Count'!F1037="COMM-SU",1,IF('House Count'!F1037="COM-MTU",1,IF('House Count'!F1037="ENT",1,0))),0)</f>
        <v>0</v>
      </c>
    </row>
    <row r="1038" spans="1:11" x14ac:dyDescent="0.25">
      <c r="H1038" s="192"/>
      <c r="I1038" s="773"/>
      <c r="J1038">
        <f>IF('House Count'!H1038="Y",IF('House Count'!F1038="RES-SFU",1,IF('House Count'!F1038="RES-MDU",1,IF('House Count'!F1038="RES-HOA",1,0))),0)</f>
        <v>0</v>
      </c>
      <c r="K1038">
        <f>IF('House Count'!H1038="Y",IF('House Count'!F1038="COMM-SU",1,IF('House Count'!F1038="COM-MTU",1,IF('House Count'!F1038="ENT",1,0))),0)</f>
        <v>0</v>
      </c>
    </row>
    <row r="1039" spans="1:11" x14ac:dyDescent="0.25">
      <c r="H1039" s="192"/>
      <c r="I1039" s="773"/>
      <c r="J1039">
        <f>IF('House Count'!H1039="Y",IF('House Count'!F1039="RES-SFU",1,IF('House Count'!F1039="RES-MDU",1,IF('House Count'!F1039="RES-HOA",1,0))),0)</f>
        <v>0</v>
      </c>
      <c r="K1039">
        <f>IF('House Count'!H1039="Y",IF('House Count'!F1039="COMM-SU",1,IF('House Count'!F1039="COM-MTU",1,IF('House Count'!F1039="ENT",1,0))),0)</f>
        <v>0</v>
      </c>
    </row>
    <row r="1040" spans="1:11" x14ac:dyDescent="0.25">
      <c r="H1040" s="192"/>
      <c r="I1040" s="773"/>
      <c r="J1040">
        <f>IF('House Count'!H1040="Y",IF('House Count'!F1040="RES-SFU",1,IF('House Count'!F1040="RES-MDU",1,IF('House Count'!F1040="RES-HOA",1,0))),0)</f>
        <v>0</v>
      </c>
      <c r="K1040">
        <f>IF('House Count'!H1040="Y",IF('House Count'!F1040="COMM-SU",1,IF('House Count'!F1040="COM-MTU",1,IF('House Count'!F1040="ENT",1,0))),0)</f>
        <v>0</v>
      </c>
    </row>
    <row r="1041" spans="1:11" x14ac:dyDescent="0.25">
      <c r="H1041" s="192"/>
      <c r="I1041" s="773"/>
      <c r="J1041">
        <f>IF('House Count'!H1041="Y",IF('House Count'!F1041="RES-SFU",1,IF('House Count'!F1041="RES-MDU",1,IF('House Count'!F1041="RES-HOA",1,0))),0)</f>
        <v>0</v>
      </c>
      <c r="K1041">
        <f>IF('House Count'!H1041="Y",IF('House Count'!F1041="COMM-SU",1,IF('House Count'!F1041="COM-MTU",1,IF('House Count'!F1041="ENT",1,0))),0)</f>
        <v>0</v>
      </c>
    </row>
    <row r="1042" spans="1:11" x14ac:dyDescent="0.25">
      <c r="H1042" s="192"/>
      <c r="I1042" s="773"/>
      <c r="J1042">
        <f>IF('House Count'!H1042="Y",IF('House Count'!F1042="RES-SFU",1,IF('House Count'!F1042="RES-MDU",1,IF('House Count'!F1042="RES-HOA",1,0))),0)</f>
        <v>0</v>
      </c>
      <c r="K1042">
        <f>IF('House Count'!H1042="Y",IF('House Count'!F1042="COMM-SU",1,IF('House Count'!F1042="COM-MTU",1,IF('House Count'!F1042="ENT",1,0))),0)</f>
        <v>0</v>
      </c>
    </row>
    <row r="1043" spans="1:11" x14ac:dyDescent="0.25">
      <c r="H1043" s="192"/>
      <c r="I1043" s="773"/>
      <c r="J1043">
        <f>IF('House Count'!H1043="Y",IF('House Count'!F1043="RES-SFU",1,IF('House Count'!F1043="RES-MDU",1,IF('House Count'!F1043="RES-HOA",1,0))),0)</f>
        <v>0</v>
      </c>
      <c r="K1043">
        <f>IF('House Count'!H1043="Y",IF('House Count'!F1043="COMM-SU",1,IF('House Count'!F1043="COM-MTU",1,IF('House Count'!F1043="ENT",1,0))),0)</f>
        <v>0</v>
      </c>
    </row>
    <row r="1044" spans="1:11" x14ac:dyDescent="0.25">
      <c r="H1044" s="192"/>
      <c r="I1044" s="773"/>
      <c r="J1044">
        <f>IF('House Count'!H1044="Y",IF('House Count'!F1044="RES-SFU",1,IF('House Count'!F1044="RES-MDU",1,IF('House Count'!F1044="RES-HOA",1,0))),0)</f>
        <v>0</v>
      </c>
      <c r="K1044">
        <f>IF('House Count'!H1044="Y",IF('House Count'!F1044="COMM-SU",1,IF('House Count'!F1044="COM-MTU",1,IF('House Count'!F1044="ENT",1,0))),0)</f>
        <v>0</v>
      </c>
    </row>
    <row r="1045" spans="1:11" ht="15.75" thickBot="1" x14ac:dyDescent="0.3">
      <c r="A1045" s="774"/>
      <c r="B1045" s="774"/>
      <c r="C1045" s="774"/>
      <c r="D1045" s="774"/>
      <c r="E1045" s="774"/>
      <c r="F1045" s="774"/>
      <c r="G1045" s="774"/>
      <c r="H1045" s="774"/>
      <c r="I1045" s="775"/>
      <c r="J1045">
        <f>IF('House Count'!H1045="Y",IF('House Count'!F1045="RES-SFU",1,IF('House Count'!F1045="RES-MDU",1,IF('House Count'!F1045="RES-HOA",1,0))),0)</f>
        <v>0</v>
      </c>
      <c r="K1045">
        <f>IF('House Count'!H1045="Y",IF('House Count'!F1045="COMM-SU",1,IF('House Count'!F1045="COM-MTU",1,IF('House Count'!F1045="ENT",1,0))),0)</f>
        <v>0</v>
      </c>
    </row>
    <row r="1046" spans="1:11" ht="15.75" thickTop="1" x14ac:dyDescent="0.25">
      <c r="H1046" s="192"/>
      <c r="I1046" s="773"/>
      <c r="J1046">
        <f>IF('House Count'!H1046="Y",IF('House Count'!F1046="RES-SFU",1,IF('House Count'!F1046="RES-MDU",1,IF('House Count'!F1046="RES-HOA",1,0))),0)</f>
        <v>0</v>
      </c>
      <c r="K1046">
        <f>IF('House Count'!H1046="Y",IF('House Count'!F1046="COMM-SU",1,IF('House Count'!F1046="COM-MTU",1,IF('House Count'!F1046="ENT",1,0))),0)</f>
        <v>0</v>
      </c>
    </row>
    <row r="1047" spans="1:11" x14ac:dyDescent="0.25">
      <c r="H1047" s="192"/>
      <c r="I1047" s="773"/>
      <c r="J1047">
        <f>IF('House Count'!H1047="Y",IF('House Count'!F1047="RES-SFU",1,IF('House Count'!F1047="RES-MDU",1,IF('House Count'!F1047="RES-HOA",1,0))),0)</f>
        <v>0</v>
      </c>
      <c r="K1047">
        <f>IF('House Count'!H1047="Y",IF('House Count'!F1047="COMM-SU",1,IF('House Count'!F1047="COM-MTU",1,IF('House Count'!F1047="ENT",1,0))),0)</f>
        <v>0</v>
      </c>
    </row>
    <row r="1048" spans="1:11" x14ac:dyDescent="0.25">
      <c r="H1048" s="192"/>
      <c r="I1048" s="773"/>
      <c r="J1048">
        <f>IF('House Count'!H1048="Y",IF('House Count'!F1048="RES-SFU",1,IF('House Count'!F1048="RES-MDU",1,IF('House Count'!F1048="RES-HOA",1,0))),0)</f>
        <v>0</v>
      </c>
      <c r="K1048">
        <f>IF('House Count'!H1048="Y",IF('House Count'!F1048="COMM-SU",1,IF('House Count'!F1048="COM-MTU",1,IF('House Count'!F1048="ENT",1,0))),0)</f>
        <v>0</v>
      </c>
    </row>
    <row r="1049" spans="1:11" x14ac:dyDescent="0.25">
      <c r="H1049" s="192"/>
      <c r="I1049" s="773"/>
      <c r="J1049">
        <f>IF('House Count'!H1049="Y",IF('House Count'!F1049="RES-SFU",1,IF('House Count'!F1049="RES-MDU",1,IF('House Count'!F1049="RES-HOA",1,0))),0)</f>
        <v>0</v>
      </c>
      <c r="K1049">
        <f>IF('House Count'!H1049="Y",IF('House Count'!F1049="COMM-SU",1,IF('House Count'!F1049="COM-MTU",1,IF('House Count'!F1049="ENT",1,0))),0)</f>
        <v>0</v>
      </c>
    </row>
    <row r="1050" spans="1:11" x14ac:dyDescent="0.25">
      <c r="H1050" s="192"/>
      <c r="I1050" s="773"/>
      <c r="J1050">
        <f>IF('House Count'!H1050="Y",IF('House Count'!F1050="RES-SFU",1,IF('House Count'!F1050="RES-MDU",1,IF('House Count'!F1050="RES-HOA",1,0))),0)</f>
        <v>0</v>
      </c>
      <c r="K1050">
        <f>IF('House Count'!H1050="Y",IF('House Count'!F1050="COMM-SU",1,IF('House Count'!F1050="COM-MTU",1,IF('House Count'!F1050="ENT",1,0))),0)</f>
        <v>0</v>
      </c>
    </row>
    <row r="1051" spans="1:11" x14ac:dyDescent="0.25">
      <c r="H1051" s="192"/>
      <c r="I1051" s="773"/>
      <c r="J1051">
        <f>IF('House Count'!H1051="Y",IF('House Count'!F1051="RES-SFU",1,IF('House Count'!F1051="RES-MDU",1,IF('House Count'!F1051="RES-HOA",1,0))),0)</f>
        <v>0</v>
      </c>
      <c r="K1051">
        <f>IF('House Count'!H1051="Y",IF('House Count'!F1051="COMM-SU",1,IF('House Count'!F1051="COM-MTU",1,IF('House Count'!F1051="ENT",1,0))),0)</f>
        <v>0</v>
      </c>
    </row>
    <row r="1052" spans="1:11" x14ac:dyDescent="0.25">
      <c r="H1052" s="192"/>
      <c r="I1052" s="773"/>
      <c r="J1052">
        <f>IF('House Count'!H1052="Y",IF('House Count'!F1052="RES-SFU",1,IF('House Count'!F1052="RES-MDU",1,IF('House Count'!F1052="RES-HOA",1,0))),0)</f>
        <v>0</v>
      </c>
      <c r="K1052">
        <f>IF('House Count'!H1052="Y",IF('House Count'!F1052="COMM-SU",1,IF('House Count'!F1052="COM-MTU",1,IF('House Count'!F1052="ENT",1,0))),0)</f>
        <v>0</v>
      </c>
    </row>
    <row r="1053" spans="1:11" x14ac:dyDescent="0.25">
      <c r="H1053" s="192"/>
      <c r="I1053" s="773"/>
      <c r="J1053">
        <f>IF('House Count'!H1053="Y",IF('House Count'!F1053="RES-SFU",1,IF('House Count'!F1053="RES-MDU",1,IF('House Count'!F1053="RES-HOA",1,0))),0)</f>
        <v>0</v>
      </c>
      <c r="K1053">
        <f>IF('House Count'!H1053="Y",IF('House Count'!F1053="COMM-SU",1,IF('House Count'!F1053="COM-MTU",1,IF('House Count'!F1053="ENT",1,0))),0)</f>
        <v>0</v>
      </c>
    </row>
    <row r="1054" spans="1:11" x14ac:dyDescent="0.25">
      <c r="H1054" s="192"/>
      <c r="I1054" s="773"/>
      <c r="J1054">
        <f>IF('House Count'!H1054="Y",IF('House Count'!F1054="RES-SFU",1,IF('House Count'!F1054="RES-MDU",1,IF('House Count'!F1054="RES-HOA",1,0))),0)</f>
        <v>0</v>
      </c>
      <c r="K1054">
        <f>IF('House Count'!H1054="Y",IF('House Count'!F1054="COMM-SU",1,IF('House Count'!F1054="COM-MTU",1,IF('House Count'!F1054="ENT",1,0))),0)</f>
        <v>0</v>
      </c>
    </row>
    <row r="1055" spans="1:11" x14ac:dyDescent="0.25">
      <c r="H1055" s="192"/>
      <c r="I1055" s="773"/>
      <c r="J1055">
        <f>IF('House Count'!H1055="Y",IF('House Count'!F1055="RES-SFU",1,IF('House Count'!F1055="RES-MDU",1,IF('House Count'!F1055="RES-HOA",1,0))),0)</f>
        <v>0</v>
      </c>
      <c r="K1055">
        <f>IF('House Count'!H1055="Y",IF('House Count'!F1055="COMM-SU",1,IF('House Count'!F1055="COM-MTU",1,IF('House Count'!F1055="ENT",1,0))),0)</f>
        <v>0</v>
      </c>
    </row>
    <row r="1056" spans="1:11" x14ac:dyDescent="0.25">
      <c r="H1056" s="192"/>
      <c r="I1056" s="773"/>
      <c r="J1056">
        <f>IF('House Count'!H1056="Y",IF('House Count'!F1056="RES-SFU",1,IF('House Count'!F1056="RES-MDU",1,IF('House Count'!F1056="RES-HOA",1,0))),0)</f>
        <v>0</v>
      </c>
      <c r="K1056">
        <f>IF('House Count'!H1056="Y",IF('House Count'!F1056="COMM-SU",1,IF('House Count'!F1056="COM-MTU",1,IF('House Count'!F1056="ENT",1,0))),0)</f>
        <v>0</v>
      </c>
    </row>
    <row r="1057" spans="1:11" ht="15.75" thickBot="1" x14ac:dyDescent="0.3">
      <c r="A1057" s="774"/>
      <c r="B1057" s="774"/>
      <c r="C1057" s="774"/>
      <c r="D1057" s="774"/>
      <c r="E1057" s="774"/>
      <c r="F1057" s="774"/>
      <c r="G1057" s="774"/>
      <c r="H1057" s="774"/>
      <c r="I1057" s="775"/>
      <c r="J1057">
        <f>IF('House Count'!H1057="Y",IF('House Count'!F1057="RES-SFU",1,IF('House Count'!F1057="RES-MDU",1,IF('House Count'!F1057="RES-HOA",1,0))),0)</f>
        <v>0</v>
      </c>
      <c r="K1057">
        <f>IF('House Count'!H1057="Y",IF('House Count'!F1057="COMM-SU",1,IF('House Count'!F1057="COM-MTU",1,IF('House Count'!F1057="ENT",1,0))),0)</f>
        <v>0</v>
      </c>
    </row>
    <row r="1058" spans="1:11" ht="15.75" thickTop="1" x14ac:dyDescent="0.25">
      <c r="H1058" s="192"/>
      <c r="I1058" s="773"/>
      <c r="J1058">
        <f>IF('House Count'!H1058="Y",IF('House Count'!F1058="RES-SFU",1,IF('House Count'!F1058="RES-MDU",1,IF('House Count'!F1058="RES-HOA",1,0))),0)</f>
        <v>0</v>
      </c>
      <c r="K1058">
        <f>IF('House Count'!H1058="Y",IF('House Count'!F1058="COMM-SU",1,IF('House Count'!F1058="COM-MTU",1,IF('House Count'!F1058="ENT",1,0))),0)</f>
        <v>0</v>
      </c>
    </row>
    <row r="1059" spans="1:11" x14ac:dyDescent="0.25">
      <c r="H1059" s="192"/>
      <c r="I1059" s="773"/>
      <c r="J1059">
        <f>IF('House Count'!H1059="Y",IF('House Count'!F1059="RES-SFU",1,IF('House Count'!F1059="RES-MDU",1,IF('House Count'!F1059="RES-HOA",1,0))),0)</f>
        <v>0</v>
      </c>
      <c r="K1059">
        <f>IF('House Count'!H1059="Y",IF('House Count'!F1059="COMM-SU",1,IF('House Count'!F1059="COM-MTU",1,IF('House Count'!F1059="ENT",1,0))),0)</f>
        <v>0</v>
      </c>
    </row>
    <row r="1060" spans="1:11" x14ac:dyDescent="0.25">
      <c r="H1060" s="192"/>
      <c r="I1060" s="773"/>
      <c r="J1060">
        <f>IF('House Count'!H1060="Y",IF('House Count'!F1060="RES-SFU",1,IF('House Count'!F1060="RES-MDU",1,IF('House Count'!F1060="RES-HOA",1,0))),0)</f>
        <v>0</v>
      </c>
      <c r="K1060">
        <f>IF('House Count'!H1060="Y",IF('House Count'!F1060="COMM-SU",1,IF('House Count'!F1060="COM-MTU",1,IF('House Count'!F1060="ENT",1,0))),0)</f>
        <v>0</v>
      </c>
    </row>
    <row r="1061" spans="1:11" x14ac:dyDescent="0.25">
      <c r="H1061" s="192"/>
      <c r="I1061" s="773"/>
      <c r="J1061">
        <f>IF('House Count'!H1061="Y",IF('House Count'!F1061="RES-SFU",1,IF('House Count'!F1061="RES-MDU",1,IF('House Count'!F1061="RES-HOA",1,0))),0)</f>
        <v>0</v>
      </c>
      <c r="K1061">
        <f>IF('House Count'!H1061="Y",IF('House Count'!F1061="COMM-SU",1,IF('House Count'!F1061="COM-MTU",1,IF('House Count'!F1061="ENT",1,0))),0)</f>
        <v>0</v>
      </c>
    </row>
    <row r="1062" spans="1:11" x14ac:dyDescent="0.25">
      <c r="H1062" s="192"/>
      <c r="I1062" s="773"/>
      <c r="J1062">
        <f>IF('House Count'!H1062="Y",IF('House Count'!F1062="RES-SFU",1,IF('House Count'!F1062="RES-MDU",1,IF('House Count'!F1062="RES-HOA",1,0))),0)</f>
        <v>0</v>
      </c>
      <c r="K1062">
        <f>IF('House Count'!H1062="Y",IF('House Count'!F1062="COMM-SU",1,IF('House Count'!F1062="COM-MTU",1,IF('House Count'!F1062="ENT",1,0))),0)</f>
        <v>0</v>
      </c>
    </row>
    <row r="1063" spans="1:11" x14ac:dyDescent="0.25">
      <c r="H1063" s="192"/>
      <c r="I1063" s="773"/>
      <c r="J1063">
        <f>IF('House Count'!H1063="Y",IF('House Count'!F1063="RES-SFU",1,IF('House Count'!F1063="RES-MDU",1,IF('House Count'!F1063="RES-HOA",1,0))),0)</f>
        <v>0</v>
      </c>
      <c r="K1063">
        <f>IF('House Count'!H1063="Y",IF('House Count'!F1063="COMM-SU",1,IF('House Count'!F1063="COM-MTU",1,IF('House Count'!F1063="ENT",1,0))),0)</f>
        <v>0</v>
      </c>
    </row>
    <row r="1064" spans="1:11" x14ac:dyDescent="0.25">
      <c r="H1064" s="192"/>
      <c r="I1064" s="773"/>
      <c r="J1064">
        <f>IF('House Count'!H1064="Y",IF('House Count'!F1064="RES-SFU",1,IF('House Count'!F1064="RES-MDU",1,IF('House Count'!F1064="RES-HOA",1,0))),0)</f>
        <v>0</v>
      </c>
      <c r="K1064">
        <f>IF('House Count'!H1064="Y",IF('House Count'!F1064="COMM-SU",1,IF('House Count'!F1064="COM-MTU",1,IF('House Count'!F1064="ENT",1,0))),0)</f>
        <v>0</v>
      </c>
    </row>
    <row r="1065" spans="1:11" x14ac:dyDescent="0.25">
      <c r="H1065" s="192"/>
      <c r="I1065" s="773"/>
      <c r="J1065">
        <f>IF('House Count'!H1065="Y",IF('House Count'!F1065="RES-SFU",1,IF('House Count'!F1065="RES-MDU",1,IF('House Count'!F1065="RES-HOA",1,0))),0)</f>
        <v>0</v>
      </c>
      <c r="K1065">
        <f>IF('House Count'!H1065="Y",IF('House Count'!F1065="COMM-SU",1,IF('House Count'!F1065="COM-MTU",1,IF('House Count'!F1065="ENT",1,0))),0)</f>
        <v>0</v>
      </c>
    </row>
    <row r="1066" spans="1:11" x14ac:dyDescent="0.25">
      <c r="H1066" s="192"/>
      <c r="I1066" s="773"/>
      <c r="J1066">
        <f>IF('House Count'!H1066="Y",IF('House Count'!F1066="RES-SFU",1,IF('House Count'!F1066="RES-MDU",1,IF('House Count'!F1066="RES-HOA",1,0))),0)</f>
        <v>0</v>
      </c>
      <c r="K1066">
        <f>IF('House Count'!H1066="Y",IF('House Count'!F1066="COMM-SU",1,IF('House Count'!F1066="COM-MTU",1,IF('House Count'!F1066="ENT",1,0))),0)</f>
        <v>0</v>
      </c>
    </row>
    <row r="1067" spans="1:11" x14ac:dyDescent="0.25">
      <c r="H1067" s="192"/>
      <c r="I1067" s="773"/>
      <c r="J1067">
        <f>IF('House Count'!H1067="Y",IF('House Count'!F1067="RES-SFU",1,IF('House Count'!F1067="RES-MDU",1,IF('House Count'!F1067="RES-HOA",1,0))),0)</f>
        <v>0</v>
      </c>
      <c r="K1067">
        <f>IF('House Count'!H1067="Y",IF('House Count'!F1067="COMM-SU",1,IF('House Count'!F1067="COM-MTU",1,IF('House Count'!F1067="ENT",1,0))),0)</f>
        <v>0</v>
      </c>
    </row>
    <row r="1068" spans="1:11" x14ac:dyDescent="0.25">
      <c r="H1068" s="192"/>
      <c r="I1068" s="773"/>
      <c r="J1068">
        <f>IF('House Count'!H1068="Y",IF('House Count'!F1068="RES-SFU",1,IF('House Count'!F1068="RES-MDU",1,IF('House Count'!F1068="RES-HOA",1,0))),0)</f>
        <v>0</v>
      </c>
      <c r="K1068">
        <f>IF('House Count'!H1068="Y",IF('House Count'!F1068="COMM-SU",1,IF('House Count'!F1068="COM-MTU",1,IF('House Count'!F1068="ENT",1,0))),0)</f>
        <v>0</v>
      </c>
    </row>
    <row r="1069" spans="1:11" ht="15.75" thickBot="1" x14ac:dyDescent="0.3">
      <c r="A1069" s="774"/>
      <c r="B1069" s="774"/>
      <c r="C1069" s="774"/>
      <c r="D1069" s="774"/>
      <c r="E1069" s="774"/>
      <c r="F1069" s="774"/>
      <c r="G1069" s="774"/>
      <c r="H1069" s="774"/>
      <c r="I1069" s="775"/>
      <c r="J1069">
        <f>IF('House Count'!H1069="Y",IF('House Count'!F1069="RES-SFU",1,IF('House Count'!F1069="RES-MDU",1,IF('House Count'!F1069="RES-HOA",1,0))),0)</f>
        <v>0</v>
      </c>
      <c r="K1069">
        <f>IF('House Count'!H1069="Y",IF('House Count'!F1069="COMM-SU",1,IF('House Count'!F1069="COM-MTU",1,IF('House Count'!F1069="ENT",1,0))),0)</f>
        <v>0</v>
      </c>
    </row>
    <row r="1070" spans="1:11" ht="15.75" thickTop="1" x14ac:dyDescent="0.25">
      <c r="H1070" s="192"/>
      <c r="I1070" s="773"/>
      <c r="J1070">
        <f>IF('House Count'!H1070="Y",IF('House Count'!F1070="RES-SFU",1,IF('House Count'!F1070="RES-MDU",1,IF('House Count'!F1070="RES-HOA",1,0))),0)</f>
        <v>0</v>
      </c>
      <c r="K1070">
        <f>IF('House Count'!H1070="Y",IF('House Count'!F1070="COMM-SU",1,IF('House Count'!F1070="COM-MTU",1,IF('House Count'!F1070="ENT",1,0))),0)</f>
        <v>0</v>
      </c>
    </row>
    <row r="1071" spans="1:11" x14ac:dyDescent="0.25">
      <c r="H1071" s="192"/>
      <c r="I1071" s="773"/>
      <c r="J1071">
        <f>IF('House Count'!H1071="Y",IF('House Count'!F1071="RES-SFU",1,IF('House Count'!F1071="RES-MDU",1,IF('House Count'!F1071="RES-HOA",1,0))),0)</f>
        <v>0</v>
      </c>
      <c r="K1071">
        <f>IF('House Count'!H1071="Y",IF('House Count'!F1071="COMM-SU",1,IF('House Count'!F1071="COM-MTU",1,IF('House Count'!F1071="ENT",1,0))),0)</f>
        <v>0</v>
      </c>
    </row>
    <row r="1072" spans="1:11" x14ac:dyDescent="0.25">
      <c r="H1072" s="192"/>
      <c r="I1072" s="773"/>
      <c r="J1072">
        <f>IF('House Count'!H1072="Y",IF('House Count'!F1072="RES-SFU",1,IF('House Count'!F1072="RES-MDU",1,IF('House Count'!F1072="RES-HOA",1,0))),0)</f>
        <v>0</v>
      </c>
      <c r="K1072">
        <f>IF('House Count'!H1072="Y",IF('House Count'!F1072="COMM-SU",1,IF('House Count'!F1072="COM-MTU",1,IF('House Count'!F1072="ENT",1,0))),0)</f>
        <v>0</v>
      </c>
    </row>
    <row r="1073" spans="1:11" x14ac:dyDescent="0.25">
      <c r="H1073" s="192"/>
      <c r="I1073" s="773"/>
      <c r="J1073">
        <f>IF('House Count'!H1073="Y",IF('House Count'!F1073="RES-SFU",1,IF('House Count'!F1073="RES-MDU",1,IF('House Count'!F1073="RES-HOA",1,0))),0)</f>
        <v>0</v>
      </c>
      <c r="K1073">
        <f>IF('House Count'!H1073="Y",IF('House Count'!F1073="COMM-SU",1,IF('House Count'!F1073="COM-MTU",1,IF('House Count'!F1073="ENT",1,0))),0)</f>
        <v>0</v>
      </c>
    </row>
    <row r="1074" spans="1:11" x14ac:dyDescent="0.25">
      <c r="H1074" s="192"/>
      <c r="I1074" s="773"/>
      <c r="J1074">
        <f>IF('House Count'!H1074="Y",IF('House Count'!F1074="RES-SFU",1,IF('House Count'!F1074="RES-MDU",1,IF('House Count'!F1074="RES-HOA",1,0))),0)</f>
        <v>0</v>
      </c>
      <c r="K1074">
        <f>IF('House Count'!H1074="Y",IF('House Count'!F1074="COMM-SU",1,IF('House Count'!F1074="COM-MTU",1,IF('House Count'!F1074="ENT",1,0))),0)</f>
        <v>0</v>
      </c>
    </row>
    <row r="1075" spans="1:11" x14ac:dyDescent="0.25">
      <c r="H1075" s="192"/>
      <c r="I1075" s="773"/>
      <c r="J1075">
        <f>IF('House Count'!H1075="Y",IF('House Count'!F1075="RES-SFU",1,IF('House Count'!F1075="RES-MDU",1,IF('House Count'!F1075="RES-HOA",1,0))),0)</f>
        <v>0</v>
      </c>
      <c r="K1075">
        <f>IF('House Count'!H1075="Y",IF('House Count'!F1075="COMM-SU",1,IF('House Count'!F1075="COM-MTU",1,IF('House Count'!F1075="ENT",1,0))),0)</f>
        <v>0</v>
      </c>
    </row>
    <row r="1076" spans="1:11" x14ac:dyDescent="0.25">
      <c r="H1076" s="192"/>
      <c r="I1076" s="773"/>
      <c r="J1076">
        <f>IF('House Count'!H1076="Y",IF('House Count'!F1076="RES-SFU",1,IF('House Count'!F1076="RES-MDU",1,IF('House Count'!F1076="RES-HOA",1,0))),0)</f>
        <v>0</v>
      </c>
      <c r="K1076">
        <f>IF('House Count'!H1076="Y",IF('House Count'!F1076="COMM-SU",1,IF('House Count'!F1076="COM-MTU",1,IF('House Count'!F1076="ENT",1,0))),0)</f>
        <v>0</v>
      </c>
    </row>
    <row r="1077" spans="1:11" x14ac:dyDescent="0.25">
      <c r="H1077" s="192"/>
      <c r="I1077" s="773"/>
      <c r="J1077">
        <f>IF('House Count'!H1077="Y",IF('House Count'!F1077="RES-SFU",1,IF('House Count'!F1077="RES-MDU",1,IF('House Count'!F1077="RES-HOA",1,0))),0)</f>
        <v>0</v>
      </c>
      <c r="K1077">
        <f>IF('House Count'!H1077="Y",IF('House Count'!F1077="COMM-SU",1,IF('House Count'!F1077="COM-MTU",1,IF('House Count'!F1077="ENT",1,0))),0)</f>
        <v>0</v>
      </c>
    </row>
    <row r="1078" spans="1:11" x14ac:dyDescent="0.25">
      <c r="H1078" s="192"/>
      <c r="I1078" s="773"/>
      <c r="J1078">
        <f>IF('House Count'!H1078="Y",IF('House Count'!F1078="RES-SFU",1,IF('House Count'!F1078="RES-MDU",1,IF('House Count'!F1078="RES-HOA",1,0))),0)</f>
        <v>0</v>
      </c>
      <c r="K1078">
        <f>IF('House Count'!H1078="Y",IF('House Count'!F1078="COMM-SU",1,IF('House Count'!F1078="COM-MTU",1,IF('House Count'!F1078="ENT",1,0))),0)</f>
        <v>0</v>
      </c>
    </row>
    <row r="1079" spans="1:11" x14ac:dyDescent="0.25">
      <c r="H1079" s="192"/>
      <c r="I1079" s="773"/>
      <c r="J1079">
        <f>IF('House Count'!H1079="Y",IF('House Count'!F1079="RES-SFU",1,IF('House Count'!F1079="RES-MDU",1,IF('House Count'!F1079="RES-HOA",1,0))),0)</f>
        <v>0</v>
      </c>
      <c r="K1079">
        <f>IF('House Count'!H1079="Y",IF('House Count'!F1079="COMM-SU",1,IF('House Count'!F1079="COM-MTU",1,IF('House Count'!F1079="ENT",1,0))),0)</f>
        <v>0</v>
      </c>
    </row>
    <row r="1080" spans="1:11" x14ac:dyDescent="0.25">
      <c r="H1080" s="192"/>
      <c r="I1080" s="773"/>
      <c r="J1080">
        <f>IF('House Count'!H1080="Y",IF('House Count'!F1080="RES-SFU",1,IF('House Count'!F1080="RES-MDU",1,IF('House Count'!F1080="RES-HOA",1,0))),0)</f>
        <v>0</v>
      </c>
      <c r="K1080">
        <f>IF('House Count'!H1080="Y",IF('House Count'!F1080="COMM-SU",1,IF('House Count'!F1080="COM-MTU",1,IF('House Count'!F1080="ENT",1,0))),0)</f>
        <v>0</v>
      </c>
    </row>
    <row r="1081" spans="1:11" ht="15.75" thickBot="1" x14ac:dyDescent="0.3">
      <c r="A1081" s="774"/>
      <c r="B1081" s="774"/>
      <c r="C1081" s="774"/>
      <c r="D1081" s="774"/>
      <c r="E1081" s="774"/>
      <c r="F1081" s="774"/>
      <c r="G1081" s="774"/>
      <c r="H1081" s="774"/>
      <c r="I1081" s="775"/>
      <c r="J1081">
        <f>IF('House Count'!H1081="Y",IF('House Count'!F1081="RES-SFU",1,IF('House Count'!F1081="RES-MDU",1,IF('House Count'!F1081="RES-HOA",1,0))),0)</f>
        <v>0</v>
      </c>
      <c r="K1081">
        <f>IF('House Count'!H1081="Y",IF('House Count'!F1081="COMM-SU",1,IF('House Count'!F1081="COM-MTU",1,IF('House Count'!F1081="ENT",1,0))),0)</f>
        <v>0</v>
      </c>
    </row>
    <row r="1082" spans="1:11" ht="15.75" thickTop="1" x14ac:dyDescent="0.25">
      <c r="H1082" s="192"/>
      <c r="I1082" s="773"/>
      <c r="J1082">
        <f>IF('House Count'!H1082="Y",IF('House Count'!F1082="RES-SFU",1,IF('House Count'!F1082="RES-MDU",1,IF('House Count'!F1082="RES-HOA",1,0))),0)</f>
        <v>0</v>
      </c>
      <c r="K1082">
        <f>IF('House Count'!H1082="Y",IF('House Count'!F1082="COMM-SU",1,IF('House Count'!F1082="COM-MTU",1,IF('House Count'!F1082="ENT",1,0))),0)</f>
        <v>0</v>
      </c>
    </row>
    <row r="1083" spans="1:11" x14ac:dyDescent="0.25">
      <c r="H1083" s="192"/>
      <c r="I1083" s="773"/>
      <c r="J1083">
        <f>IF('House Count'!H1083="Y",IF('House Count'!F1083="RES-SFU",1,IF('House Count'!F1083="RES-MDU",1,IF('House Count'!F1083="RES-HOA",1,0))),0)</f>
        <v>0</v>
      </c>
      <c r="K1083">
        <f>IF('House Count'!H1083="Y",IF('House Count'!F1083="COMM-SU",1,IF('House Count'!F1083="COM-MTU",1,IF('House Count'!F1083="ENT",1,0))),0)</f>
        <v>0</v>
      </c>
    </row>
    <row r="1084" spans="1:11" x14ac:dyDescent="0.25">
      <c r="H1084" s="192"/>
      <c r="I1084" s="773"/>
      <c r="J1084">
        <f>IF('House Count'!H1084="Y",IF('House Count'!F1084="RES-SFU",1,IF('House Count'!F1084="RES-MDU",1,IF('House Count'!F1084="RES-HOA",1,0))),0)</f>
        <v>0</v>
      </c>
      <c r="K1084">
        <f>IF('House Count'!H1084="Y",IF('House Count'!F1084="COMM-SU",1,IF('House Count'!F1084="COM-MTU",1,IF('House Count'!F1084="ENT",1,0))),0)</f>
        <v>0</v>
      </c>
    </row>
    <row r="1085" spans="1:11" x14ac:dyDescent="0.25">
      <c r="H1085" s="192"/>
      <c r="I1085" s="773"/>
      <c r="J1085">
        <f>IF('House Count'!H1085="Y",IF('House Count'!F1085="RES-SFU",1,IF('House Count'!F1085="RES-MDU",1,IF('House Count'!F1085="RES-HOA",1,0))),0)</f>
        <v>0</v>
      </c>
      <c r="K1085">
        <f>IF('House Count'!H1085="Y",IF('House Count'!F1085="COMM-SU",1,IF('House Count'!F1085="COM-MTU",1,IF('House Count'!F1085="ENT",1,0))),0)</f>
        <v>0</v>
      </c>
    </row>
    <row r="1086" spans="1:11" x14ac:dyDescent="0.25">
      <c r="H1086" s="192"/>
      <c r="I1086" s="773"/>
      <c r="J1086">
        <f>IF('House Count'!H1086="Y",IF('House Count'!F1086="RES-SFU",1,IF('House Count'!F1086="RES-MDU",1,IF('House Count'!F1086="RES-HOA",1,0))),0)</f>
        <v>0</v>
      </c>
      <c r="K1086">
        <f>IF('House Count'!H1086="Y",IF('House Count'!F1086="COMM-SU",1,IF('House Count'!F1086="COM-MTU",1,IF('House Count'!F1086="ENT",1,0))),0)</f>
        <v>0</v>
      </c>
    </row>
    <row r="1087" spans="1:11" x14ac:dyDescent="0.25">
      <c r="H1087" s="192"/>
      <c r="I1087" s="773"/>
      <c r="J1087">
        <f>IF('House Count'!H1087="Y",IF('House Count'!F1087="RES-SFU",1,IF('House Count'!F1087="RES-MDU",1,IF('House Count'!F1087="RES-HOA",1,0))),0)</f>
        <v>0</v>
      </c>
      <c r="K1087">
        <f>IF('House Count'!H1087="Y",IF('House Count'!F1087="COMM-SU",1,IF('House Count'!F1087="COM-MTU",1,IF('House Count'!F1087="ENT",1,0))),0)</f>
        <v>0</v>
      </c>
    </row>
    <row r="1088" spans="1:11" x14ac:dyDescent="0.25">
      <c r="H1088" s="192"/>
      <c r="I1088" s="773"/>
      <c r="J1088">
        <f>IF('House Count'!H1088="Y",IF('House Count'!F1088="RES-SFU",1,IF('House Count'!F1088="RES-MDU",1,IF('House Count'!F1088="RES-HOA",1,0))),0)</f>
        <v>0</v>
      </c>
      <c r="K1088">
        <f>IF('House Count'!H1088="Y",IF('House Count'!F1088="COMM-SU",1,IF('House Count'!F1088="COM-MTU",1,IF('House Count'!F1088="ENT",1,0))),0)</f>
        <v>0</v>
      </c>
    </row>
    <row r="1089" spans="1:11" x14ac:dyDescent="0.25">
      <c r="H1089" s="192"/>
      <c r="I1089" s="773"/>
      <c r="J1089">
        <f>IF('House Count'!H1089="Y",IF('House Count'!F1089="RES-SFU",1,IF('House Count'!F1089="RES-MDU",1,IF('House Count'!F1089="RES-HOA",1,0))),0)</f>
        <v>0</v>
      </c>
      <c r="K1089">
        <f>IF('House Count'!H1089="Y",IF('House Count'!F1089="COMM-SU",1,IF('House Count'!F1089="COM-MTU",1,IF('House Count'!F1089="ENT",1,0))),0)</f>
        <v>0</v>
      </c>
    </row>
    <row r="1090" spans="1:11" x14ac:dyDescent="0.25">
      <c r="H1090" s="192"/>
      <c r="I1090" s="773"/>
      <c r="J1090">
        <f>IF('House Count'!H1090="Y",IF('House Count'!F1090="RES-SFU",1,IF('House Count'!F1090="RES-MDU",1,IF('House Count'!F1090="RES-HOA",1,0))),0)</f>
        <v>0</v>
      </c>
      <c r="K1090">
        <f>IF('House Count'!H1090="Y",IF('House Count'!F1090="COMM-SU",1,IF('House Count'!F1090="COM-MTU",1,IF('House Count'!F1090="ENT",1,0))),0)</f>
        <v>0</v>
      </c>
    </row>
    <row r="1091" spans="1:11" x14ac:dyDescent="0.25">
      <c r="H1091" s="192"/>
      <c r="I1091" s="773"/>
      <c r="J1091">
        <f>IF('House Count'!H1091="Y",IF('House Count'!F1091="RES-SFU",1,IF('House Count'!F1091="RES-MDU",1,IF('House Count'!F1091="RES-HOA",1,0))),0)</f>
        <v>0</v>
      </c>
      <c r="K1091">
        <f>IF('House Count'!H1091="Y",IF('House Count'!F1091="COMM-SU",1,IF('House Count'!F1091="COM-MTU",1,IF('House Count'!F1091="ENT",1,0))),0)</f>
        <v>0</v>
      </c>
    </row>
    <row r="1092" spans="1:11" x14ac:dyDescent="0.25">
      <c r="H1092" s="192"/>
      <c r="I1092" s="773"/>
      <c r="J1092">
        <f>IF('House Count'!H1092="Y",IF('House Count'!F1092="RES-SFU",1,IF('House Count'!F1092="RES-MDU",1,IF('House Count'!F1092="RES-HOA",1,0))),0)</f>
        <v>0</v>
      </c>
      <c r="K1092">
        <f>IF('House Count'!H1092="Y",IF('House Count'!F1092="COMM-SU",1,IF('House Count'!F1092="COM-MTU",1,IF('House Count'!F1092="ENT",1,0))),0)</f>
        <v>0</v>
      </c>
    </row>
    <row r="1093" spans="1:11" ht="15.75" thickBot="1" x14ac:dyDescent="0.3">
      <c r="A1093" s="774"/>
      <c r="B1093" s="774"/>
      <c r="C1093" s="774"/>
      <c r="D1093" s="774"/>
      <c r="E1093" s="774"/>
      <c r="F1093" s="774"/>
      <c r="G1093" s="774"/>
      <c r="H1093" s="774"/>
      <c r="I1093" s="775"/>
      <c r="J1093">
        <f>IF('House Count'!H1093="Y",IF('House Count'!F1093="RES-SFU",1,IF('House Count'!F1093="RES-MDU",1,IF('House Count'!F1093="RES-HOA",1,0))),0)</f>
        <v>0</v>
      </c>
      <c r="K1093">
        <f>IF('House Count'!H1093="Y",IF('House Count'!F1093="COMM-SU",1,IF('House Count'!F1093="COM-MTU",1,IF('House Count'!F1093="ENT",1,0))),0)</f>
        <v>0</v>
      </c>
    </row>
    <row r="1094" spans="1:11" ht="15.75" thickTop="1" x14ac:dyDescent="0.25">
      <c r="H1094" s="192"/>
      <c r="I1094" s="773"/>
      <c r="J1094">
        <f>IF('House Count'!H1094="Y",IF('House Count'!F1094="RES-SFU",1,IF('House Count'!F1094="RES-MDU",1,IF('House Count'!F1094="RES-HOA",1,0))),0)</f>
        <v>0</v>
      </c>
      <c r="K1094">
        <f>IF('House Count'!H1094="Y",IF('House Count'!F1094="COMM-SU",1,IF('House Count'!F1094="COM-MTU",1,IF('House Count'!F1094="ENT",1,0))),0)</f>
        <v>0</v>
      </c>
    </row>
    <row r="1095" spans="1:11" x14ac:dyDescent="0.25">
      <c r="H1095" s="192"/>
      <c r="I1095" s="773"/>
      <c r="J1095">
        <f>IF('House Count'!H1095="Y",IF('House Count'!F1095="RES-SFU",1,IF('House Count'!F1095="RES-MDU",1,IF('House Count'!F1095="RES-HOA",1,0))),0)</f>
        <v>0</v>
      </c>
      <c r="K1095">
        <f>IF('House Count'!H1095="Y",IF('House Count'!F1095="COMM-SU",1,IF('House Count'!F1095="COM-MTU",1,IF('House Count'!F1095="ENT",1,0))),0)</f>
        <v>0</v>
      </c>
    </row>
    <row r="1096" spans="1:11" x14ac:dyDescent="0.25">
      <c r="H1096" s="192"/>
      <c r="I1096" s="773"/>
      <c r="J1096">
        <f>IF('House Count'!H1096="Y",IF('House Count'!F1096="RES-SFU",1,IF('House Count'!F1096="RES-MDU",1,IF('House Count'!F1096="RES-HOA",1,0))),0)</f>
        <v>0</v>
      </c>
      <c r="K1096">
        <f>IF('House Count'!H1096="Y",IF('House Count'!F1096="COMM-SU",1,IF('House Count'!F1096="COM-MTU",1,IF('House Count'!F1096="ENT",1,0))),0)</f>
        <v>0</v>
      </c>
    </row>
    <row r="1097" spans="1:11" x14ac:dyDescent="0.25">
      <c r="H1097" s="192"/>
      <c r="I1097" s="773"/>
      <c r="J1097">
        <f>IF('House Count'!H1097="Y",IF('House Count'!F1097="RES-SFU",1,IF('House Count'!F1097="RES-MDU",1,IF('House Count'!F1097="RES-HOA",1,0))),0)</f>
        <v>0</v>
      </c>
      <c r="K1097">
        <f>IF('House Count'!H1097="Y",IF('House Count'!F1097="COMM-SU",1,IF('House Count'!F1097="COM-MTU",1,IF('House Count'!F1097="ENT",1,0))),0)</f>
        <v>0</v>
      </c>
    </row>
    <row r="1098" spans="1:11" x14ac:dyDescent="0.25">
      <c r="H1098" s="192"/>
      <c r="I1098" s="773"/>
      <c r="J1098">
        <f>IF('House Count'!H1098="Y",IF('House Count'!F1098="RES-SFU",1,IF('House Count'!F1098="RES-MDU",1,IF('House Count'!F1098="RES-HOA",1,0))),0)</f>
        <v>0</v>
      </c>
      <c r="K1098">
        <f>IF('House Count'!H1098="Y",IF('House Count'!F1098="COMM-SU",1,IF('House Count'!F1098="COM-MTU",1,IF('House Count'!F1098="ENT",1,0))),0)</f>
        <v>0</v>
      </c>
    </row>
    <row r="1099" spans="1:11" x14ac:dyDescent="0.25">
      <c r="H1099" s="192"/>
      <c r="I1099" s="773"/>
      <c r="J1099">
        <f>IF('House Count'!H1099="Y",IF('House Count'!F1099="RES-SFU",1,IF('House Count'!F1099="RES-MDU",1,IF('House Count'!F1099="RES-HOA",1,0))),0)</f>
        <v>0</v>
      </c>
      <c r="K1099">
        <f>IF('House Count'!H1099="Y",IF('House Count'!F1099="COMM-SU",1,IF('House Count'!F1099="COM-MTU",1,IF('House Count'!F1099="ENT",1,0))),0)</f>
        <v>0</v>
      </c>
    </row>
    <row r="1100" spans="1:11" x14ac:dyDescent="0.25">
      <c r="H1100" s="192"/>
      <c r="I1100" s="773"/>
      <c r="J1100">
        <f>IF('House Count'!H1100="Y",IF('House Count'!F1100="RES-SFU",1,IF('House Count'!F1100="RES-MDU",1,IF('House Count'!F1100="RES-HOA",1,0))),0)</f>
        <v>0</v>
      </c>
      <c r="K1100">
        <f>IF('House Count'!H1100="Y",IF('House Count'!F1100="COMM-SU",1,IF('House Count'!F1100="COM-MTU",1,IF('House Count'!F1100="ENT",1,0))),0)</f>
        <v>0</v>
      </c>
    </row>
    <row r="1101" spans="1:11" x14ac:dyDescent="0.25">
      <c r="H1101" s="192"/>
      <c r="I1101" s="773"/>
      <c r="J1101">
        <f>IF('House Count'!H1101="Y",IF('House Count'!F1101="RES-SFU",1,IF('House Count'!F1101="RES-MDU",1,IF('House Count'!F1101="RES-HOA",1,0))),0)</f>
        <v>0</v>
      </c>
      <c r="K1101">
        <f>IF('House Count'!H1101="Y",IF('House Count'!F1101="COMM-SU",1,IF('House Count'!F1101="COM-MTU",1,IF('House Count'!F1101="ENT",1,0))),0)</f>
        <v>0</v>
      </c>
    </row>
    <row r="1102" spans="1:11" x14ac:dyDescent="0.25">
      <c r="H1102" s="192"/>
      <c r="I1102" s="773"/>
      <c r="J1102">
        <f>IF('House Count'!H1102="Y",IF('House Count'!F1102="RES-SFU",1,IF('House Count'!F1102="RES-MDU",1,IF('House Count'!F1102="RES-HOA",1,0))),0)</f>
        <v>0</v>
      </c>
      <c r="K1102">
        <f>IF('House Count'!H1102="Y",IF('House Count'!F1102="COMM-SU",1,IF('House Count'!F1102="COM-MTU",1,IF('House Count'!F1102="ENT",1,0))),0)</f>
        <v>0</v>
      </c>
    </row>
    <row r="1103" spans="1:11" x14ac:dyDescent="0.25">
      <c r="H1103" s="192"/>
      <c r="I1103" s="773"/>
      <c r="J1103">
        <f>IF('House Count'!H1103="Y",IF('House Count'!F1103="RES-SFU",1,IF('House Count'!F1103="RES-MDU",1,IF('House Count'!F1103="RES-HOA",1,0))),0)</f>
        <v>0</v>
      </c>
      <c r="K1103">
        <f>IF('House Count'!H1103="Y",IF('House Count'!F1103="COMM-SU",1,IF('House Count'!F1103="COM-MTU",1,IF('House Count'!F1103="ENT",1,0))),0)</f>
        <v>0</v>
      </c>
    </row>
    <row r="1104" spans="1:11" x14ac:dyDescent="0.25">
      <c r="H1104" s="192"/>
      <c r="I1104" s="773"/>
      <c r="J1104">
        <f>IF('House Count'!H1104="Y",IF('House Count'!F1104="RES-SFU",1,IF('House Count'!F1104="RES-MDU",1,IF('House Count'!F1104="RES-HOA",1,0))),0)</f>
        <v>0</v>
      </c>
      <c r="K1104">
        <f>IF('House Count'!H1104="Y",IF('House Count'!F1104="COMM-SU",1,IF('House Count'!F1104="COM-MTU",1,IF('House Count'!F1104="ENT",1,0))),0)</f>
        <v>0</v>
      </c>
    </row>
    <row r="1105" spans="1:11" ht="15.75" thickBot="1" x14ac:dyDescent="0.3">
      <c r="A1105" s="774"/>
      <c r="B1105" s="774"/>
      <c r="C1105" s="774"/>
      <c r="D1105" s="774"/>
      <c r="E1105" s="774"/>
      <c r="F1105" s="774"/>
      <c r="G1105" s="774"/>
      <c r="H1105" s="774"/>
      <c r="I1105" s="775"/>
      <c r="J1105">
        <f>IF('House Count'!H1105="Y",IF('House Count'!F1105="RES-SFU",1,IF('House Count'!F1105="RES-MDU",1,IF('House Count'!F1105="RES-HOA",1,0))),0)</f>
        <v>0</v>
      </c>
      <c r="K1105">
        <f>IF('House Count'!H1105="Y",IF('House Count'!F1105="COMM-SU",1,IF('House Count'!F1105="COM-MTU",1,IF('House Count'!F1105="ENT",1,0))),0)</f>
        <v>0</v>
      </c>
    </row>
    <row r="1106" spans="1:11" ht="15.75" thickTop="1" x14ac:dyDescent="0.25">
      <c r="H1106" s="192"/>
      <c r="I1106" s="773"/>
      <c r="J1106">
        <f>IF('House Count'!H1106="Y",IF('House Count'!F1106="RES-SFU",1,IF('House Count'!F1106="RES-MDU",1,IF('House Count'!F1106="RES-HOA",1,0))),0)</f>
        <v>0</v>
      </c>
      <c r="K1106">
        <f>IF('House Count'!H1106="Y",IF('House Count'!F1106="COMM-SU",1,IF('House Count'!F1106="COM-MTU",1,IF('House Count'!F1106="ENT",1,0))),0)</f>
        <v>0</v>
      </c>
    </row>
    <row r="1107" spans="1:11" x14ac:dyDescent="0.25">
      <c r="H1107" s="192"/>
      <c r="I1107" s="773"/>
      <c r="J1107">
        <f>IF('House Count'!H1107="Y",IF('House Count'!F1107="RES-SFU",1,IF('House Count'!F1107="RES-MDU",1,IF('House Count'!F1107="RES-HOA",1,0))),0)</f>
        <v>0</v>
      </c>
      <c r="K1107">
        <f>IF('House Count'!H1107="Y",IF('House Count'!F1107="COMM-SU",1,IF('House Count'!F1107="COM-MTU",1,IF('House Count'!F1107="ENT",1,0))),0)</f>
        <v>0</v>
      </c>
    </row>
    <row r="1108" spans="1:11" x14ac:dyDescent="0.25">
      <c r="H1108" s="192"/>
      <c r="I1108" s="773"/>
      <c r="J1108">
        <f>IF('House Count'!H1108="Y",IF('House Count'!F1108="RES-SFU",1,IF('House Count'!F1108="RES-MDU",1,IF('House Count'!F1108="RES-HOA",1,0))),0)</f>
        <v>0</v>
      </c>
      <c r="K1108">
        <f>IF('House Count'!H1108="Y",IF('House Count'!F1108="COMM-SU",1,IF('House Count'!F1108="COM-MTU",1,IF('House Count'!F1108="ENT",1,0))),0)</f>
        <v>0</v>
      </c>
    </row>
    <row r="1109" spans="1:11" x14ac:dyDescent="0.25">
      <c r="H1109" s="192"/>
      <c r="I1109" s="773"/>
      <c r="J1109">
        <f>IF('House Count'!H1109="Y",IF('House Count'!F1109="RES-SFU",1,IF('House Count'!F1109="RES-MDU",1,IF('House Count'!F1109="RES-HOA",1,0))),0)</f>
        <v>0</v>
      </c>
      <c r="K1109">
        <f>IF('House Count'!H1109="Y",IF('House Count'!F1109="COMM-SU",1,IF('House Count'!F1109="COM-MTU",1,IF('House Count'!F1109="ENT",1,0))),0)</f>
        <v>0</v>
      </c>
    </row>
    <row r="1110" spans="1:11" x14ac:dyDescent="0.25">
      <c r="H1110" s="192"/>
      <c r="I1110" s="773"/>
      <c r="J1110">
        <f>IF('House Count'!H1110="Y",IF('House Count'!F1110="RES-SFU",1,IF('House Count'!F1110="RES-MDU",1,IF('House Count'!F1110="RES-HOA",1,0))),0)</f>
        <v>0</v>
      </c>
      <c r="K1110">
        <f>IF('House Count'!H1110="Y",IF('House Count'!F1110="COMM-SU",1,IF('House Count'!F1110="COM-MTU",1,IF('House Count'!F1110="ENT",1,0))),0)</f>
        <v>0</v>
      </c>
    </row>
    <row r="1111" spans="1:11" x14ac:dyDescent="0.25">
      <c r="H1111" s="192"/>
      <c r="I1111" s="773"/>
      <c r="J1111">
        <f>IF('House Count'!H1111="Y",IF('House Count'!F1111="RES-SFU",1,IF('House Count'!F1111="RES-MDU",1,IF('House Count'!F1111="RES-HOA",1,0))),0)</f>
        <v>0</v>
      </c>
      <c r="K1111">
        <f>IF('House Count'!H1111="Y",IF('House Count'!F1111="COMM-SU",1,IF('House Count'!F1111="COM-MTU",1,IF('House Count'!F1111="ENT",1,0))),0)</f>
        <v>0</v>
      </c>
    </row>
    <row r="1112" spans="1:11" x14ac:dyDescent="0.25">
      <c r="H1112" s="192"/>
      <c r="I1112" s="773"/>
      <c r="J1112">
        <f>IF('House Count'!H1112="Y",IF('House Count'!F1112="RES-SFU",1,IF('House Count'!F1112="RES-MDU",1,IF('House Count'!F1112="RES-HOA",1,0))),0)</f>
        <v>0</v>
      </c>
      <c r="K1112">
        <f>IF('House Count'!H1112="Y",IF('House Count'!F1112="COMM-SU",1,IF('House Count'!F1112="COM-MTU",1,IF('House Count'!F1112="ENT",1,0))),0)</f>
        <v>0</v>
      </c>
    </row>
    <row r="1113" spans="1:11" x14ac:dyDescent="0.25">
      <c r="H1113" s="192"/>
      <c r="I1113" s="773"/>
      <c r="J1113">
        <f>IF('House Count'!H1113="Y",IF('House Count'!F1113="RES-SFU",1,IF('House Count'!F1113="RES-MDU",1,IF('House Count'!F1113="RES-HOA",1,0))),0)</f>
        <v>0</v>
      </c>
      <c r="K1113">
        <f>IF('House Count'!H1113="Y",IF('House Count'!F1113="COMM-SU",1,IF('House Count'!F1113="COM-MTU",1,IF('House Count'!F1113="ENT",1,0))),0)</f>
        <v>0</v>
      </c>
    </row>
    <row r="1114" spans="1:11" x14ac:dyDescent="0.25">
      <c r="H1114" s="192"/>
      <c r="I1114" s="773"/>
      <c r="J1114">
        <f>IF('House Count'!H1114="Y",IF('House Count'!F1114="RES-SFU",1,IF('House Count'!F1114="RES-MDU",1,IF('House Count'!F1114="RES-HOA",1,0))),0)</f>
        <v>0</v>
      </c>
      <c r="K1114">
        <f>IF('House Count'!H1114="Y",IF('House Count'!F1114="COMM-SU",1,IF('House Count'!F1114="COM-MTU",1,IF('House Count'!F1114="ENT",1,0))),0)</f>
        <v>0</v>
      </c>
    </row>
    <row r="1115" spans="1:11" x14ac:dyDescent="0.25">
      <c r="H1115" s="192"/>
      <c r="I1115" s="773"/>
      <c r="J1115">
        <f>IF('House Count'!H1115="Y",IF('House Count'!F1115="RES-SFU",1,IF('House Count'!F1115="RES-MDU",1,IF('House Count'!F1115="RES-HOA",1,0))),0)</f>
        <v>0</v>
      </c>
      <c r="K1115">
        <f>IF('House Count'!H1115="Y",IF('House Count'!F1115="COMM-SU",1,IF('House Count'!F1115="COM-MTU",1,IF('House Count'!F1115="ENT",1,0))),0)</f>
        <v>0</v>
      </c>
    </row>
    <row r="1116" spans="1:11" x14ac:dyDescent="0.25">
      <c r="H1116" s="192"/>
      <c r="I1116" s="773"/>
      <c r="J1116">
        <f>IF('House Count'!H1116="Y",IF('House Count'!F1116="RES-SFU",1,IF('House Count'!F1116="RES-MDU",1,IF('House Count'!F1116="RES-HOA",1,0))),0)</f>
        <v>0</v>
      </c>
      <c r="K1116">
        <f>IF('House Count'!H1116="Y",IF('House Count'!F1116="COMM-SU",1,IF('House Count'!F1116="COM-MTU",1,IF('House Count'!F1116="ENT",1,0))),0)</f>
        <v>0</v>
      </c>
    </row>
    <row r="1117" spans="1:11" ht="15.75" thickBot="1" x14ac:dyDescent="0.3">
      <c r="A1117" s="774"/>
      <c r="B1117" s="774"/>
      <c r="C1117" s="774"/>
      <c r="D1117" s="774"/>
      <c r="E1117" s="774"/>
      <c r="F1117" s="774"/>
      <c r="G1117" s="774"/>
      <c r="H1117" s="774"/>
      <c r="I1117" s="775"/>
      <c r="J1117">
        <f>IF('House Count'!H1117="Y",IF('House Count'!F1117="RES-SFU",1,IF('House Count'!F1117="RES-MDU",1,IF('House Count'!F1117="RES-HOA",1,0))),0)</f>
        <v>0</v>
      </c>
      <c r="K1117">
        <f>IF('House Count'!H1117="Y",IF('House Count'!F1117="COMM-SU",1,IF('House Count'!F1117="COM-MTU",1,IF('House Count'!F1117="ENT",1,0))),0)</f>
        <v>0</v>
      </c>
    </row>
    <row r="1118" spans="1:11" ht="15.75" thickTop="1" x14ac:dyDescent="0.25">
      <c r="H1118" s="192"/>
      <c r="I1118" s="773"/>
      <c r="J1118">
        <f>IF('House Count'!H1118="Y",IF('House Count'!F1118="RES-SFU",1,IF('House Count'!F1118="RES-MDU",1,IF('House Count'!F1118="RES-HOA",1,0))),0)</f>
        <v>0</v>
      </c>
      <c r="K1118">
        <f>IF('House Count'!H1118="Y",IF('House Count'!F1118="COMM-SU",1,IF('House Count'!F1118="COM-MTU",1,IF('House Count'!F1118="ENT",1,0))),0)</f>
        <v>0</v>
      </c>
    </row>
    <row r="1119" spans="1:11" x14ac:dyDescent="0.25">
      <c r="H1119" s="192"/>
      <c r="I1119" s="773"/>
      <c r="J1119">
        <f>IF('House Count'!H1119="Y",IF('House Count'!F1119="RES-SFU",1,IF('House Count'!F1119="RES-MDU",1,IF('House Count'!F1119="RES-HOA",1,0))),0)</f>
        <v>0</v>
      </c>
      <c r="K1119">
        <f>IF('House Count'!H1119="Y",IF('House Count'!F1119="COMM-SU",1,IF('House Count'!F1119="COM-MTU",1,IF('House Count'!F1119="ENT",1,0))),0)</f>
        <v>0</v>
      </c>
    </row>
    <row r="1120" spans="1:11" x14ac:dyDescent="0.25">
      <c r="H1120" s="192"/>
      <c r="I1120" s="773"/>
      <c r="J1120">
        <f>IF('House Count'!H1120="Y",IF('House Count'!F1120="RES-SFU",1,IF('House Count'!F1120="RES-MDU",1,IF('House Count'!F1120="RES-HOA",1,0))),0)</f>
        <v>0</v>
      </c>
      <c r="K1120">
        <f>IF('House Count'!H1120="Y",IF('House Count'!F1120="COMM-SU",1,IF('House Count'!F1120="COM-MTU",1,IF('House Count'!F1120="ENT",1,0))),0)</f>
        <v>0</v>
      </c>
    </row>
    <row r="1121" spans="1:11" x14ac:dyDescent="0.25">
      <c r="H1121" s="192"/>
      <c r="I1121" s="773"/>
      <c r="J1121">
        <f>IF('House Count'!H1121="Y",IF('House Count'!F1121="RES-SFU",1,IF('House Count'!F1121="RES-MDU",1,IF('House Count'!F1121="RES-HOA",1,0))),0)</f>
        <v>0</v>
      </c>
      <c r="K1121">
        <f>IF('House Count'!H1121="Y",IF('House Count'!F1121="COMM-SU",1,IF('House Count'!F1121="COM-MTU",1,IF('House Count'!F1121="ENT",1,0))),0)</f>
        <v>0</v>
      </c>
    </row>
    <row r="1122" spans="1:11" x14ac:dyDescent="0.25">
      <c r="H1122" s="192"/>
      <c r="I1122" s="773"/>
      <c r="J1122">
        <f>IF('House Count'!H1122="Y",IF('House Count'!F1122="RES-SFU",1,IF('House Count'!F1122="RES-MDU",1,IF('House Count'!F1122="RES-HOA",1,0))),0)</f>
        <v>0</v>
      </c>
      <c r="K1122">
        <f>IF('House Count'!H1122="Y",IF('House Count'!F1122="COMM-SU",1,IF('House Count'!F1122="COM-MTU",1,IF('House Count'!F1122="ENT",1,0))),0)</f>
        <v>0</v>
      </c>
    </row>
    <row r="1123" spans="1:11" x14ac:dyDescent="0.25">
      <c r="H1123" s="192"/>
      <c r="I1123" s="773"/>
      <c r="J1123">
        <f>IF('House Count'!H1123="Y",IF('House Count'!F1123="RES-SFU",1,IF('House Count'!F1123="RES-MDU",1,IF('House Count'!F1123="RES-HOA",1,0))),0)</f>
        <v>0</v>
      </c>
      <c r="K1123">
        <f>IF('House Count'!H1123="Y",IF('House Count'!F1123="COMM-SU",1,IF('House Count'!F1123="COM-MTU",1,IF('House Count'!F1123="ENT",1,0))),0)</f>
        <v>0</v>
      </c>
    </row>
    <row r="1124" spans="1:11" x14ac:dyDescent="0.25">
      <c r="H1124" s="192"/>
      <c r="I1124" s="773"/>
      <c r="J1124">
        <f>IF('House Count'!H1124="Y",IF('House Count'!F1124="RES-SFU",1,IF('House Count'!F1124="RES-MDU",1,IF('House Count'!F1124="RES-HOA",1,0))),0)</f>
        <v>0</v>
      </c>
      <c r="K1124">
        <f>IF('House Count'!H1124="Y",IF('House Count'!F1124="COMM-SU",1,IF('House Count'!F1124="COM-MTU",1,IF('House Count'!F1124="ENT",1,0))),0)</f>
        <v>0</v>
      </c>
    </row>
    <row r="1125" spans="1:11" x14ac:dyDescent="0.25">
      <c r="H1125" s="192"/>
      <c r="I1125" s="773"/>
      <c r="J1125">
        <f>IF('House Count'!H1125="Y",IF('House Count'!F1125="RES-SFU",1,IF('House Count'!F1125="RES-MDU",1,IF('House Count'!F1125="RES-HOA",1,0))),0)</f>
        <v>0</v>
      </c>
      <c r="K1125">
        <f>IF('House Count'!H1125="Y",IF('House Count'!F1125="COMM-SU",1,IF('House Count'!F1125="COM-MTU",1,IF('House Count'!F1125="ENT",1,0))),0)</f>
        <v>0</v>
      </c>
    </row>
    <row r="1126" spans="1:11" x14ac:dyDescent="0.25">
      <c r="H1126" s="192"/>
      <c r="I1126" s="773"/>
      <c r="J1126">
        <f>IF('House Count'!H1126="Y",IF('House Count'!F1126="RES-SFU",1,IF('House Count'!F1126="RES-MDU",1,IF('House Count'!F1126="RES-HOA",1,0))),0)</f>
        <v>0</v>
      </c>
      <c r="K1126">
        <f>IF('House Count'!H1126="Y",IF('House Count'!F1126="COMM-SU",1,IF('House Count'!F1126="COM-MTU",1,IF('House Count'!F1126="ENT",1,0))),0)</f>
        <v>0</v>
      </c>
    </row>
    <row r="1127" spans="1:11" x14ac:dyDescent="0.25">
      <c r="H1127" s="192"/>
      <c r="I1127" s="773"/>
      <c r="J1127">
        <f>IF('House Count'!H1127="Y",IF('House Count'!F1127="RES-SFU",1,IF('House Count'!F1127="RES-MDU",1,IF('House Count'!F1127="RES-HOA",1,0))),0)</f>
        <v>0</v>
      </c>
      <c r="K1127">
        <f>IF('House Count'!H1127="Y",IF('House Count'!F1127="COMM-SU",1,IF('House Count'!F1127="COM-MTU",1,IF('House Count'!F1127="ENT",1,0))),0)</f>
        <v>0</v>
      </c>
    </row>
    <row r="1128" spans="1:11" x14ac:dyDescent="0.25">
      <c r="H1128" s="192"/>
      <c r="I1128" s="773"/>
      <c r="J1128">
        <f>IF('House Count'!H1128="Y",IF('House Count'!F1128="RES-SFU",1,IF('House Count'!F1128="RES-MDU",1,IF('House Count'!F1128="RES-HOA",1,0))),0)</f>
        <v>0</v>
      </c>
      <c r="K1128">
        <f>IF('House Count'!H1128="Y",IF('House Count'!F1128="COMM-SU",1,IF('House Count'!F1128="COM-MTU",1,IF('House Count'!F1128="ENT",1,0))),0)</f>
        <v>0</v>
      </c>
    </row>
    <row r="1129" spans="1:11" ht="15.75" thickBot="1" x14ac:dyDescent="0.3">
      <c r="A1129" s="774"/>
      <c r="B1129" s="774"/>
      <c r="C1129" s="774"/>
      <c r="D1129" s="774"/>
      <c r="E1129" s="774"/>
      <c r="F1129" s="774"/>
      <c r="G1129" s="774"/>
      <c r="H1129" s="774"/>
      <c r="I1129" s="775"/>
      <c r="J1129">
        <f>IF('House Count'!H1129="Y",IF('House Count'!F1129="RES-SFU",1,IF('House Count'!F1129="RES-MDU",1,IF('House Count'!F1129="RES-HOA",1,0))),0)</f>
        <v>0</v>
      </c>
      <c r="K1129">
        <f>IF('House Count'!H1129="Y",IF('House Count'!F1129="COMM-SU",1,IF('House Count'!F1129="COM-MTU",1,IF('House Count'!F1129="ENT",1,0))),0)</f>
        <v>0</v>
      </c>
    </row>
    <row r="1130" spans="1:11" ht="15.75" thickTop="1" x14ac:dyDescent="0.25">
      <c r="H1130" s="192"/>
      <c r="I1130" s="773"/>
      <c r="J1130">
        <f>IF('House Count'!H1130="Y",IF('House Count'!F1130="RES-SFU",1,IF('House Count'!F1130="RES-MDU",1,IF('House Count'!F1130="RES-HOA",1,0))),0)</f>
        <v>0</v>
      </c>
      <c r="K1130">
        <f>IF('House Count'!H1130="Y",IF('House Count'!F1130="COMM-SU",1,IF('House Count'!F1130="COM-MTU",1,IF('House Count'!F1130="ENT",1,0))),0)</f>
        <v>0</v>
      </c>
    </row>
    <row r="1131" spans="1:11" x14ac:dyDescent="0.25">
      <c r="H1131" s="192"/>
      <c r="I1131" s="773"/>
      <c r="J1131">
        <f>IF('House Count'!H1131="Y",IF('House Count'!F1131="RES-SFU",1,IF('House Count'!F1131="RES-MDU",1,IF('House Count'!F1131="RES-HOA",1,0))),0)</f>
        <v>0</v>
      </c>
      <c r="K1131">
        <f>IF('House Count'!H1131="Y",IF('House Count'!F1131="COMM-SU",1,IF('House Count'!F1131="COM-MTU",1,IF('House Count'!F1131="ENT",1,0))),0)</f>
        <v>0</v>
      </c>
    </row>
    <row r="1132" spans="1:11" x14ac:dyDescent="0.25">
      <c r="H1132" s="192"/>
      <c r="I1132" s="773"/>
      <c r="J1132">
        <f>IF('House Count'!H1132="Y",IF('House Count'!F1132="RES-SFU",1,IF('House Count'!F1132="RES-MDU",1,IF('House Count'!F1132="RES-HOA",1,0))),0)</f>
        <v>0</v>
      </c>
      <c r="K1132">
        <f>IF('House Count'!H1132="Y",IF('House Count'!F1132="COMM-SU",1,IF('House Count'!F1132="COM-MTU",1,IF('House Count'!F1132="ENT",1,0))),0)</f>
        <v>0</v>
      </c>
    </row>
    <row r="1133" spans="1:11" x14ac:dyDescent="0.25">
      <c r="H1133" s="192"/>
      <c r="I1133" s="773"/>
      <c r="J1133">
        <f>IF('House Count'!H1133="Y",IF('House Count'!F1133="RES-SFU",1,IF('House Count'!F1133="RES-MDU",1,IF('House Count'!F1133="RES-HOA",1,0))),0)</f>
        <v>0</v>
      </c>
      <c r="K1133">
        <f>IF('House Count'!H1133="Y",IF('House Count'!F1133="COMM-SU",1,IF('House Count'!F1133="COM-MTU",1,IF('House Count'!F1133="ENT",1,0))),0)</f>
        <v>0</v>
      </c>
    </row>
    <row r="1134" spans="1:11" x14ac:dyDescent="0.25">
      <c r="H1134" s="192"/>
      <c r="I1134" s="773"/>
      <c r="J1134">
        <f>IF('House Count'!H1134="Y",IF('House Count'!F1134="RES-SFU",1,IF('House Count'!F1134="RES-MDU",1,IF('House Count'!F1134="RES-HOA",1,0))),0)</f>
        <v>0</v>
      </c>
      <c r="K1134">
        <f>IF('House Count'!H1134="Y",IF('House Count'!F1134="COMM-SU",1,IF('House Count'!F1134="COM-MTU",1,IF('House Count'!F1134="ENT",1,0))),0)</f>
        <v>0</v>
      </c>
    </row>
    <row r="1135" spans="1:11" x14ac:dyDescent="0.25">
      <c r="H1135" s="192"/>
      <c r="I1135" s="773"/>
      <c r="J1135">
        <f>IF('House Count'!H1135="Y",IF('House Count'!F1135="RES-SFU",1,IF('House Count'!F1135="RES-MDU",1,IF('House Count'!F1135="RES-HOA",1,0))),0)</f>
        <v>0</v>
      </c>
      <c r="K1135">
        <f>IF('House Count'!H1135="Y",IF('House Count'!F1135="COMM-SU",1,IF('House Count'!F1135="COM-MTU",1,IF('House Count'!F1135="ENT",1,0))),0)</f>
        <v>0</v>
      </c>
    </row>
    <row r="1136" spans="1:11" x14ac:dyDescent="0.25">
      <c r="H1136" s="192"/>
      <c r="I1136" s="773"/>
      <c r="J1136">
        <f>IF('House Count'!H1136="Y",IF('House Count'!F1136="RES-SFU",1,IF('House Count'!F1136="RES-MDU",1,IF('House Count'!F1136="RES-HOA",1,0))),0)</f>
        <v>0</v>
      </c>
      <c r="K1136">
        <f>IF('House Count'!H1136="Y",IF('House Count'!F1136="COMM-SU",1,IF('House Count'!F1136="COM-MTU",1,IF('House Count'!F1136="ENT",1,0))),0)</f>
        <v>0</v>
      </c>
    </row>
    <row r="1137" spans="1:11" x14ac:dyDescent="0.25">
      <c r="H1137" s="192"/>
      <c r="I1137" s="773"/>
      <c r="J1137">
        <f>IF('House Count'!H1137="Y",IF('House Count'!F1137="RES-SFU",1,IF('House Count'!F1137="RES-MDU",1,IF('House Count'!F1137="RES-HOA",1,0))),0)</f>
        <v>0</v>
      </c>
      <c r="K1137">
        <f>IF('House Count'!H1137="Y",IF('House Count'!F1137="COMM-SU",1,IF('House Count'!F1137="COM-MTU",1,IF('House Count'!F1137="ENT",1,0))),0)</f>
        <v>0</v>
      </c>
    </row>
    <row r="1138" spans="1:11" x14ac:dyDescent="0.25">
      <c r="H1138" s="192"/>
      <c r="I1138" s="773"/>
      <c r="J1138">
        <f>IF('House Count'!H1138="Y",IF('House Count'!F1138="RES-SFU",1,IF('House Count'!F1138="RES-MDU",1,IF('House Count'!F1138="RES-HOA",1,0))),0)</f>
        <v>0</v>
      </c>
      <c r="K1138">
        <f>IF('House Count'!H1138="Y",IF('House Count'!F1138="COMM-SU",1,IF('House Count'!F1138="COM-MTU",1,IF('House Count'!F1138="ENT",1,0))),0)</f>
        <v>0</v>
      </c>
    </row>
    <row r="1139" spans="1:11" x14ac:dyDescent="0.25">
      <c r="H1139" s="192"/>
      <c r="I1139" s="773"/>
      <c r="J1139">
        <f>IF('House Count'!H1139="Y",IF('House Count'!F1139="RES-SFU",1,IF('House Count'!F1139="RES-MDU",1,IF('House Count'!F1139="RES-HOA",1,0))),0)</f>
        <v>0</v>
      </c>
      <c r="K1139">
        <f>IF('House Count'!H1139="Y",IF('House Count'!F1139="COMM-SU",1,IF('House Count'!F1139="COM-MTU",1,IF('House Count'!F1139="ENT",1,0))),0)</f>
        <v>0</v>
      </c>
    </row>
    <row r="1140" spans="1:11" x14ac:dyDescent="0.25">
      <c r="H1140" s="192"/>
      <c r="I1140" s="773"/>
      <c r="J1140">
        <f>IF('House Count'!H1140="Y",IF('House Count'!F1140="RES-SFU",1,IF('House Count'!F1140="RES-MDU",1,IF('House Count'!F1140="RES-HOA",1,0))),0)</f>
        <v>0</v>
      </c>
      <c r="K1140">
        <f>IF('House Count'!H1140="Y",IF('House Count'!F1140="COMM-SU",1,IF('House Count'!F1140="COM-MTU",1,IF('House Count'!F1140="ENT",1,0))),0)</f>
        <v>0</v>
      </c>
    </row>
    <row r="1141" spans="1:11" ht="15.75" thickBot="1" x14ac:dyDescent="0.3">
      <c r="A1141" s="774"/>
      <c r="B1141" s="774"/>
      <c r="C1141" s="774"/>
      <c r="D1141" s="774"/>
      <c r="E1141" s="774"/>
      <c r="F1141" s="774"/>
      <c r="G1141" s="774"/>
      <c r="H1141" s="774"/>
      <c r="I1141" s="775"/>
      <c r="J1141">
        <f>IF('House Count'!H1141="Y",IF('House Count'!F1141="RES-SFU",1,IF('House Count'!F1141="RES-MDU",1,IF('House Count'!F1141="RES-HOA",1,0))),0)</f>
        <v>0</v>
      </c>
      <c r="K1141">
        <f>IF('House Count'!H1141="Y",IF('House Count'!F1141="COMM-SU",1,IF('House Count'!F1141="COM-MTU",1,IF('House Count'!F1141="ENT",1,0))),0)</f>
        <v>0</v>
      </c>
    </row>
    <row r="1142" spans="1:11" ht="15.75" thickTop="1" x14ac:dyDescent="0.25">
      <c r="H1142" s="192"/>
      <c r="I1142" s="773"/>
      <c r="J1142">
        <f>IF('House Count'!H1142="Y",IF('House Count'!F1142="RES-SFU",1,IF('House Count'!F1142="RES-MDU",1,IF('House Count'!F1142="RES-HOA",1,0))),0)</f>
        <v>0</v>
      </c>
      <c r="K1142">
        <f>IF('House Count'!H1142="Y",IF('House Count'!F1142="COMM-SU",1,IF('House Count'!F1142="COM-MTU",1,IF('House Count'!F1142="ENT",1,0))),0)</f>
        <v>0</v>
      </c>
    </row>
    <row r="1143" spans="1:11" x14ac:dyDescent="0.25">
      <c r="H1143" s="192"/>
      <c r="I1143" s="773"/>
      <c r="J1143">
        <f>IF('House Count'!H1143="Y",IF('House Count'!F1143="RES-SFU",1,IF('House Count'!F1143="RES-MDU",1,IF('House Count'!F1143="RES-HOA",1,0))),0)</f>
        <v>0</v>
      </c>
      <c r="K1143">
        <f>IF('House Count'!H1143="Y",IF('House Count'!F1143="COMM-SU",1,IF('House Count'!F1143="COM-MTU",1,IF('House Count'!F1143="ENT",1,0))),0)</f>
        <v>0</v>
      </c>
    </row>
    <row r="1144" spans="1:11" x14ac:dyDescent="0.25">
      <c r="H1144" s="192"/>
      <c r="I1144" s="773"/>
      <c r="J1144">
        <f>IF('House Count'!H1144="Y",IF('House Count'!F1144="RES-SFU",1,IF('House Count'!F1144="RES-MDU",1,IF('House Count'!F1144="RES-HOA",1,0))),0)</f>
        <v>0</v>
      </c>
      <c r="K1144">
        <f>IF('House Count'!H1144="Y",IF('House Count'!F1144="COMM-SU",1,IF('House Count'!F1144="COM-MTU",1,IF('House Count'!F1144="ENT",1,0))),0)</f>
        <v>0</v>
      </c>
    </row>
    <row r="1145" spans="1:11" x14ac:dyDescent="0.25">
      <c r="H1145" s="192"/>
      <c r="I1145" s="773"/>
      <c r="J1145">
        <f>IF('House Count'!H1145="Y",IF('House Count'!F1145="RES-SFU",1,IF('House Count'!F1145="RES-MDU",1,IF('House Count'!F1145="RES-HOA",1,0))),0)</f>
        <v>0</v>
      </c>
      <c r="K1145">
        <f>IF('House Count'!H1145="Y",IF('House Count'!F1145="COMM-SU",1,IF('House Count'!F1145="COM-MTU",1,IF('House Count'!F1145="ENT",1,0))),0)</f>
        <v>0</v>
      </c>
    </row>
    <row r="1146" spans="1:11" x14ac:dyDescent="0.25">
      <c r="H1146" s="192"/>
      <c r="I1146" s="773"/>
      <c r="J1146">
        <f>IF('House Count'!H1146="Y",IF('House Count'!F1146="RES-SFU",1,IF('House Count'!F1146="RES-MDU",1,IF('House Count'!F1146="RES-HOA",1,0))),0)</f>
        <v>0</v>
      </c>
      <c r="K1146">
        <f>IF('House Count'!H1146="Y",IF('House Count'!F1146="COMM-SU",1,IF('House Count'!F1146="COM-MTU",1,IF('House Count'!F1146="ENT",1,0))),0)</f>
        <v>0</v>
      </c>
    </row>
    <row r="1147" spans="1:11" x14ac:dyDescent="0.25">
      <c r="H1147" s="192"/>
      <c r="I1147" s="773"/>
      <c r="J1147">
        <f>IF('House Count'!H1147="Y",IF('House Count'!F1147="RES-SFU",1,IF('House Count'!F1147="RES-MDU",1,IF('House Count'!F1147="RES-HOA",1,0))),0)</f>
        <v>0</v>
      </c>
      <c r="K1147">
        <f>IF('House Count'!H1147="Y",IF('House Count'!F1147="COMM-SU",1,IF('House Count'!F1147="COM-MTU",1,IF('House Count'!F1147="ENT",1,0))),0)</f>
        <v>0</v>
      </c>
    </row>
    <row r="1148" spans="1:11" x14ac:dyDescent="0.25">
      <c r="H1148" s="192"/>
      <c r="I1148" s="773"/>
      <c r="J1148">
        <f>IF('House Count'!H1148="Y",IF('House Count'!F1148="RES-SFU",1,IF('House Count'!F1148="RES-MDU",1,IF('House Count'!F1148="RES-HOA",1,0))),0)</f>
        <v>0</v>
      </c>
      <c r="K1148">
        <f>IF('House Count'!H1148="Y",IF('House Count'!F1148="COMM-SU",1,IF('House Count'!F1148="COM-MTU",1,IF('House Count'!F1148="ENT",1,0))),0)</f>
        <v>0</v>
      </c>
    </row>
    <row r="1149" spans="1:11" x14ac:dyDescent="0.25">
      <c r="H1149" s="192"/>
      <c r="I1149" s="773"/>
      <c r="J1149">
        <f>IF('House Count'!H1149="Y",IF('House Count'!F1149="RES-SFU",1,IF('House Count'!F1149="RES-MDU",1,IF('House Count'!F1149="RES-HOA",1,0))),0)</f>
        <v>0</v>
      </c>
      <c r="K1149">
        <f>IF('House Count'!H1149="Y",IF('House Count'!F1149="COMM-SU",1,IF('House Count'!F1149="COM-MTU",1,IF('House Count'!F1149="ENT",1,0))),0)</f>
        <v>0</v>
      </c>
    </row>
    <row r="1150" spans="1:11" x14ac:dyDescent="0.25">
      <c r="H1150" s="192"/>
      <c r="I1150" s="773"/>
      <c r="J1150">
        <f>IF('House Count'!H1150="Y",IF('House Count'!F1150="RES-SFU",1,IF('House Count'!F1150="RES-MDU",1,IF('House Count'!F1150="RES-HOA",1,0))),0)</f>
        <v>0</v>
      </c>
      <c r="K1150">
        <f>IF('House Count'!H1150="Y",IF('House Count'!F1150="COMM-SU",1,IF('House Count'!F1150="COM-MTU",1,IF('House Count'!F1150="ENT",1,0))),0)</f>
        <v>0</v>
      </c>
    </row>
    <row r="1151" spans="1:11" x14ac:dyDescent="0.25">
      <c r="H1151" s="192"/>
      <c r="I1151" s="773"/>
      <c r="J1151">
        <f>IF('House Count'!H1151="Y",IF('House Count'!F1151="RES-SFU",1,IF('House Count'!F1151="RES-MDU",1,IF('House Count'!F1151="RES-HOA",1,0))),0)</f>
        <v>0</v>
      </c>
      <c r="K1151">
        <f>IF('House Count'!H1151="Y",IF('House Count'!F1151="COMM-SU",1,IF('House Count'!F1151="COM-MTU",1,IF('House Count'!F1151="ENT",1,0))),0)</f>
        <v>0</v>
      </c>
    </row>
    <row r="1152" spans="1:11" x14ac:dyDescent="0.25">
      <c r="H1152" s="192"/>
      <c r="I1152" s="773"/>
      <c r="J1152">
        <f>IF('House Count'!H1152="Y",IF('House Count'!F1152="RES-SFU",1,IF('House Count'!F1152="RES-MDU",1,IF('House Count'!F1152="RES-HOA",1,0))),0)</f>
        <v>0</v>
      </c>
      <c r="K1152">
        <f>IF('House Count'!H1152="Y",IF('House Count'!F1152="COMM-SU",1,IF('House Count'!F1152="COM-MTU",1,IF('House Count'!F1152="ENT",1,0))),0)</f>
        <v>0</v>
      </c>
    </row>
    <row r="1153" spans="1:11" ht="15.75" thickBot="1" x14ac:dyDescent="0.3">
      <c r="A1153" s="774"/>
      <c r="B1153" s="774"/>
      <c r="C1153" s="774"/>
      <c r="D1153" s="774"/>
      <c r="E1153" s="774"/>
      <c r="F1153" s="774"/>
      <c r="G1153" s="774"/>
      <c r="H1153" s="774"/>
      <c r="I1153" s="775"/>
      <c r="J1153">
        <f>IF('House Count'!H1153="Y",IF('House Count'!F1153="RES-SFU",1,IF('House Count'!F1153="RES-MDU",1,IF('House Count'!F1153="RES-HOA",1,0))),0)</f>
        <v>0</v>
      </c>
      <c r="K1153">
        <f>IF('House Count'!H1153="Y",IF('House Count'!F1153="COMM-SU",1,IF('House Count'!F1153="COM-MTU",1,IF('House Count'!F1153="ENT",1,0))),0)</f>
        <v>0</v>
      </c>
    </row>
    <row r="1154" spans="1:11" ht="15.75" thickTop="1" x14ac:dyDescent="0.25">
      <c r="H1154" s="192"/>
      <c r="I1154" s="773"/>
      <c r="J1154">
        <f>IF('House Count'!H1154="Y",IF('House Count'!F1154="RES-SFU",1,IF('House Count'!F1154="RES-MDU",1,IF('House Count'!F1154="RES-HOA",1,0))),0)</f>
        <v>0</v>
      </c>
      <c r="K1154">
        <f>IF('House Count'!H1154="Y",IF('House Count'!F1154="COMM-SU",1,IF('House Count'!F1154="COM-MTU",1,IF('House Count'!F1154="ENT",1,0))),0)</f>
        <v>0</v>
      </c>
    </row>
    <row r="1155" spans="1:11" x14ac:dyDescent="0.25">
      <c r="H1155" s="192"/>
      <c r="I1155" s="773"/>
      <c r="J1155">
        <f>IF('House Count'!H1155="Y",IF('House Count'!F1155="RES-SFU",1,IF('House Count'!F1155="RES-MDU",1,IF('House Count'!F1155="RES-HOA",1,0))),0)</f>
        <v>0</v>
      </c>
      <c r="K1155">
        <f>IF('House Count'!H1155="Y",IF('House Count'!F1155="COMM-SU",1,IF('House Count'!F1155="COM-MTU",1,IF('House Count'!F1155="ENT",1,0))),0)</f>
        <v>0</v>
      </c>
    </row>
    <row r="1156" spans="1:11" x14ac:dyDescent="0.25">
      <c r="H1156" s="192"/>
      <c r="I1156" s="773"/>
      <c r="J1156">
        <f>IF('House Count'!H1156="Y",IF('House Count'!F1156="RES-SFU",1,IF('House Count'!F1156="RES-MDU",1,IF('House Count'!F1156="RES-HOA",1,0))),0)</f>
        <v>0</v>
      </c>
      <c r="K1156">
        <f>IF('House Count'!H1156="Y",IF('House Count'!F1156="COMM-SU",1,IF('House Count'!F1156="COM-MTU",1,IF('House Count'!F1156="ENT",1,0))),0)</f>
        <v>0</v>
      </c>
    </row>
    <row r="1157" spans="1:11" x14ac:dyDescent="0.25">
      <c r="H1157" s="192"/>
      <c r="I1157" s="773"/>
      <c r="J1157">
        <f>IF('House Count'!H1157="Y",IF('House Count'!F1157="RES-SFU",1,IF('House Count'!F1157="RES-MDU",1,IF('House Count'!F1157="RES-HOA",1,0))),0)</f>
        <v>0</v>
      </c>
      <c r="K1157">
        <f>IF('House Count'!H1157="Y",IF('House Count'!F1157="COMM-SU",1,IF('House Count'!F1157="COM-MTU",1,IF('House Count'!F1157="ENT",1,0))),0)</f>
        <v>0</v>
      </c>
    </row>
    <row r="1158" spans="1:11" x14ac:dyDescent="0.25">
      <c r="H1158" s="192"/>
      <c r="I1158" s="773"/>
      <c r="J1158">
        <f>IF('House Count'!H1158="Y",IF('House Count'!F1158="RES-SFU",1,IF('House Count'!F1158="RES-MDU",1,IF('House Count'!F1158="RES-HOA",1,0))),0)</f>
        <v>0</v>
      </c>
      <c r="K1158">
        <f>IF('House Count'!H1158="Y",IF('House Count'!F1158="COMM-SU",1,IF('House Count'!F1158="COM-MTU",1,IF('House Count'!F1158="ENT",1,0))),0)</f>
        <v>0</v>
      </c>
    </row>
    <row r="1159" spans="1:11" x14ac:dyDescent="0.25">
      <c r="H1159" s="192"/>
      <c r="I1159" s="773"/>
      <c r="J1159">
        <f>IF('House Count'!H1159="Y",IF('House Count'!F1159="RES-SFU",1,IF('House Count'!F1159="RES-MDU",1,IF('House Count'!F1159="RES-HOA",1,0))),0)</f>
        <v>0</v>
      </c>
      <c r="K1159">
        <f>IF('House Count'!H1159="Y",IF('House Count'!F1159="COMM-SU",1,IF('House Count'!F1159="COM-MTU",1,IF('House Count'!F1159="ENT",1,0))),0)</f>
        <v>0</v>
      </c>
    </row>
    <row r="1160" spans="1:11" x14ac:dyDescent="0.25">
      <c r="H1160" s="192"/>
      <c r="I1160" s="773"/>
      <c r="J1160">
        <f>IF('House Count'!H1160="Y",IF('House Count'!F1160="RES-SFU",1,IF('House Count'!F1160="RES-MDU",1,IF('House Count'!F1160="RES-HOA",1,0))),0)</f>
        <v>0</v>
      </c>
      <c r="K1160">
        <f>IF('House Count'!H1160="Y",IF('House Count'!F1160="COMM-SU",1,IF('House Count'!F1160="COM-MTU",1,IF('House Count'!F1160="ENT",1,0))),0)</f>
        <v>0</v>
      </c>
    </row>
    <row r="1161" spans="1:11" x14ac:dyDescent="0.25">
      <c r="H1161" s="192"/>
      <c r="I1161" s="773"/>
      <c r="J1161">
        <f>IF('House Count'!H1161="Y",IF('House Count'!F1161="RES-SFU",1,IF('House Count'!F1161="RES-MDU",1,IF('House Count'!F1161="RES-HOA",1,0))),0)</f>
        <v>0</v>
      </c>
      <c r="K1161">
        <f>IF('House Count'!H1161="Y",IF('House Count'!F1161="COMM-SU",1,IF('House Count'!F1161="COM-MTU",1,IF('House Count'!F1161="ENT",1,0))),0)</f>
        <v>0</v>
      </c>
    </row>
    <row r="1162" spans="1:11" x14ac:dyDescent="0.25">
      <c r="H1162" s="192"/>
      <c r="I1162" s="773"/>
      <c r="J1162">
        <f>IF('House Count'!H1162="Y",IF('House Count'!F1162="RES-SFU",1,IF('House Count'!F1162="RES-MDU",1,IF('House Count'!F1162="RES-HOA",1,0))),0)</f>
        <v>0</v>
      </c>
      <c r="K1162">
        <f>IF('House Count'!H1162="Y",IF('House Count'!F1162="COMM-SU",1,IF('House Count'!F1162="COM-MTU",1,IF('House Count'!F1162="ENT",1,0))),0)</f>
        <v>0</v>
      </c>
    </row>
    <row r="1163" spans="1:11" x14ac:dyDescent="0.25">
      <c r="H1163" s="192"/>
      <c r="I1163" s="773"/>
      <c r="J1163">
        <f>IF('House Count'!H1163="Y",IF('House Count'!F1163="RES-SFU",1,IF('House Count'!F1163="RES-MDU",1,IF('House Count'!F1163="RES-HOA",1,0))),0)</f>
        <v>0</v>
      </c>
      <c r="K1163">
        <f>IF('House Count'!H1163="Y",IF('House Count'!F1163="COMM-SU",1,IF('House Count'!F1163="COM-MTU",1,IF('House Count'!F1163="ENT",1,0))),0)</f>
        <v>0</v>
      </c>
    </row>
    <row r="1164" spans="1:11" x14ac:dyDescent="0.25">
      <c r="H1164" s="192"/>
      <c r="I1164" s="773"/>
      <c r="J1164">
        <f>IF('House Count'!H1164="Y",IF('House Count'!F1164="RES-SFU",1,IF('House Count'!F1164="RES-MDU",1,IF('House Count'!F1164="RES-HOA",1,0))),0)</f>
        <v>0</v>
      </c>
      <c r="K1164">
        <f>IF('House Count'!H1164="Y",IF('House Count'!F1164="COMM-SU",1,IF('House Count'!F1164="COM-MTU",1,IF('House Count'!F1164="ENT",1,0))),0)</f>
        <v>0</v>
      </c>
    </row>
    <row r="1165" spans="1:11" ht="15.75" thickBot="1" x14ac:dyDescent="0.3">
      <c r="A1165" s="774"/>
      <c r="B1165" s="774"/>
      <c r="C1165" s="774"/>
      <c r="D1165" s="774"/>
      <c r="E1165" s="774"/>
      <c r="F1165" s="774"/>
      <c r="G1165" s="774"/>
      <c r="H1165" s="774"/>
      <c r="I1165" s="775"/>
      <c r="J1165">
        <f>IF('House Count'!H1165="Y",IF('House Count'!F1165="RES-SFU",1,IF('House Count'!F1165="RES-MDU",1,IF('House Count'!F1165="RES-HOA",1,0))),0)</f>
        <v>0</v>
      </c>
      <c r="K1165">
        <f>IF('House Count'!H1165="Y",IF('House Count'!F1165="COMM-SU",1,IF('House Count'!F1165="COM-MTU",1,IF('House Count'!F1165="ENT",1,0))),0)</f>
        <v>0</v>
      </c>
    </row>
    <row r="1166" spans="1:11" ht="15.75" thickTop="1" x14ac:dyDescent="0.25">
      <c r="H1166" s="192"/>
      <c r="I1166" s="773"/>
      <c r="J1166">
        <f>IF('House Count'!H1166="Y",IF('House Count'!F1166="RES-SFU",1,IF('House Count'!F1166="RES-MDU",1,IF('House Count'!F1166="RES-HOA",1,0))),0)</f>
        <v>0</v>
      </c>
      <c r="K1166">
        <f>IF('House Count'!H1166="Y",IF('House Count'!F1166="COMM-SU",1,IF('House Count'!F1166="COM-MTU",1,IF('House Count'!F1166="ENT",1,0))),0)</f>
        <v>0</v>
      </c>
    </row>
    <row r="1167" spans="1:11" x14ac:dyDescent="0.25">
      <c r="H1167" s="192"/>
      <c r="I1167" s="773"/>
      <c r="J1167">
        <f>IF('House Count'!H1167="Y",IF('House Count'!F1167="RES-SFU",1,IF('House Count'!F1167="RES-MDU",1,IF('House Count'!F1167="RES-HOA",1,0))),0)</f>
        <v>0</v>
      </c>
      <c r="K1167">
        <f>IF('House Count'!H1167="Y",IF('House Count'!F1167="COMM-SU",1,IF('House Count'!F1167="COM-MTU",1,IF('House Count'!F1167="ENT",1,0))),0)</f>
        <v>0</v>
      </c>
    </row>
    <row r="1168" spans="1:11" x14ac:dyDescent="0.25">
      <c r="H1168" s="192"/>
      <c r="I1168" s="773"/>
      <c r="J1168">
        <f>IF('House Count'!H1168="Y",IF('House Count'!F1168="RES-SFU",1,IF('House Count'!F1168="RES-MDU",1,IF('House Count'!F1168="RES-HOA",1,0))),0)</f>
        <v>0</v>
      </c>
      <c r="K1168">
        <f>IF('House Count'!H1168="Y",IF('House Count'!F1168="COMM-SU",1,IF('House Count'!F1168="COM-MTU",1,IF('House Count'!F1168="ENT",1,0))),0)</f>
        <v>0</v>
      </c>
    </row>
    <row r="1169" spans="1:11" x14ac:dyDescent="0.25">
      <c r="H1169" s="192"/>
      <c r="I1169" s="773"/>
      <c r="J1169">
        <f>IF('House Count'!H1169="Y",IF('House Count'!F1169="RES-SFU",1,IF('House Count'!F1169="RES-MDU",1,IF('House Count'!F1169="RES-HOA",1,0))),0)</f>
        <v>0</v>
      </c>
      <c r="K1169">
        <f>IF('House Count'!H1169="Y",IF('House Count'!F1169="COMM-SU",1,IF('House Count'!F1169="COM-MTU",1,IF('House Count'!F1169="ENT",1,0))),0)</f>
        <v>0</v>
      </c>
    </row>
    <row r="1170" spans="1:11" x14ac:dyDescent="0.25">
      <c r="H1170" s="192"/>
      <c r="I1170" s="773"/>
      <c r="J1170">
        <f>IF('House Count'!H1170="Y",IF('House Count'!F1170="RES-SFU",1,IF('House Count'!F1170="RES-MDU",1,IF('House Count'!F1170="RES-HOA",1,0))),0)</f>
        <v>0</v>
      </c>
      <c r="K1170">
        <f>IF('House Count'!H1170="Y",IF('House Count'!F1170="COMM-SU",1,IF('House Count'!F1170="COM-MTU",1,IF('House Count'!F1170="ENT",1,0))),0)</f>
        <v>0</v>
      </c>
    </row>
    <row r="1171" spans="1:11" x14ac:dyDescent="0.25">
      <c r="H1171" s="192"/>
      <c r="I1171" s="773"/>
      <c r="J1171">
        <f>IF('House Count'!H1171="Y",IF('House Count'!F1171="RES-SFU",1,IF('House Count'!F1171="RES-MDU",1,IF('House Count'!F1171="RES-HOA",1,0))),0)</f>
        <v>0</v>
      </c>
      <c r="K1171">
        <f>IF('House Count'!H1171="Y",IF('House Count'!F1171="COMM-SU",1,IF('House Count'!F1171="COM-MTU",1,IF('House Count'!F1171="ENT",1,0))),0)</f>
        <v>0</v>
      </c>
    </row>
    <row r="1172" spans="1:11" x14ac:dyDescent="0.25">
      <c r="H1172" s="192"/>
      <c r="I1172" s="773"/>
      <c r="J1172">
        <f>IF('House Count'!H1172="Y",IF('House Count'!F1172="RES-SFU",1,IF('House Count'!F1172="RES-MDU",1,IF('House Count'!F1172="RES-HOA",1,0))),0)</f>
        <v>0</v>
      </c>
      <c r="K1172">
        <f>IF('House Count'!H1172="Y",IF('House Count'!F1172="COMM-SU",1,IF('House Count'!F1172="COM-MTU",1,IF('House Count'!F1172="ENT",1,0))),0)</f>
        <v>0</v>
      </c>
    </row>
    <row r="1173" spans="1:11" x14ac:dyDescent="0.25">
      <c r="H1173" s="192"/>
      <c r="I1173" s="773"/>
      <c r="J1173">
        <f>IF('House Count'!H1173="Y",IF('House Count'!F1173="RES-SFU",1,IF('House Count'!F1173="RES-MDU",1,IF('House Count'!F1173="RES-HOA",1,0))),0)</f>
        <v>0</v>
      </c>
      <c r="K1173">
        <f>IF('House Count'!H1173="Y",IF('House Count'!F1173="COMM-SU",1,IF('House Count'!F1173="COM-MTU",1,IF('House Count'!F1173="ENT",1,0))),0)</f>
        <v>0</v>
      </c>
    </row>
    <row r="1174" spans="1:11" x14ac:dyDescent="0.25">
      <c r="H1174" s="192"/>
      <c r="I1174" s="773"/>
      <c r="J1174">
        <f>IF('House Count'!H1174="Y",IF('House Count'!F1174="RES-SFU",1,IF('House Count'!F1174="RES-MDU",1,IF('House Count'!F1174="RES-HOA",1,0))),0)</f>
        <v>0</v>
      </c>
      <c r="K1174">
        <f>IF('House Count'!H1174="Y",IF('House Count'!F1174="COMM-SU",1,IF('House Count'!F1174="COM-MTU",1,IF('House Count'!F1174="ENT",1,0))),0)</f>
        <v>0</v>
      </c>
    </row>
    <row r="1175" spans="1:11" x14ac:dyDescent="0.25">
      <c r="H1175" s="192"/>
      <c r="I1175" s="773"/>
      <c r="J1175">
        <f>IF('House Count'!H1175="Y",IF('House Count'!F1175="RES-SFU",1,IF('House Count'!F1175="RES-MDU",1,IF('House Count'!F1175="RES-HOA",1,0))),0)</f>
        <v>0</v>
      </c>
      <c r="K1175">
        <f>IF('House Count'!H1175="Y",IF('House Count'!F1175="COMM-SU",1,IF('House Count'!F1175="COM-MTU",1,IF('House Count'!F1175="ENT",1,0))),0)</f>
        <v>0</v>
      </c>
    </row>
    <row r="1176" spans="1:11" x14ac:dyDescent="0.25">
      <c r="H1176" s="192"/>
      <c r="I1176" s="773"/>
      <c r="J1176">
        <f>IF('House Count'!H1176="Y",IF('House Count'!F1176="RES-SFU",1,IF('House Count'!F1176="RES-MDU",1,IF('House Count'!F1176="RES-HOA",1,0))),0)</f>
        <v>0</v>
      </c>
      <c r="K1176">
        <f>IF('House Count'!H1176="Y",IF('House Count'!F1176="COMM-SU",1,IF('House Count'!F1176="COM-MTU",1,IF('House Count'!F1176="ENT",1,0))),0)</f>
        <v>0</v>
      </c>
    </row>
    <row r="1177" spans="1:11" ht="15.75" thickBot="1" x14ac:dyDescent="0.3">
      <c r="A1177" s="774"/>
      <c r="B1177" s="774"/>
      <c r="C1177" s="774"/>
      <c r="D1177" s="774"/>
      <c r="E1177" s="774"/>
      <c r="F1177" s="774"/>
      <c r="G1177" s="774"/>
      <c r="H1177" s="774"/>
      <c r="I1177" s="775"/>
      <c r="J1177">
        <f>IF('House Count'!H1177="Y",IF('House Count'!F1177="RES-SFU",1,IF('House Count'!F1177="RES-MDU",1,IF('House Count'!F1177="RES-HOA",1,0))),0)</f>
        <v>0</v>
      </c>
      <c r="K1177">
        <f>IF('House Count'!H1177="Y",IF('House Count'!F1177="COMM-SU",1,IF('House Count'!F1177="COM-MTU",1,IF('House Count'!F1177="ENT",1,0))),0)</f>
        <v>0</v>
      </c>
    </row>
    <row r="1178" spans="1:11" ht="15.75" thickTop="1" x14ac:dyDescent="0.25">
      <c r="H1178" s="192"/>
      <c r="I1178" s="773"/>
      <c r="J1178">
        <f>IF('House Count'!H1178="Y",IF('House Count'!F1178="RES-SFU",1,IF('House Count'!F1178="RES-MDU",1,IF('House Count'!F1178="RES-HOA",1,0))),0)</f>
        <v>0</v>
      </c>
      <c r="K1178">
        <f>IF('House Count'!H1178="Y",IF('House Count'!F1178="COMM-SU",1,IF('House Count'!F1178="COM-MTU",1,IF('House Count'!F1178="ENT",1,0))),0)</f>
        <v>0</v>
      </c>
    </row>
    <row r="1179" spans="1:11" x14ac:dyDescent="0.25">
      <c r="H1179" s="192"/>
      <c r="I1179" s="773"/>
      <c r="J1179">
        <f>IF('House Count'!H1179="Y",IF('House Count'!F1179="RES-SFU",1,IF('House Count'!F1179="RES-MDU",1,IF('House Count'!F1179="RES-HOA",1,0))),0)</f>
        <v>0</v>
      </c>
      <c r="K1179">
        <f>IF('House Count'!H1179="Y",IF('House Count'!F1179="COMM-SU",1,IF('House Count'!F1179="COM-MTU",1,IF('House Count'!F1179="ENT",1,0))),0)</f>
        <v>0</v>
      </c>
    </row>
    <row r="1180" spans="1:11" x14ac:dyDescent="0.25">
      <c r="H1180" s="192"/>
      <c r="I1180" s="773"/>
      <c r="J1180">
        <f>IF('House Count'!H1180="Y",IF('House Count'!F1180="RES-SFU",1,IF('House Count'!F1180="RES-MDU",1,IF('House Count'!F1180="RES-HOA",1,0))),0)</f>
        <v>0</v>
      </c>
      <c r="K1180">
        <f>IF('House Count'!H1180="Y",IF('House Count'!F1180="COMM-SU",1,IF('House Count'!F1180="COM-MTU",1,IF('House Count'!F1180="ENT",1,0))),0)</f>
        <v>0</v>
      </c>
    </row>
    <row r="1181" spans="1:11" x14ac:dyDescent="0.25">
      <c r="H1181" s="192"/>
      <c r="I1181" s="773"/>
      <c r="J1181">
        <f>IF('House Count'!H1181="Y",IF('House Count'!F1181="RES-SFU",1,IF('House Count'!F1181="RES-MDU",1,IF('House Count'!F1181="RES-HOA",1,0))),0)</f>
        <v>0</v>
      </c>
      <c r="K1181">
        <f>IF('House Count'!H1181="Y",IF('House Count'!F1181="COMM-SU",1,IF('House Count'!F1181="COM-MTU",1,IF('House Count'!F1181="ENT",1,0))),0)</f>
        <v>0</v>
      </c>
    </row>
    <row r="1182" spans="1:11" x14ac:dyDescent="0.25">
      <c r="H1182" s="192"/>
      <c r="I1182" s="773"/>
      <c r="J1182">
        <f>IF('House Count'!H1182="Y",IF('House Count'!F1182="RES-SFU",1,IF('House Count'!F1182="RES-MDU",1,IF('House Count'!F1182="RES-HOA",1,0))),0)</f>
        <v>0</v>
      </c>
      <c r="K1182">
        <f>IF('House Count'!H1182="Y",IF('House Count'!F1182="COMM-SU",1,IF('House Count'!F1182="COM-MTU",1,IF('House Count'!F1182="ENT",1,0))),0)</f>
        <v>0</v>
      </c>
    </row>
    <row r="1183" spans="1:11" x14ac:dyDescent="0.25">
      <c r="H1183" s="192"/>
      <c r="I1183" s="773"/>
      <c r="J1183">
        <f>IF('House Count'!H1183="Y",IF('House Count'!F1183="RES-SFU",1,IF('House Count'!F1183="RES-MDU",1,IF('House Count'!F1183="RES-HOA",1,0))),0)</f>
        <v>0</v>
      </c>
      <c r="K1183">
        <f>IF('House Count'!H1183="Y",IF('House Count'!F1183="COMM-SU",1,IF('House Count'!F1183="COM-MTU",1,IF('House Count'!F1183="ENT",1,0))),0)</f>
        <v>0</v>
      </c>
    </row>
    <row r="1184" spans="1:11" x14ac:dyDescent="0.25">
      <c r="H1184" s="192"/>
      <c r="I1184" s="773"/>
      <c r="J1184">
        <f>IF('House Count'!H1184="Y",IF('House Count'!F1184="RES-SFU",1,IF('House Count'!F1184="RES-MDU",1,IF('House Count'!F1184="RES-HOA",1,0))),0)</f>
        <v>0</v>
      </c>
      <c r="K1184">
        <f>IF('House Count'!H1184="Y",IF('House Count'!F1184="COMM-SU",1,IF('House Count'!F1184="COM-MTU",1,IF('House Count'!F1184="ENT",1,0))),0)</f>
        <v>0</v>
      </c>
    </row>
    <row r="1185" spans="1:11" x14ac:dyDescent="0.25">
      <c r="H1185" s="192"/>
      <c r="I1185" s="773"/>
      <c r="J1185">
        <f>IF('House Count'!H1185="Y",IF('House Count'!F1185="RES-SFU",1,IF('House Count'!F1185="RES-MDU",1,IF('House Count'!F1185="RES-HOA",1,0))),0)</f>
        <v>0</v>
      </c>
      <c r="K1185">
        <f>IF('House Count'!H1185="Y",IF('House Count'!F1185="COMM-SU",1,IF('House Count'!F1185="COM-MTU",1,IF('House Count'!F1185="ENT",1,0))),0)</f>
        <v>0</v>
      </c>
    </row>
    <row r="1186" spans="1:11" x14ac:dyDescent="0.25">
      <c r="H1186" s="192"/>
      <c r="I1186" s="773"/>
      <c r="J1186">
        <f>IF('House Count'!H1186="Y",IF('House Count'!F1186="RES-SFU",1,IF('House Count'!F1186="RES-MDU",1,IF('House Count'!F1186="RES-HOA",1,0))),0)</f>
        <v>0</v>
      </c>
      <c r="K1186">
        <f>IF('House Count'!H1186="Y",IF('House Count'!F1186="COMM-SU",1,IF('House Count'!F1186="COM-MTU",1,IF('House Count'!F1186="ENT",1,0))),0)</f>
        <v>0</v>
      </c>
    </row>
    <row r="1187" spans="1:11" x14ac:dyDescent="0.25">
      <c r="H1187" s="192"/>
      <c r="I1187" s="773"/>
      <c r="J1187">
        <f>IF('House Count'!H1187="Y",IF('House Count'!F1187="RES-SFU",1,IF('House Count'!F1187="RES-MDU",1,IF('House Count'!F1187="RES-HOA",1,0))),0)</f>
        <v>0</v>
      </c>
      <c r="K1187">
        <f>IF('House Count'!H1187="Y",IF('House Count'!F1187="COMM-SU",1,IF('House Count'!F1187="COM-MTU",1,IF('House Count'!F1187="ENT",1,0))),0)</f>
        <v>0</v>
      </c>
    </row>
    <row r="1188" spans="1:11" x14ac:dyDescent="0.25">
      <c r="H1188" s="192"/>
      <c r="I1188" s="773"/>
      <c r="J1188">
        <f>IF('House Count'!H1188="Y",IF('House Count'!F1188="RES-SFU",1,IF('House Count'!F1188="RES-MDU",1,IF('House Count'!F1188="RES-HOA",1,0))),0)</f>
        <v>0</v>
      </c>
      <c r="K1188">
        <f>IF('House Count'!H1188="Y",IF('House Count'!F1188="COMM-SU",1,IF('House Count'!F1188="COM-MTU",1,IF('House Count'!F1188="ENT",1,0))),0)</f>
        <v>0</v>
      </c>
    </row>
    <row r="1189" spans="1:11" ht="15.75" thickBot="1" x14ac:dyDescent="0.3">
      <c r="A1189" s="774"/>
      <c r="B1189" s="774"/>
      <c r="C1189" s="774"/>
      <c r="D1189" s="774"/>
      <c r="E1189" s="774"/>
      <c r="F1189" s="774"/>
      <c r="G1189" s="774"/>
      <c r="H1189" s="774"/>
      <c r="I1189" s="775"/>
      <c r="J1189">
        <f>IF('House Count'!H1189="Y",IF('House Count'!F1189="RES-SFU",1,IF('House Count'!F1189="RES-MDU",1,IF('House Count'!F1189="RES-HOA",1,0))),0)</f>
        <v>0</v>
      </c>
      <c r="K1189">
        <f>IF('House Count'!H1189="Y",IF('House Count'!F1189="COMM-SU",1,IF('House Count'!F1189="COM-MTU",1,IF('House Count'!F1189="ENT",1,0))),0)</f>
        <v>0</v>
      </c>
    </row>
    <row r="1190" spans="1:11" ht="15.75" thickTop="1" x14ac:dyDescent="0.25">
      <c r="H1190" s="192"/>
      <c r="I1190" s="773"/>
      <c r="J1190">
        <f>IF('House Count'!H1190="Y",IF('House Count'!F1190="RES-SFU",1,IF('House Count'!F1190="RES-MDU",1,IF('House Count'!F1190="RES-HOA",1,0))),0)</f>
        <v>0</v>
      </c>
      <c r="K1190">
        <f>IF('House Count'!H1190="Y",IF('House Count'!F1190="COMM-SU",1,IF('House Count'!F1190="COM-MTU",1,IF('House Count'!F1190="ENT",1,0))),0)</f>
        <v>0</v>
      </c>
    </row>
    <row r="1191" spans="1:11" x14ac:dyDescent="0.25">
      <c r="H1191" s="192"/>
      <c r="I1191" s="773"/>
      <c r="J1191">
        <f>IF('House Count'!H1191="Y",IF('House Count'!F1191="RES-SFU",1,IF('House Count'!F1191="RES-MDU",1,IF('House Count'!F1191="RES-HOA",1,0))),0)</f>
        <v>0</v>
      </c>
      <c r="K1191">
        <f>IF('House Count'!H1191="Y",IF('House Count'!F1191="COMM-SU",1,IF('House Count'!F1191="COM-MTU",1,IF('House Count'!F1191="ENT",1,0))),0)</f>
        <v>0</v>
      </c>
    </row>
    <row r="1192" spans="1:11" x14ac:dyDescent="0.25">
      <c r="H1192" s="192"/>
      <c r="I1192" s="773"/>
      <c r="J1192">
        <f>IF('House Count'!H1192="Y",IF('House Count'!F1192="RES-SFU",1,IF('House Count'!F1192="RES-MDU",1,IF('House Count'!F1192="RES-HOA",1,0))),0)</f>
        <v>0</v>
      </c>
      <c r="K1192">
        <f>IF('House Count'!H1192="Y",IF('House Count'!F1192="COMM-SU",1,IF('House Count'!F1192="COM-MTU",1,IF('House Count'!F1192="ENT",1,0))),0)</f>
        <v>0</v>
      </c>
    </row>
    <row r="1193" spans="1:11" x14ac:dyDescent="0.25">
      <c r="H1193" s="192"/>
      <c r="I1193" s="773"/>
      <c r="J1193">
        <f>IF('House Count'!H1193="Y",IF('House Count'!F1193="RES-SFU",1,IF('House Count'!F1193="RES-MDU",1,IF('House Count'!F1193="RES-HOA",1,0))),0)</f>
        <v>0</v>
      </c>
      <c r="K1193">
        <f>IF('House Count'!H1193="Y",IF('House Count'!F1193="COMM-SU",1,IF('House Count'!F1193="COM-MTU",1,IF('House Count'!F1193="ENT",1,0))),0)</f>
        <v>0</v>
      </c>
    </row>
    <row r="1194" spans="1:11" x14ac:dyDescent="0.25">
      <c r="H1194" s="192"/>
      <c r="I1194" s="773"/>
      <c r="J1194">
        <f>IF('House Count'!H1194="Y",IF('House Count'!F1194="RES-SFU",1,IF('House Count'!F1194="RES-MDU",1,IF('House Count'!F1194="RES-HOA",1,0))),0)</f>
        <v>0</v>
      </c>
      <c r="K1194">
        <f>IF('House Count'!H1194="Y",IF('House Count'!F1194="COMM-SU",1,IF('House Count'!F1194="COM-MTU",1,IF('House Count'!F1194="ENT",1,0))),0)</f>
        <v>0</v>
      </c>
    </row>
    <row r="1195" spans="1:11" x14ac:dyDescent="0.25">
      <c r="H1195" s="192"/>
      <c r="I1195" s="773"/>
      <c r="J1195">
        <f>IF('House Count'!H1195="Y",IF('House Count'!F1195="RES-SFU",1,IF('House Count'!F1195="RES-MDU",1,IF('House Count'!F1195="RES-HOA",1,0))),0)</f>
        <v>0</v>
      </c>
      <c r="K1195">
        <f>IF('House Count'!H1195="Y",IF('House Count'!F1195="COMM-SU",1,IF('House Count'!F1195="COM-MTU",1,IF('House Count'!F1195="ENT",1,0))),0)</f>
        <v>0</v>
      </c>
    </row>
    <row r="1196" spans="1:11" x14ac:dyDescent="0.25">
      <c r="H1196" s="192"/>
      <c r="I1196" s="773"/>
      <c r="J1196">
        <f>IF('House Count'!H1196="Y",IF('House Count'!F1196="RES-SFU",1,IF('House Count'!F1196="RES-MDU",1,IF('House Count'!F1196="RES-HOA",1,0))),0)</f>
        <v>0</v>
      </c>
      <c r="K1196">
        <f>IF('House Count'!H1196="Y",IF('House Count'!F1196="COMM-SU",1,IF('House Count'!F1196="COM-MTU",1,IF('House Count'!F1196="ENT",1,0))),0)</f>
        <v>0</v>
      </c>
    </row>
    <row r="1197" spans="1:11" x14ac:dyDescent="0.25">
      <c r="H1197" s="192"/>
      <c r="I1197" s="773"/>
      <c r="J1197">
        <f>IF('House Count'!H1197="Y",IF('House Count'!F1197="RES-SFU",1,IF('House Count'!F1197="RES-MDU",1,IF('House Count'!F1197="RES-HOA",1,0))),0)</f>
        <v>0</v>
      </c>
      <c r="K1197">
        <f>IF('House Count'!H1197="Y",IF('House Count'!F1197="COMM-SU",1,IF('House Count'!F1197="COM-MTU",1,IF('House Count'!F1197="ENT",1,0))),0)</f>
        <v>0</v>
      </c>
    </row>
    <row r="1198" spans="1:11" x14ac:dyDescent="0.25">
      <c r="H1198" s="192"/>
      <c r="I1198" s="773"/>
      <c r="J1198">
        <f>IF('House Count'!H1198="Y",IF('House Count'!F1198="RES-SFU",1,IF('House Count'!F1198="RES-MDU",1,IF('House Count'!F1198="RES-HOA",1,0))),0)</f>
        <v>0</v>
      </c>
      <c r="K1198">
        <f>IF('House Count'!H1198="Y",IF('House Count'!F1198="COMM-SU",1,IF('House Count'!F1198="COM-MTU",1,IF('House Count'!F1198="ENT",1,0))),0)</f>
        <v>0</v>
      </c>
    </row>
    <row r="1199" spans="1:11" x14ac:dyDescent="0.25">
      <c r="H1199" s="192"/>
      <c r="I1199" s="773"/>
      <c r="J1199">
        <f>IF('House Count'!H1199="Y",IF('House Count'!F1199="RES-SFU",1,IF('House Count'!F1199="RES-MDU",1,IF('House Count'!F1199="RES-HOA",1,0))),0)</f>
        <v>0</v>
      </c>
      <c r="K1199">
        <f>IF('House Count'!H1199="Y",IF('House Count'!F1199="COMM-SU",1,IF('House Count'!F1199="COM-MTU",1,IF('House Count'!F1199="ENT",1,0))),0)</f>
        <v>0</v>
      </c>
    </row>
    <row r="1200" spans="1:11" x14ac:dyDescent="0.25">
      <c r="H1200" s="192"/>
      <c r="I1200" s="773"/>
      <c r="J1200">
        <f>IF('House Count'!H1200="Y",IF('House Count'!F1200="RES-SFU",1,IF('House Count'!F1200="RES-MDU",1,IF('House Count'!F1200="RES-HOA",1,0))),0)</f>
        <v>0</v>
      </c>
      <c r="K1200">
        <f>IF('House Count'!H1200="Y",IF('House Count'!F1200="COMM-SU",1,IF('House Count'!F1200="COM-MTU",1,IF('House Count'!F1200="ENT",1,0))),0)</f>
        <v>0</v>
      </c>
    </row>
    <row r="1201" spans="1:11" ht="15.75" thickBot="1" x14ac:dyDescent="0.3">
      <c r="A1201" s="774"/>
      <c r="B1201" s="774"/>
      <c r="C1201" s="774"/>
      <c r="D1201" s="774"/>
      <c r="E1201" s="774"/>
      <c r="F1201" s="774"/>
      <c r="G1201" s="774"/>
      <c r="H1201" s="774"/>
      <c r="I1201" s="775"/>
      <c r="J1201">
        <f>IF('House Count'!H1201="Y",IF('House Count'!F1201="RES-SFU",1,IF('House Count'!F1201="RES-MDU",1,IF('House Count'!F1201="RES-HOA",1,0))),0)</f>
        <v>0</v>
      </c>
      <c r="K1201">
        <f>IF('House Count'!H1201="Y",IF('House Count'!F1201="COMM-SU",1,IF('House Count'!F1201="COM-MTU",1,IF('House Count'!F1201="ENT",1,0))),0)</f>
        <v>0</v>
      </c>
    </row>
    <row r="1202" spans="1:11" ht="15.75" thickTop="1" x14ac:dyDescent="0.25">
      <c r="H1202" s="192"/>
      <c r="I1202" s="773"/>
      <c r="J1202">
        <f>IF('House Count'!H1202="Y",IF('House Count'!F1202="RES-SFU",1,IF('House Count'!F1202="RES-MDU",1,IF('House Count'!F1202="RES-HOA",1,0))),0)</f>
        <v>0</v>
      </c>
      <c r="K1202">
        <f>IF('House Count'!H1202="Y",IF('House Count'!F1202="COMM-SU",1,IF('House Count'!F1202="COM-MTU",1,IF('House Count'!F1202="ENT",1,0))),0)</f>
        <v>0</v>
      </c>
    </row>
    <row r="1203" spans="1:11" x14ac:dyDescent="0.25">
      <c r="H1203" s="192"/>
      <c r="I1203" s="773"/>
      <c r="J1203">
        <f>IF('House Count'!H1203="Y",IF('House Count'!F1203="RES-SFU",1,IF('House Count'!F1203="RES-MDU",1,IF('House Count'!F1203="RES-HOA",1,0))),0)</f>
        <v>0</v>
      </c>
      <c r="K1203">
        <f>IF('House Count'!H1203="Y",IF('House Count'!F1203="COMM-SU",1,IF('House Count'!F1203="COM-MTU",1,IF('House Count'!F1203="ENT",1,0))),0)</f>
        <v>0</v>
      </c>
    </row>
    <row r="1204" spans="1:11" x14ac:dyDescent="0.25">
      <c r="H1204" s="192"/>
      <c r="I1204" s="773"/>
      <c r="J1204">
        <f>IF('House Count'!H1204="Y",IF('House Count'!F1204="RES-SFU",1,IF('House Count'!F1204="RES-MDU",1,IF('House Count'!F1204="RES-HOA",1,0))),0)</f>
        <v>0</v>
      </c>
      <c r="K1204">
        <f>IF('House Count'!H1204="Y",IF('House Count'!F1204="COMM-SU",1,IF('House Count'!F1204="COM-MTU",1,IF('House Count'!F1204="ENT",1,0))),0)</f>
        <v>0</v>
      </c>
    </row>
    <row r="1205" spans="1:11" x14ac:dyDescent="0.25">
      <c r="H1205" s="192"/>
      <c r="I1205" s="773"/>
      <c r="J1205">
        <f>IF('House Count'!H1205="Y",IF('House Count'!F1205="RES-SFU",1,IF('House Count'!F1205="RES-MDU",1,IF('House Count'!F1205="RES-HOA",1,0))),0)</f>
        <v>0</v>
      </c>
      <c r="K1205">
        <f>IF('House Count'!H1205="Y",IF('House Count'!F1205="COMM-SU",1,IF('House Count'!F1205="COM-MTU",1,IF('House Count'!F1205="ENT",1,0))),0)</f>
        <v>0</v>
      </c>
    </row>
    <row r="1206" spans="1:11" x14ac:dyDescent="0.25">
      <c r="H1206" s="192"/>
      <c r="I1206" s="773"/>
      <c r="J1206">
        <f>IF('House Count'!H1206="Y",IF('House Count'!F1206="RES-SFU",1,IF('House Count'!F1206="RES-MDU",1,IF('House Count'!F1206="RES-HOA",1,0))),0)</f>
        <v>0</v>
      </c>
      <c r="K1206">
        <f>IF('House Count'!H1206="Y",IF('House Count'!F1206="COMM-SU",1,IF('House Count'!F1206="COM-MTU",1,IF('House Count'!F1206="ENT",1,0))),0)</f>
        <v>0</v>
      </c>
    </row>
    <row r="1207" spans="1:11" x14ac:dyDescent="0.25">
      <c r="H1207" s="192"/>
      <c r="I1207" s="773"/>
      <c r="J1207">
        <f>IF('House Count'!H1207="Y",IF('House Count'!F1207="RES-SFU",1,IF('House Count'!F1207="RES-MDU",1,IF('House Count'!F1207="RES-HOA",1,0))),0)</f>
        <v>0</v>
      </c>
      <c r="K1207">
        <f>IF('House Count'!H1207="Y",IF('House Count'!F1207="COMM-SU",1,IF('House Count'!F1207="COM-MTU",1,IF('House Count'!F1207="ENT",1,0))),0)</f>
        <v>0</v>
      </c>
    </row>
    <row r="1208" spans="1:11" x14ac:dyDescent="0.25">
      <c r="H1208" s="192"/>
      <c r="I1208" s="773"/>
      <c r="J1208">
        <f>IF('House Count'!H1208="Y",IF('House Count'!F1208="RES-SFU",1,IF('House Count'!F1208="RES-MDU",1,IF('House Count'!F1208="RES-HOA",1,0))),0)</f>
        <v>0</v>
      </c>
      <c r="K1208">
        <f>IF('House Count'!H1208="Y",IF('House Count'!F1208="COMM-SU",1,IF('House Count'!F1208="COM-MTU",1,IF('House Count'!F1208="ENT",1,0))),0)</f>
        <v>0</v>
      </c>
    </row>
    <row r="1209" spans="1:11" x14ac:dyDescent="0.25">
      <c r="H1209" s="192"/>
      <c r="I1209" s="773"/>
      <c r="J1209">
        <f>IF('House Count'!H1209="Y",IF('House Count'!F1209="RES-SFU",1,IF('House Count'!F1209="RES-MDU",1,IF('House Count'!F1209="RES-HOA",1,0))),0)</f>
        <v>0</v>
      </c>
      <c r="K1209">
        <f>IF('House Count'!H1209="Y",IF('House Count'!F1209="COMM-SU",1,IF('House Count'!F1209="COM-MTU",1,IF('House Count'!F1209="ENT",1,0))),0)</f>
        <v>0</v>
      </c>
    </row>
    <row r="1210" spans="1:11" x14ac:dyDescent="0.25">
      <c r="H1210" s="192"/>
      <c r="I1210" s="773"/>
      <c r="J1210">
        <f>IF('House Count'!H1210="Y",IF('House Count'!F1210="RES-SFU",1,IF('House Count'!F1210="RES-MDU",1,IF('House Count'!F1210="RES-HOA",1,0))),0)</f>
        <v>0</v>
      </c>
      <c r="K1210">
        <f>IF('House Count'!H1210="Y",IF('House Count'!F1210="COMM-SU",1,IF('House Count'!F1210="COM-MTU",1,IF('House Count'!F1210="ENT",1,0))),0)</f>
        <v>0</v>
      </c>
    </row>
    <row r="1211" spans="1:11" x14ac:dyDescent="0.25">
      <c r="H1211" s="192"/>
      <c r="I1211" s="773"/>
      <c r="J1211">
        <f>IF('House Count'!H1211="Y",IF('House Count'!F1211="RES-SFU",1,IF('House Count'!F1211="RES-MDU",1,IF('House Count'!F1211="RES-HOA",1,0))),0)</f>
        <v>0</v>
      </c>
      <c r="K1211">
        <f>IF('House Count'!H1211="Y",IF('House Count'!F1211="COMM-SU",1,IF('House Count'!F1211="COM-MTU",1,IF('House Count'!F1211="ENT",1,0))),0)</f>
        <v>0</v>
      </c>
    </row>
    <row r="1212" spans="1:11" x14ac:dyDescent="0.25">
      <c r="H1212" s="192"/>
      <c r="I1212" s="773"/>
      <c r="J1212">
        <f>IF('House Count'!H1212="Y",IF('House Count'!F1212="RES-SFU",1,IF('House Count'!F1212="RES-MDU",1,IF('House Count'!F1212="RES-HOA",1,0))),0)</f>
        <v>0</v>
      </c>
      <c r="K1212">
        <f>IF('House Count'!H1212="Y",IF('House Count'!F1212="COMM-SU",1,IF('House Count'!F1212="COM-MTU",1,IF('House Count'!F1212="ENT",1,0))),0)</f>
        <v>0</v>
      </c>
    </row>
    <row r="1213" spans="1:11" ht="15.75" thickBot="1" x14ac:dyDescent="0.3">
      <c r="A1213" s="774"/>
      <c r="B1213" s="774"/>
      <c r="C1213" s="774"/>
      <c r="D1213" s="774"/>
      <c r="E1213" s="774"/>
      <c r="F1213" s="774"/>
      <c r="G1213" s="774"/>
      <c r="H1213" s="774"/>
      <c r="I1213" s="775"/>
      <c r="J1213">
        <f>IF('House Count'!H1213="Y",IF('House Count'!F1213="RES-SFU",1,IF('House Count'!F1213="RES-MDU",1,IF('House Count'!F1213="RES-HOA",1,0))),0)</f>
        <v>0</v>
      </c>
      <c r="K1213">
        <f>IF('House Count'!H1213="Y",IF('House Count'!F1213="COMM-SU",1,IF('House Count'!F1213="COM-MTU",1,IF('House Count'!F1213="ENT",1,0))),0)</f>
        <v>0</v>
      </c>
    </row>
    <row r="1214" spans="1:11" ht="15.75" thickTop="1" x14ac:dyDescent="0.25">
      <c r="H1214" s="192"/>
      <c r="I1214" s="773"/>
      <c r="J1214">
        <f>IF('House Count'!H1214="Y",IF('House Count'!F1214="RES-SFU",1,IF('House Count'!F1214="RES-MDU",1,IF('House Count'!F1214="RES-HOA",1,0))),0)</f>
        <v>0</v>
      </c>
      <c r="K1214">
        <f>IF('House Count'!H1214="Y",IF('House Count'!F1214="COMM-SU",1,IF('House Count'!F1214="COM-MTU",1,IF('House Count'!F1214="ENT",1,0))),0)</f>
        <v>0</v>
      </c>
    </row>
    <row r="1215" spans="1:11" x14ac:dyDescent="0.25">
      <c r="H1215" s="192"/>
      <c r="I1215" s="773"/>
      <c r="J1215">
        <f>IF('House Count'!H1215="Y",IF('House Count'!F1215="RES-SFU",1,IF('House Count'!F1215="RES-MDU",1,IF('House Count'!F1215="RES-HOA",1,0))),0)</f>
        <v>0</v>
      </c>
      <c r="K1215">
        <f>IF('House Count'!H1215="Y",IF('House Count'!F1215="COMM-SU",1,IF('House Count'!F1215="COM-MTU",1,IF('House Count'!F1215="ENT",1,0))),0)</f>
        <v>0</v>
      </c>
    </row>
    <row r="1216" spans="1:11" x14ac:dyDescent="0.25">
      <c r="H1216" s="192"/>
      <c r="I1216" s="773"/>
      <c r="J1216">
        <f>IF('House Count'!H1216="Y",IF('House Count'!F1216="RES-SFU",1,IF('House Count'!F1216="RES-MDU",1,IF('House Count'!F1216="RES-HOA",1,0))),0)</f>
        <v>0</v>
      </c>
      <c r="K1216">
        <f>IF('House Count'!H1216="Y",IF('House Count'!F1216="COMM-SU",1,IF('House Count'!F1216="COM-MTU",1,IF('House Count'!F1216="ENT",1,0))),0)</f>
        <v>0</v>
      </c>
    </row>
    <row r="1217" spans="1:11" x14ac:dyDescent="0.25">
      <c r="H1217" s="192"/>
      <c r="I1217" s="773"/>
      <c r="J1217">
        <f>IF('House Count'!H1217="Y",IF('House Count'!F1217="RES-SFU",1,IF('House Count'!F1217="RES-MDU",1,IF('House Count'!F1217="RES-HOA",1,0))),0)</f>
        <v>0</v>
      </c>
      <c r="K1217">
        <f>IF('House Count'!H1217="Y",IF('House Count'!F1217="COMM-SU",1,IF('House Count'!F1217="COM-MTU",1,IF('House Count'!F1217="ENT",1,0))),0)</f>
        <v>0</v>
      </c>
    </row>
    <row r="1218" spans="1:11" x14ac:dyDescent="0.25">
      <c r="H1218" s="192"/>
      <c r="I1218" s="773"/>
      <c r="J1218">
        <f>IF('House Count'!H1218="Y",IF('House Count'!F1218="RES-SFU",1,IF('House Count'!F1218="RES-MDU",1,IF('House Count'!F1218="RES-HOA",1,0))),0)</f>
        <v>0</v>
      </c>
      <c r="K1218">
        <f>IF('House Count'!H1218="Y",IF('House Count'!F1218="COMM-SU",1,IF('House Count'!F1218="COM-MTU",1,IF('House Count'!F1218="ENT",1,0))),0)</f>
        <v>0</v>
      </c>
    </row>
    <row r="1219" spans="1:11" x14ac:dyDescent="0.25">
      <c r="H1219" s="192"/>
      <c r="I1219" s="773"/>
      <c r="J1219">
        <f>IF('House Count'!H1219="Y",IF('House Count'!F1219="RES-SFU",1,IF('House Count'!F1219="RES-MDU",1,IF('House Count'!F1219="RES-HOA",1,0))),0)</f>
        <v>0</v>
      </c>
      <c r="K1219">
        <f>IF('House Count'!H1219="Y",IF('House Count'!F1219="COMM-SU",1,IF('House Count'!F1219="COM-MTU",1,IF('House Count'!F1219="ENT",1,0))),0)</f>
        <v>0</v>
      </c>
    </row>
    <row r="1220" spans="1:11" x14ac:dyDescent="0.25">
      <c r="H1220" s="192"/>
      <c r="I1220" s="773"/>
      <c r="J1220">
        <f>IF('House Count'!H1220="Y",IF('House Count'!F1220="RES-SFU",1,IF('House Count'!F1220="RES-MDU",1,IF('House Count'!F1220="RES-HOA",1,0))),0)</f>
        <v>0</v>
      </c>
      <c r="K1220">
        <f>IF('House Count'!H1220="Y",IF('House Count'!F1220="COMM-SU",1,IF('House Count'!F1220="COM-MTU",1,IF('House Count'!F1220="ENT",1,0))),0)</f>
        <v>0</v>
      </c>
    </row>
    <row r="1221" spans="1:11" x14ac:dyDescent="0.25">
      <c r="H1221" s="192"/>
      <c r="I1221" s="773"/>
      <c r="J1221">
        <f>IF('House Count'!H1221="Y",IF('House Count'!F1221="RES-SFU",1,IF('House Count'!F1221="RES-MDU",1,IF('House Count'!F1221="RES-HOA",1,0))),0)</f>
        <v>0</v>
      </c>
      <c r="K1221">
        <f>IF('House Count'!H1221="Y",IF('House Count'!F1221="COMM-SU",1,IF('House Count'!F1221="COM-MTU",1,IF('House Count'!F1221="ENT",1,0))),0)</f>
        <v>0</v>
      </c>
    </row>
    <row r="1222" spans="1:11" x14ac:dyDescent="0.25">
      <c r="H1222" s="192"/>
      <c r="I1222" s="773"/>
      <c r="J1222">
        <f>IF('House Count'!H1222="Y",IF('House Count'!F1222="RES-SFU",1,IF('House Count'!F1222="RES-MDU",1,IF('House Count'!F1222="RES-HOA",1,0))),0)</f>
        <v>0</v>
      </c>
      <c r="K1222">
        <f>IF('House Count'!H1222="Y",IF('House Count'!F1222="COMM-SU",1,IF('House Count'!F1222="COM-MTU",1,IF('House Count'!F1222="ENT",1,0))),0)</f>
        <v>0</v>
      </c>
    </row>
    <row r="1223" spans="1:11" x14ac:dyDescent="0.25">
      <c r="H1223" s="192"/>
      <c r="I1223" s="773"/>
      <c r="J1223">
        <f>IF('House Count'!H1223="Y",IF('House Count'!F1223="RES-SFU",1,IF('House Count'!F1223="RES-MDU",1,IF('House Count'!F1223="RES-HOA",1,0))),0)</f>
        <v>0</v>
      </c>
      <c r="K1223">
        <f>IF('House Count'!H1223="Y",IF('House Count'!F1223="COMM-SU",1,IF('House Count'!F1223="COM-MTU",1,IF('House Count'!F1223="ENT",1,0))),0)</f>
        <v>0</v>
      </c>
    </row>
    <row r="1224" spans="1:11" x14ac:dyDescent="0.25">
      <c r="H1224" s="192"/>
      <c r="I1224" s="773"/>
      <c r="J1224">
        <f>IF('House Count'!H1224="Y",IF('House Count'!F1224="RES-SFU",1,IF('House Count'!F1224="RES-MDU",1,IF('House Count'!F1224="RES-HOA",1,0))),0)</f>
        <v>0</v>
      </c>
      <c r="K1224">
        <f>IF('House Count'!H1224="Y",IF('House Count'!F1224="COMM-SU",1,IF('House Count'!F1224="COM-MTU",1,IF('House Count'!F1224="ENT",1,0))),0)</f>
        <v>0</v>
      </c>
    </row>
    <row r="1225" spans="1:11" ht="15.75" thickBot="1" x14ac:dyDescent="0.3">
      <c r="A1225" s="774"/>
      <c r="B1225" s="774"/>
      <c r="C1225" s="774"/>
      <c r="D1225" s="774"/>
      <c r="E1225" s="774"/>
      <c r="F1225" s="774"/>
      <c r="G1225" s="774"/>
      <c r="H1225" s="774"/>
      <c r="I1225" s="775"/>
      <c r="J1225">
        <f>IF('House Count'!H1225="Y",IF('House Count'!F1225="RES-SFU",1,IF('House Count'!F1225="RES-MDU",1,IF('House Count'!F1225="RES-HOA",1,0))),0)</f>
        <v>0</v>
      </c>
      <c r="K1225">
        <f>IF('House Count'!H1225="Y",IF('House Count'!F1225="COMM-SU",1,IF('House Count'!F1225="COM-MTU",1,IF('House Count'!F1225="ENT",1,0))),0)</f>
        <v>0</v>
      </c>
    </row>
    <row r="1226" spans="1:11" ht="15.75" thickTop="1" x14ac:dyDescent="0.25">
      <c r="H1226" s="192"/>
      <c r="I1226" s="773"/>
      <c r="J1226">
        <f>IF('House Count'!H1226="Y",IF('House Count'!F1226="RES-SFU",1,IF('House Count'!F1226="RES-MDU",1,IF('House Count'!F1226="RES-HOA",1,0))),0)</f>
        <v>0</v>
      </c>
      <c r="K1226">
        <f>IF('House Count'!H1226="Y",IF('House Count'!F1226="COMM-SU",1,IF('House Count'!F1226="COM-MTU",1,IF('House Count'!F1226="ENT",1,0))),0)</f>
        <v>0</v>
      </c>
    </row>
    <row r="1227" spans="1:11" x14ac:dyDescent="0.25">
      <c r="H1227" s="192"/>
      <c r="I1227" s="773"/>
      <c r="J1227">
        <f>IF('House Count'!H1227="Y",IF('House Count'!F1227="RES-SFU",1,IF('House Count'!F1227="RES-MDU",1,IF('House Count'!F1227="RES-HOA",1,0))),0)</f>
        <v>0</v>
      </c>
      <c r="K1227">
        <f>IF('House Count'!H1227="Y",IF('House Count'!F1227="COMM-SU",1,IF('House Count'!F1227="COM-MTU",1,IF('House Count'!F1227="ENT",1,0))),0)</f>
        <v>0</v>
      </c>
    </row>
    <row r="1228" spans="1:11" x14ac:dyDescent="0.25">
      <c r="H1228" s="192"/>
      <c r="I1228" s="773"/>
      <c r="J1228">
        <f>IF('House Count'!H1228="Y",IF('House Count'!F1228="RES-SFU",1,IF('House Count'!F1228="RES-MDU",1,IF('House Count'!F1228="RES-HOA",1,0))),0)</f>
        <v>0</v>
      </c>
      <c r="K1228">
        <f>IF('House Count'!H1228="Y",IF('House Count'!F1228="COMM-SU",1,IF('House Count'!F1228="COM-MTU",1,IF('House Count'!F1228="ENT",1,0))),0)</f>
        <v>0</v>
      </c>
    </row>
    <row r="1229" spans="1:11" x14ac:dyDescent="0.25">
      <c r="H1229" s="192"/>
      <c r="I1229" s="773"/>
      <c r="J1229">
        <f>IF('House Count'!H1229="Y",IF('House Count'!F1229="RES-SFU",1,IF('House Count'!F1229="RES-MDU",1,IF('House Count'!F1229="RES-HOA",1,0))),0)</f>
        <v>0</v>
      </c>
      <c r="K1229">
        <f>IF('House Count'!H1229="Y",IF('House Count'!F1229="COMM-SU",1,IF('House Count'!F1229="COM-MTU",1,IF('House Count'!F1229="ENT",1,0))),0)</f>
        <v>0</v>
      </c>
    </row>
    <row r="1230" spans="1:11" x14ac:dyDescent="0.25">
      <c r="H1230" s="192"/>
      <c r="I1230" s="773"/>
      <c r="J1230">
        <f>IF('House Count'!H1230="Y",IF('House Count'!F1230="RES-SFU",1,IF('House Count'!F1230="RES-MDU",1,IF('House Count'!F1230="RES-HOA",1,0))),0)</f>
        <v>0</v>
      </c>
      <c r="K1230">
        <f>IF('House Count'!H1230="Y",IF('House Count'!F1230="COMM-SU",1,IF('House Count'!F1230="COM-MTU",1,IF('House Count'!F1230="ENT",1,0))),0)</f>
        <v>0</v>
      </c>
    </row>
    <row r="1231" spans="1:11" x14ac:dyDescent="0.25">
      <c r="H1231" s="192"/>
      <c r="I1231" s="773"/>
      <c r="J1231">
        <f>IF('House Count'!H1231="Y",IF('House Count'!F1231="RES-SFU",1,IF('House Count'!F1231="RES-MDU",1,IF('House Count'!F1231="RES-HOA",1,0))),0)</f>
        <v>0</v>
      </c>
      <c r="K1231">
        <f>IF('House Count'!H1231="Y",IF('House Count'!F1231="COMM-SU",1,IF('House Count'!F1231="COM-MTU",1,IF('House Count'!F1231="ENT",1,0))),0)</f>
        <v>0</v>
      </c>
    </row>
    <row r="1232" spans="1:11" x14ac:dyDescent="0.25">
      <c r="H1232" s="192"/>
      <c r="I1232" s="773"/>
      <c r="J1232">
        <f>IF('House Count'!H1232="Y",IF('House Count'!F1232="RES-SFU",1,IF('House Count'!F1232="RES-MDU",1,IF('House Count'!F1232="RES-HOA",1,0))),0)</f>
        <v>0</v>
      </c>
      <c r="K1232">
        <f>IF('House Count'!H1232="Y",IF('House Count'!F1232="COMM-SU",1,IF('House Count'!F1232="COM-MTU",1,IF('House Count'!F1232="ENT",1,0))),0)</f>
        <v>0</v>
      </c>
    </row>
    <row r="1233" spans="1:11" x14ac:dyDescent="0.25">
      <c r="H1233" s="192"/>
      <c r="I1233" s="773"/>
      <c r="J1233">
        <f>IF('House Count'!H1233="Y",IF('House Count'!F1233="RES-SFU",1,IF('House Count'!F1233="RES-MDU",1,IF('House Count'!F1233="RES-HOA",1,0))),0)</f>
        <v>0</v>
      </c>
      <c r="K1233">
        <f>IF('House Count'!H1233="Y",IF('House Count'!F1233="COMM-SU",1,IF('House Count'!F1233="COM-MTU",1,IF('House Count'!F1233="ENT",1,0))),0)</f>
        <v>0</v>
      </c>
    </row>
    <row r="1234" spans="1:11" x14ac:dyDescent="0.25">
      <c r="H1234" s="192"/>
      <c r="I1234" s="773"/>
      <c r="J1234">
        <f>IF('House Count'!H1234="Y",IF('House Count'!F1234="RES-SFU",1,IF('House Count'!F1234="RES-MDU",1,IF('House Count'!F1234="RES-HOA",1,0))),0)</f>
        <v>0</v>
      </c>
      <c r="K1234">
        <f>IF('House Count'!H1234="Y",IF('House Count'!F1234="COMM-SU",1,IF('House Count'!F1234="COM-MTU",1,IF('House Count'!F1234="ENT",1,0))),0)</f>
        <v>0</v>
      </c>
    </row>
    <row r="1235" spans="1:11" x14ac:dyDescent="0.25">
      <c r="H1235" s="192"/>
      <c r="I1235" s="773"/>
      <c r="J1235">
        <f>IF('House Count'!H1235="Y",IF('House Count'!F1235="RES-SFU",1,IF('House Count'!F1235="RES-MDU",1,IF('House Count'!F1235="RES-HOA",1,0))),0)</f>
        <v>0</v>
      </c>
      <c r="K1235">
        <f>IF('House Count'!H1235="Y",IF('House Count'!F1235="COMM-SU",1,IF('House Count'!F1235="COM-MTU",1,IF('House Count'!F1235="ENT",1,0))),0)</f>
        <v>0</v>
      </c>
    </row>
    <row r="1236" spans="1:11" x14ac:dyDescent="0.25">
      <c r="H1236" s="192"/>
      <c r="I1236" s="773"/>
      <c r="J1236">
        <f>IF('House Count'!H1236="Y",IF('House Count'!F1236="RES-SFU",1,IF('House Count'!F1236="RES-MDU",1,IF('House Count'!F1236="RES-HOA",1,0))),0)</f>
        <v>0</v>
      </c>
      <c r="K1236">
        <f>IF('House Count'!H1236="Y",IF('House Count'!F1236="COMM-SU",1,IF('House Count'!F1236="COM-MTU",1,IF('House Count'!F1236="ENT",1,0))),0)</f>
        <v>0</v>
      </c>
    </row>
    <row r="1237" spans="1:11" ht="15.75" thickBot="1" x14ac:dyDescent="0.3">
      <c r="A1237" s="774"/>
      <c r="B1237" s="774"/>
      <c r="C1237" s="774"/>
      <c r="D1237" s="774"/>
      <c r="E1237" s="774"/>
      <c r="F1237" s="774"/>
      <c r="G1237" s="774"/>
      <c r="H1237" s="774"/>
      <c r="I1237" s="775"/>
      <c r="J1237">
        <f>IF('House Count'!H1237="Y",IF('House Count'!F1237="RES-SFU",1,IF('House Count'!F1237="RES-MDU",1,IF('House Count'!F1237="RES-HOA",1,0))),0)</f>
        <v>0</v>
      </c>
      <c r="K1237">
        <f>IF('House Count'!H1237="Y",IF('House Count'!F1237="COMM-SU",1,IF('House Count'!F1237="COM-MTU",1,IF('House Count'!F1237="ENT",1,0))),0)</f>
        <v>0</v>
      </c>
    </row>
    <row r="1238" spans="1:11" ht="15.75" thickTop="1" x14ac:dyDescent="0.25">
      <c r="H1238" s="192"/>
      <c r="I1238" s="773"/>
      <c r="J1238">
        <f>IF('House Count'!H1238="Y",IF('House Count'!F1238="RES-SFU",1,IF('House Count'!F1238="RES-MDU",1,IF('House Count'!F1238="RES-HOA",1,0))),0)</f>
        <v>0</v>
      </c>
      <c r="K1238">
        <f>IF('House Count'!H1238="Y",IF('House Count'!F1238="COMM-SU",1,IF('House Count'!F1238="COM-MTU",1,IF('House Count'!F1238="ENT",1,0))),0)</f>
        <v>0</v>
      </c>
    </row>
    <row r="1239" spans="1:11" x14ac:dyDescent="0.25">
      <c r="H1239" s="192"/>
      <c r="I1239" s="773"/>
      <c r="J1239">
        <f>IF('House Count'!H1239="Y",IF('House Count'!F1239="RES-SFU",1,IF('House Count'!F1239="RES-MDU",1,IF('House Count'!F1239="RES-HOA",1,0))),0)</f>
        <v>0</v>
      </c>
      <c r="K1239">
        <f>IF('House Count'!H1239="Y",IF('House Count'!F1239="COMM-SU",1,IF('House Count'!F1239="COM-MTU",1,IF('House Count'!F1239="ENT",1,0))),0)</f>
        <v>0</v>
      </c>
    </row>
    <row r="1240" spans="1:11" x14ac:dyDescent="0.25">
      <c r="H1240" s="192"/>
      <c r="I1240" s="773"/>
      <c r="J1240">
        <f>IF('House Count'!H1240="Y",IF('House Count'!F1240="RES-SFU",1,IF('House Count'!F1240="RES-MDU",1,IF('House Count'!F1240="RES-HOA",1,0))),0)</f>
        <v>0</v>
      </c>
      <c r="K1240">
        <f>IF('House Count'!H1240="Y",IF('House Count'!F1240="COMM-SU",1,IF('House Count'!F1240="COM-MTU",1,IF('House Count'!F1240="ENT",1,0))),0)</f>
        <v>0</v>
      </c>
    </row>
    <row r="1241" spans="1:11" x14ac:dyDescent="0.25">
      <c r="H1241" s="192"/>
      <c r="I1241" s="773"/>
      <c r="J1241">
        <f>IF('House Count'!H1241="Y",IF('House Count'!F1241="RES-SFU",1,IF('House Count'!F1241="RES-MDU",1,IF('House Count'!F1241="RES-HOA",1,0))),0)</f>
        <v>0</v>
      </c>
      <c r="K1241">
        <f>IF('House Count'!H1241="Y",IF('House Count'!F1241="COMM-SU",1,IF('House Count'!F1241="COM-MTU",1,IF('House Count'!F1241="ENT",1,0))),0)</f>
        <v>0</v>
      </c>
    </row>
    <row r="1242" spans="1:11" x14ac:dyDescent="0.25">
      <c r="H1242" s="192"/>
      <c r="I1242" s="773"/>
      <c r="J1242">
        <f>IF('House Count'!H1242="Y",IF('House Count'!F1242="RES-SFU",1,IF('House Count'!F1242="RES-MDU",1,IF('House Count'!F1242="RES-HOA",1,0))),0)</f>
        <v>0</v>
      </c>
      <c r="K1242">
        <f>IF('House Count'!H1242="Y",IF('House Count'!F1242="COMM-SU",1,IF('House Count'!F1242="COM-MTU",1,IF('House Count'!F1242="ENT",1,0))),0)</f>
        <v>0</v>
      </c>
    </row>
    <row r="1243" spans="1:11" x14ac:dyDescent="0.25">
      <c r="H1243" s="192"/>
      <c r="I1243" s="773"/>
      <c r="J1243">
        <f>IF('House Count'!H1243="Y",IF('House Count'!F1243="RES-SFU",1,IF('House Count'!F1243="RES-MDU",1,IF('House Count'!F1243="RES-HOA",1,0))),0)</f>
        <v>0</v>
      </c>
      <c r="K1243">
        <f>IF('House Count'!H1243="Y",IF('House Count'!F1243="COMM-SU",1,IF('House Count'!F1243="COM-MTU",1,IF('House Count'!F1243="ENT",1,0))),0)</f>
        <v>0</v>
      </c>
    </row>
    <row r="1244" spans="1:11" x14ac:dyDescent="0.25">
      <c r="H1244" s="192"/>
      <c r="I1244" s="773"/>
      <c r="J1244">
        <f>IF('House Count'!H1244="Y",IF('House Count'!F1244="RES-SFU",1,IF('House Count'!F1244="RES-MDU",1,IF('House Count'!F1244="RES-HOA",1,0))),0)</f>
        <v>0</v>
      </c>
      <c r="K1244">
        <f>IF('House Count'!H1244="Y",IF('House Count'!F1244="COMM-SU",1,IF('House Count'!F1244="COM-MTU",1,IF('House Count'!F1244="ENT",1,0))),0)</f>
        <v>0</v>
      </c>
    </row>
    <row r="1245" spans="1:11" x14ac:dyDescent="0.25">
      <c r="H1245" s="192"/>
      <c r="I1245" s="773"/>
      <c r="J1245">
        <f>IF('House Count'!H1245="Y",IF('House Count'!F1245="RES-SFU",1,IF('House Count'!F1245="RES-MDU",1,IF('House Count'!F1245="RES-HOA",1,0))),0)</f>
        <v>0</v>
      </c>
      <c r="K1245">
        <f>IF('House Count'!H1245="Y",IF('House Count'!F1245="COMM-SU",1,IF('House Count'!F1245="COM-MTU",1,IF('House Count'!F1245="ENT",1,0))),0)</f>
        <v>0</v>
      </c>
    </row>
    <row r="1246" spans="1:11" x14ac:dyDescent="0.25">
      <c r="H1246" s="192"/>
      <c r="I1246" s="773"/>
      <c r="J1246">
        <f>IF('House Count'!H1246="Y",IF('House Count'!F1246="RES-SFU",1,IF('House Count'!F1246="RES-MDU",1,IF('House Count'!F1246="RES-HOA",1,0))),0)</f>
        <v>0</v>
      </c>
      <c r="K1246">
        <f>IF('House Count'!H1246="Y",IF('House Count'!F1246="COMM-SU",1,IF('House Count'!F1246="COM-MTU",1,IF('House Count'!F1246="ENT",1,0))),0)</f>
        <v>0</v>
      </c>
    </row>
    <row r="1247" spans="1:11" x14ac:dyDescent="0.25">
      <c r="H1247" s="192"/>
      <c r="I1247" s="773"/>
      <c r="J1247">
        <f>IF('House Count'!H1247="Y",IF('House Count'!F1247="RES-SFU",1,IF('House Count'!F1247="RES-MDU",1,IF('House Count'!F1247="RES-HOA",1,0))),0)</f>
        <v>0</v>
      </c>
      <c r="K1247">
        <f>IF('House Count'!H1247="Y",IF('House Count'!F1247="COMM-SU",1,IF('House Count'!F1247="COM-MTU",1,IF('House Count'!F1247="ENT",1,0))),0)</f>
        <v>0</v>
      </c>
    </row>
    <row r="1248" spans="1:11" x14ac:dyDescent="0.25">
      <c r="H1248" s="192"/>
      <c r="I1248" s="773"/>
      <c r="J1248">
        <f>IF('House Count'!H1248="Y",IF('House Count'!F1248="RES-SFU",1,IF('House Count'!F1248="RES-MDU",1,IF('House Count'!F1248="RES-HOA",1,0))),0)</f>
        <v>0</v>
      </c>
      <c r="K1248">
        <f>IF('House Count'!H1248="Y",IF('House Count'!F1248="COMM-SU",1,IF('House Count'!F1248="COM-MTU",1,IF('House Count'!F1248="ENT",1,0))),0)</f>
        <v>0</v>
      </c>
    </row>
    <row r="1249" spans="1:11" ht="15.75" thickBot="1" x14ac:dyDescent="0.3">
      <c r="A1249" s="774"/>
      <c r="B1249" s="774"/>
      <c r="C1249" s="774"/>
      <c r="D1249" s="774"/>
      <c r="E1249" s="774"/>
      <c r="F1249" s="774"/>
      <c r="G1249" s="774"/>
      <c r="H1249" s="774"/>
      <c r="I1249" s="775"/>
      <c r="J1249">
        <f>IF('House Count'!H1249="Y",IF('House Count'!F1249="RES-SFU",1,IF('House Count'!F1249="RES-MDU",1,IF('House Count'!F1249="RES-HOA",1,0))),0)</f>
        <v>0</v>
      </c>
      <c r="K1249">
        <f>IF('House Count'!H1249="Y",IF('House Count'!F1249="COMM-SU",1,IF('House Count'!F1249="COM-MTU",1,IF('House Count'!F1249="ENT",1,0))),0)</f>
        <v>0</v>
      </c>
    </row>
    <row r="1250" spans="1:11" ht="15.75" thickTop="1" x14ac:dyDescent="0.25">
      <c r="H1250" s="192"/>
      <c r="I1250" s="773"/>
      <c r="J1250">
        <f>IF('House Count'!H1250="Y",IF('House Count'!F1250="RES-SFU",1,IF('House Count'!F1250="RES-MDU",1,IF('House Count'!F1250="RES-HOA",1,0))),0)</f>
        <v>0</v>
      </c>
      <c r="K1250">
        <f>IF('House Count'!H1250="Y",IF('House Count'!F1250="COMM-SU",1,IF('House Count'!F1250="COM-MTU",1,IF('House Count'!F1250="ENT",1,0))),0)</f>
        <v>0</v>
      </c>
    </row>
    <row r="1251" spans="1:11" x14ac:dyDescent="0.25">
      <c r="H1251" s="192"/>
      <c r="I1251" s="773"/>
      <c r="J1251">
        <f>IF('House Count'!H1251="Y",IF('House Count'!F1251="RES-SFU",1,IF('House Count'!F1251="RES-MDU",1,IF('House Count'!F1251="RES-HOA",1,0))),0)</f>
        <v>0</v>
      </c>
      <c r="K1251">
        <f>IF('House Count'!H1251="Y",IF('House Count'!F1251="COMM-SU",1,IF('House Count'!F1251="COM-MTU",1,IF('House Count'!F1251="ENT",1,0))),0)</f>
        <v>0</v>
      </c>
    </row>
    <row r="1252" spans="1:11" x14ac:dyDescent="0.25">
      <c r="H1252" s="192"/>
      <c r="I1252" s="773"/>
      <c r="J1252">
        <f>IF('House Count'!H1252="Y",IF('House Count'!F1252="RES-SFU",1,IF('House Count'!F1252="RES-MDU",1,IF('House Count'!F1252="RES-HOA",1,0))),0)</f>
        <v>0</v>
      </c>
      <c r="K1252">
        <f>IF('House Count'!H1252="Y",IF('House Count'!F1252="COMM-SU",1,IF('House Count'!F1252="COM-MTU",1,IF('House Count'!F1252="ENT",1,0))),0)</f>
        <v>0</v>
      </c>
    </row>
    <row r="1253" spans="1:11" x14ac:dyDescent="0.25">
      <c r="H1253" s="192"/>
      <c r="I1253" s="773"/>
      <c r="J1253">
        <f>IF('House Count'!H1253="Y",IF('House Count'!F1253="RES-SFU",1,IF('House Count'!F1253="RES-MDU",1,IF('House Count'!F1253="RES-HOA",1,0))),0)</f>
        <v>0</v>
      </c>
      <c r="K1253">
        <f>IF('House Count'!H1253="Y",IF('House Count'!F1253="COMM-SU",1,IF('House Count'!F1253="COM-MTU",1,IF('House Count'!F1253="ENT",1,0))),0)</f>
        <v>0</v>
      </c>
    </row>
    <row r="1254" spans="1:11" x14ac:dyDescent="0.25">
      <c r="H1254" s="192"/>
      <c r="I1254" s="773"/>
      <c r="J1254">
        <f>IF('House Count'!H1254="Y",IF('House Count'!F1254="RES-SFU",1,IF('House Count'!F1254="RES-MDU",1,IF('House Count'!F1254="RES-HOA",1,0))),0)</f>
        <v>0</v>
      </c>
      <c r="K1254">
        <f>IF('House Count'!H1254="Y",IF('House Count'!F1254="COMM-SU",1,IF('House Count'!F1254="COM-MTU",1,IF('House Count'!F1254="ENT",1,0))),0)</f>
        <v>0</v>
      </c>
    </row>
    <row r="1255" spans="1:11" x14ac:dyDescent="0.25">
      <c r="H1255" s="192"/>
      <c r="I1255" s="773"/>
      <c r="J1255">
        <f>IF('House Count'!H1255="Y",IF('House Count'!F1255="RES-SFU",1,IF('House Count'!F1255="RES-MDU",1,IF('House Count'!F1255="RES-HOA",1,0))),0)</f>
        <v>0</v>
      </c>
      <c r="K1255">
        <f>IF('House Count'!H1255="Y",IF('House Count'!F1255="COMM-SU",1,IF('House Count'!F1255="COM-MTU",1,IF('House Count'!F1255="ENT",1,0))),0)</f>
        <v>0</v>
      </c>
    </row>
    <row r="1256" spans="1:11" x14ac:dyDescent="0.25">
      <c r="H1256" s="192"/>
      <c r="I1256" s="773"/>
      <c r="J1256">
        <f>IF('House Count'!H1256="Y",IF('House Count'!F1256="RES-SFU",1,IF('House Count'!F1256="RES-MDU",1,IF('House Count'!F1256="RES-HOA",1,0))),0)</f>
        <v>0</v>
      </c>
      <c r="K1256">
        <f>IF('House Count'!H1256="Y",IF('House Count'!F1256="COMM-SU",1,IF('House Count'!F1256="COM-MTU",1,IF('House Count'!F1256="ENT",1,0))),0)</f>
        <v>0</v>
      </c>
    </row>
    <row r="1257" spans="1:11" x14ac:dyDescent="0.25">
      <c r="H1257" s="192"/>
      <c r="I1257" s="773"/>
      <c r="J1257">
        <f>IF('House Count'!H1257="Y",IF('House Count'!F1257="RES-SFU",1,IF('House Count'!F1257="RES-MDU",1,IF('House Count'!F1257="RES-HOA",1,0))),0)</f>
        <v>0</v>
      </c>
      <c r="K1257">
        <f>IF('House Count'!H1257="Y",IF('House Count'!F1257="COMM-SU",1,IF('House Count'!F1257="COM-MTU",1,IF('House Count'!F1257="ENT",1,0))),0)</f>
        <v>0</v>
      </c>
    </row>
    <row r="1258" spans="1:11" x14ac:dyDescent="0.25">
      <c r="H1258" s="192"/>
      <c r="I1258" s="773"/>
      <c r="J1258">
        <f>IF('House Count'!H1258="Y",IF('House Count'!F1258="RES-SFU",1,IF('House Count'!F1258="RES-MDU",1,IF('House Count'!F1258="RES-HOA",1,0))),0)</f>
        <v>0</v>
      </c>
      <c r="K1258">
        <f>IF('House Count'!H1258="Y",IF('House Count'!F1258="COMM-SU",1,IF('House Count'!F1258="COM-MTU",1,IF('House Count'!F1258="ENT",1,0))),0)</f>
        <v>0</v>
      </c>
    </row>
    <row r="1259" spans="1:11" x14ac:dyDescent="0.25">
      <c r="H1259" s="192"/>
      <c r="I1259" s="773"/>
      <c r="J1259">
        <f>IF('House Count'!H1259="Y",IF('House Count'!F1259="RES-SFU",1,IF('House Count'!F1259="RES-MDU",1,IF('House Count'!F1259="RES-HOA",1,0))),0)</f>
        <v>0</v>
      </c>
      <c r="K1259">
        <f>IF('House Count'!H1259="Y",IF('House Count'!F1259="COMM-SU",1,IF('House Count'!F1259="COM-MTU",1,IF('House Count'!F1259="ENT",1,0))),0)</f>
        <v>0</v>
      </c>
    </row>
    <row r="1260" spans="1:11" x14ac:dyDescent="0.25">
      <c r="H1260" s="192"/>
      <c r="I1260" s="773"/>
      <c r="J1260">
        <f>IF('House Count'!H1260="Y",IF('House Count'!F1260="RES-SFU",1,IF('House Count'!F1260="RES-MDU",1,IF('House Count'!F1260="RES-HOA",1,0))),0)</f>
        <v>0</v>
      </c>
      <c r="K1260">
        <f>IF('House Count'!H1260="Y",IF('House Count'!F1260="COMM-SU",1,IF('House Count'!F1260="COM-MTU",1,IF('House Count'!F1260="ENT",1,0))),0)</f>
        <v>0</v>
      </c>
    </row>
    <row r="1261" spans="1:11" ht="15.75" thickBot="1" x14ac:dyDescent="0.3">
      <c r="A1261" s="774"/>
      <c r="B1261" s="774"/>
      <c r="C1261" s="774"/>
      <c r="D1261" s="774"/>
      <c r="E1261" s="774"/>
      <c r="F1261" s="774"/>
      <c r="G1261" s="774"/>
      <c r="H1261" s="774"/>
      <c r="I1261" s="775"/>
      <c r="J1261">
        <f>IF('House Count'!H1261="Y",IF('House Count'!F1261="RES-SFU",1,IF('House Count'!F1261="RES-MDU",1,IF('House Count'!F1261="RES-HOA",1,0))),0)</f>
        <v>0</v>
      </c>
      <c r="K1261">
        <f>IF('House Count'!H1261="Y",IF('House Count'!F1261="COMM-SU",1,IF('House Count'!F1261="COM-MTU",1,IF('House Count'!F1261="ENT",1,0))),0)</f>
        <v>0</v>
      </c>
    </row>
    <row r="1262" spans="1:11" ht="15.75" thickTop="1" x14ac:dyDescent="0.25">
      <c r="H1262" s="192"/>
      <c r="I1262" s="773"/>
      <c r="J1262">
        <f>IF('House Count'!H1262="Y",IF('House Count'!F1262="RES-SFU",1,IF('House Count'!F1262="RES-MDU",1,IF('House Count'!F1262="RES-HOA",1,0))),0)</f>
        <v>0</v>
      </c>
      <c r="K1262">
        <f>IF('House Count'!H1262="Y",IF('House Count'!F1262="COMM-SU",1,IF('House Count'!F1262="COM-MTU",1,IF('House Count'!F1262="ENT",1,0))),0)</f>
        <v>0</v>
      </c>
    </row>
    <row r="1263" spans="1:11" x14ac:dyDescent="0.25">
      <c r="H1263" s="192"/>
      <c r="I1263" s="773"/>
      <c r="J1263">
        <f>IF('House Count'!H1263="Y",IF('House Count'!F1263="RES-SFU",1,IF('House Count'!F1263="RES-MDU",1,IF('House Count'!F1263="RES-HOA",1,0))),0)</f>
        <v>0</v>
      </c>
      <c r="K1263">
        <f>IF('House Count'!H1263="Y",IF('House Count'!F1263="COMM-SU",1,IF('House Count'!F1263="COM-MTU",1,IF('House Count'!F1263="ENT",1,0))),0)</f>
        <v>0</v>
      </c>
    </row>
    <row r="1264" spans="1:11" x14ac:dyDescent="0.25">
      <c r="H1264" s="192"/>
      <c r="I1264" s="773"/>
      <c r="J1264">
        <f>IF('House Count'!H1264="Y",IF('House Count'!F1264="RES-SFU",1,IF('House Count'!F1264="RES-MDU",1,IF('House Count'!F1264="RES-HOA",1,0))),0)</f>
        <v>0</v>
      </c>
      <c r="K1264">
        <f>IF('House Count'!H1264="Y",IF('House Count'!F1264="COMM-SU",1,IF('House Count'!F1264="COM-MTU",1,IF('House Count'!F1264="ENT",1,0))),0)</f>
        <v>0</v>
      </c>
    </row>
    <row r="1265" spans="1:11" x14ac:dyDescent="0.25">
      <c r="H1265" s="192"/>
      <c r="I1265" s="773"/>
      <c r="J1265">
        <f>IF('House Count'!H1265="Y",IF('House Count'!F1265="RES-SFU",1,IF('House Count'!F1265="RES-MDU",1,IF('House Count'!F1265="RES-HOA",1,0))),0)</f>
        <v>0</v>
      </c>
      <c r="K1265">
        <f>IF('House Count'!H1265="Y",IF('House Count'!F1265="COMM-SU",1,IF('House Count'!F1265="COM-MTU",1,IF('House Count'!F1265="ENT",1,0))),0)</f>
        <v>0</v>
      </c>
    </row>
    <row r="1266" spans="1:11" x14ac:dyDescent="0.25">
      <c r="H1266" s="192"/>
      <c r="I1266" s="773"/>
      <c r="J1266">
        <f>IF('House Count'!H1266="Y",IF('House Count'!F1266="RES-SFU",1,IF('House Count'!F1266="RES-MDU",1,IF('House Count'!F1266="RES-HOA",1,0))),0)</f>
        <v>0</v>
      </c>
      <c r="K1266">
        <f>IF('House Count'!H1266="Y",IF('House Count'!F1266="COMM-SU",1,IF('House Count'!F1266="COM-MTU",1,IF('House Count'!F1266="ENT",1,0))),0)</f>
        <v>0</v>
      </c>
    </row>
    <row r="1267" spans="1:11" x14ac:dyDescent="0.25">
      <c r="H1267" s="192"/>
      <c r="I1267" s="773"/>
      <c r="J1267">
        <f>IF('House Count'!H1267="Y",IF('House Count'!F1267="RES-SFU",1,IF('House Count'!F1267="RES-MDU",1,IF('House Count'!F1267="RES-HOA",1,0))),0)</f>
        <v>0</v>
      </c>
      <c r="K1267">
        <f>IF('House Count'!H1267="Y",IF('House Count'!F1267="COMM-SU",1,IF('House Count'!F1267="COM-MTU",1,IF('House Count'!F1267="ENT",1,0))),0)</f>
        <v>0</v>
      </c>
    </row>
    <row r="1268" spans="1:11" x14ac:dyDescent="0.25">
      <c r="H1268" s="192"/>
      <c r="I1268" s="773"/>
      <c r="J1268">
        <f>IF('House Count'!H1268="Y",IF('House Count'!F1268="RES-SFU",1,IF('House Count'!F1268="RES-MDU",1,IF('House Count'!F1268="RES-HOA",1,0))),0)</f>
        <v>0</v>
      </c>
      <c r="K1268">
        <f>IF('House Count'!H1268="Y",IF('House Count'!F1268="COMM-SU",1,IF('House Count'!F1268="COM-MTU",1,IF('House Count'!F1268="ENT",1,0))),0)</f>
        <v>0</v>
      </c>
    </row>
    <row r="1269" spans="1:11" x14ac:dyDescent="0.25">
      <c r="H1269" s="192"/>
      <c r="I1269" s="773"/>
      <c r="J1269">
        <f>IF('House Count'!H1269="Y",IF('House Count'!F1269="RES-SFU",1,IF('House Count'!F1269="RES-MDU",1,IF('House Count'!F1269="RES-HOA",1,0))),0)</f>
        <v>0</v>
      </c>
      <c r="K1269">
        <f>IF('House Count'!H1269="Y",IF('House Count'!F1269="COMM-SU",1,IF('House Count'!F1269="COM-MTU",1,IF('House Count'!F1269="ENT",1,0))),0)</f>
        <v>0</v>
      </c>
    </row>
    <row r="1270" spans="1:11" x14ac:dyDescent="0.25">
      <c r="H1270" s="192"/>
      <c r="I1270" s="773"/>
      <c r="J1270">
        <f>IF('House Count'!H1270="Y",IF('House Count'!F1270="RES-SFU",1,IF('House Count'!F1270="RES-MDU",1,IF('House Count'!F1270="RES-HOA",1,0))),0)</f>
        <v>0</v>
      </c>
      <c r="K1270">
        <f>IF('House Count'!H1270="Y",IF('House Count'!F1270="COMM-SU",1,IF('House Count'!F1270="COM-MTU",1,IF('House Count'!F1270="ENT",1,0))),0)</f>
        <v>0</v>
      </c>
    </row>
    <row r="1271" spans="1:11" x14ac:dyDescent="0.25">
      <c r="H1271" s="192"/>
      <c r="I1271" s="773"/>
      <c r="J1271">
        <f>IF('House Count'!H1271="Y",IF('House Count'!F1271="RES-SFU",1,IF('House Count'!F1271="RES-MDU",1,IF('House Count'!F1271="RES-HOA",1,0))),0)</f>
        <v>0</v>
      </c>
      <c r="K1271">
        <f>IF('House Count'!H1271="Y",IF('House Count'!F1271="COMM-SU",1,IF('House Count'!F1271="COM-MTU",1,IF('House Count'!F1271="ENT",1,0))),0)</f>
        <v>0</v>
      </c>
    </row>
    <row r="1272" spans="1:11" x14ac:dyDescent="0.25">
      <c r="H1272" s="192"/>
      <c r="I1272" s="773"/>
      <c r="J1272">
        <f>IF('House Count'!H1272="Y",IF('House Count'!F1272="RES-SFU",1,IF('House Count'!F1272="RES-MDU",1,IF('House Count'!F1272="RES-HOA",1,0))),0)</f>
        <v>0</v>
      </c>
      <c r="K1272">
        <f>IF('House Count'!H1272="Y",IF('House Count'!F1272="COMM-SU",1,IF('House Count'!F1272="COM-MTU",1,IF('House Count'!F1272="ENT",1,0))),0)</f>
        <v>0</v>
      </c>
    </row>
    <row r="1273" spans="1:11" ht="15.75" thickBot="1" x14ac:dyDescent="0.3">
      <c r="A1273" s="774"/>
      <c r="B1273" s="774"/>
      <c r="C1273" s="774"/>
      <c r="D1273" s="774"/>
      <c r="E1273" s="774"/>
      <c r="F1273" s="774"/>
      <c r="G1273" s="774"/>
      <c r="H1273" s="774"/>
      <c r="I1273" s="775"/>
      <c r="J1273">
        <f>IF('House Count'!H1273="Y",IF('House Count'!F1273="RES-SFU",1,IF('House Count'!F1273="RES-MDU",1,IF('House Count'!F1273="RES-HOA",1,0))),0)</f>
        <v>0</v>
      </c>
      <c r="K1273">
        <f>IF('House Count'!H1273="Y",IF('House Count'!F1273="COMM-SU",1,IF('House Count'!F1273="COM-MTU",1,IF('House Count'!F1273="ENT",1,0))),0)</f>
        <v>0</v>
      </c>
    </row>
    <row r="1274" spans="1:11" ht="15.75" thickTop="1" x14ac:dyDescent="0.25">
      <c r="H1274" s="192"/>
      <c r="I1274" s="773"/>
      <c r="J1274">
        <f>IF('House Count'!H1274="Y",IF('House Count'!F1274="RES-SFU",1,IF('House Count'!F1274="RES-MDU",1,IF('House Count'!F1274="RES-HOA",1,0))),0)</f>
        <v>0</v>
      </c>
      <c r="K1274">
        <f>IF('House Count'!H1274="Y",IF('House Count'!F1274="COMM-SU",1,IF('House Count'!F1274="COM-MTU",1,IF('House Count'!F1274="ENT",1,0))),0)</f>
        <v>0</v>
      </c>
    </row>
    <row r="1275" spans="1:11" x14ac:dyDescent="0.25">
      <c r="H1275" s="192"/>
      <c r="I1275" s="773"/>
      <c r="J1275">
        <f>IF('House Count'!H1275="Y",IF('House Count'!F1275="RES-SFU",1,IF('House Count'!F1275="RES-MDU",1,IF('House Count'!F1275="RES-HOA",1,0))),0)</f>
        <v>0</v>
      </c>
      <c r="K1275">
        <f>IF('House Count'!H1275="Y",IF('House Count'!F1275="COMM-SU",1,IF('House Count'!F1275="COM-MTU",1,IF('House Count'!F1275="ENT",1,0))),0)</f>
        <v>0</v>
      </c>
    </row>
    <row r="1276" spans="1:11" x14ac:dyDescent="0.25">
      <c r="H1276" s="192"/>
      <c r="I1276" s="773"/>
      <c r="J1276">
        <f>IF('House Count'!H1276="Y",IF('House Count'!F1276="RES-SFU",1,IF('House Count'!F1276="RES-MDU",1,IF('House Count'!F1276="RES-HOA",1,0))),0)</f>
        <v>0</v>
      </c>
      <c r="K1276">
        <f>IF('House Count'!H1276="Y",IF('House Count'!F1276="COMM-SU",1,IF('House Count'!F1276="COM-MTU",1,IF('House Count'!F1276="ENT",1,0))),0)</f>
        <v>0</v>
      </c>
    </row>
    <row r="1277" spans="1:11" x14ac:dyDescent="0.25">
      <c r="H1277" s="192"/>
      <c r="I1277" s="773"/>
      <c r="J1277">
        <f>IF('House Count'!H1277="Y",IF('House Count'!F1277="RES-SFU",1,IF('House Count'!F1277="RES-MDU",1,IF('House Count'!F1277="RES-HOA",1,0))),0)</f>
        <v>0</v>
      </c>
      <c r="K1277">
        <f>IF('House Count'!H1277="Y",IF('House Count'!F1277="COMM-SU",1,IF('House Count'!F1277="COM-MTU",1,IF('House Count'!F1277="ENT",1,0))),0)</f>
        <v>0</v>
      </c>
    </row>
    <row r="1278" spans="1:11" x14ac:dyDescent="0.25">
      <c r="H1278" s="192"/>
      <c r="I1278" s="773"/>
      <c r="J1278">
        <f>IF('House Count'!H1278="Y",IF('House Count'!F1278="RES-SFU",1,IF('House Count'!F1278="RES-MDU",1,IF('House Count'!F1278="RES-HOA",1,0))),0)</f>
        <v>0</v>
      </c>
      <c r="K1278">
        <f>IF('House Count'!H1278="Y",IF('House Count'!F1278="COMM-SU",1,IF('House Count'!F1278="COM-MTU",1,IF('House Count'!F1278="ENT",1,0))),0)</f>
        <v>0</v>
      </c>
    </row>
    <row r="1279" spans="1:11" x14ac:dyDescent="0.25">
      <c r="H1279" s="192"/>
      <c r="I1279" s="773"/>
      <c r="J1279">
        <f>IF('House Count'!H1279="Y",IF('House Count'!F1279="RES-SFU",1,IF('House Count'!F1279="RES-MDU",1,IF('House Count'!F1279="RES-HOA",1,0))),0)</f>
        <v>0</v>
      </c>
      <c r="K1279">
        <f>IF('House Count'!H1279="Y",IF('House Count'!F1279="COMM-SU",1,IF('House Count'!F1279="COM-MTU",1,IF('House Count'!F1279="ENT",1,0))),0)</f>
        <v>0</v>
      </c>
    </row>
    <row r="1280" spans="1:11" x14ac:dyDescent="0.25">
      <c r="H1280" s="192"/>
      <c r="I1280" s="773"/>
      <c r="J1280">
        <f>IF('House Count'!H1280="Y",IF('House Count'!F1280="RES-SFU",1,IF('House Count'!F1280="RES-MDU",1,IF('House Count'!F1280="RES-HOA",1,0))),0)</f>
        <v>0</v>
      </c>
      <c r="K1280">
        <f>IF('House Count'!H1280="Y",IF('House Count'!F1280="COMM-SU",1,IF('House Count'!F1280="COM-MTU",1,IF('House Count'!F1280="ENT",1,0))),0)</f>
        <v>0</v>
      </c>
    </row>
    <row r="1281" spans="1:11" x14ac:dyDescent="0.25">
      <c r="H1281" s="192"/>
      <c r="I1281" s="773"/>
      <c r="J1281">
        <f>IF('House Count'!H1281="Y",IF('House Count'!F1281="RES-SFU",1,IF('House Count'!F1281="RES-MDU",1,IF('House Count'!F1281="RES-HOA",1,0))),0)</f>
        <v>0</v>
      </c>
      <c r="K1281">
        <f>IF('House Count'!H1281="Y",IF('House Count'!F1281="COMM-SU",1,IF('House Count'!F1281="COM-MTU",1,IF('House Count'!F1281="ENT",1,0))),0)</f>
        <v>0</v>
      </c>
    </row>
    <row r="1282" spans="1:11" x14ac:dyDescent="0.25">
      <c r="H1282" s="192"/>
      <c r="I1282" s="773"/>
      <c r="J1282">
        <f>IF('House Count'!H1282="Y",IF('House Count'!F1282="RES-SFU",1,IF('House Count'!F1282="RES-MDU",1,IF('House Count'!F1282="RES-HOA",1,0))),0)</f>
        <v>0</v>
      </c>
      <c r="K1282">
        <f>IF('House Count'!H1282="Y",IF('House Count'!F1282="COMM-SU",1,IF('House Count'!F1282="COM-MTU",1,IF('House Count'!F1282="ENT",1,0))),0)</f>
        <v>0</v>
      </c>
    </row>
    <row r="1283" spans="1:11" x14ac:dyDescent="0.25">
      <c r="H1283" s="192"/>
      <c r="I1283" s="773"/>
      <c r="J1283">
        <f>IF('House Count'!H1283="Y",IF('House Count'!F1283="RES-SFU",1,IF('House Count'!F1283="RES-MDU",1,IF('House Count'!F1283="RES-HOA",1,0))),0)</f>
        <v>0</v>
      </c>
      <c r="K1283">
        <f>IF('House Count'!H1283="Y",IF('House Count'!F1283="COMM-SU",1,IF('House Count'!F1283="COM-MTU",1,IF('House Count'!F1283="ENT",1,0))),0)</f>
        <v>0</v>
      </c>
    </row>
    <row r="1284" spans="1:11" x14ac:dyDescent="0.25">
      <c r="H1284" s="192"/>
      <c r="I1284" s="773"/>
      <c r="J1284">
        <f>IF('House Count'!H1284="Y",IF('House Count'!F1284="RES-SFU",1,IF('House Count'!F1284="RES-MDU",1,IF('House Count'!F1284="RES-HOA",1,0))),0)</f>
        <v>0</v>
      </c>
      <c r="K1284">
        <f>IF('House Count'!H1284="Y",IF('House Count'!F1284="COMM-SU",1,IF('House Count'!F1284="COM-MTU",1,IF('House Count'!F1284="ENT",1,0))),0)</f>
        <v>0</v>
      </c>
    </row>
    <row r="1285" spans="1:11" ht="15.75" thickBot="1" x14ac:dyDescent="0.3">
      <c r="A1285" s="774"/>
      <c r="B1285" s="774"/>
      <c r="C1285" s="774"/>
      <c r="D1285" s="774"/>
      <c r="E1285" s="774"/>
      <c r="F1285" s="774"/>
      <c r="G1285" s="774"/>
      <c r="H1285" s="774"/>
      <c r="I1285" s="775"/>
      <c r="J1285">
        <f>IF('House Count'!H1285="Y",IF('House Count'!F1285="RES-SFU",1,IF('House Count'!F1285="RES-MDU",1,IF('House Count'!F1285="RES-HOA",1,0))),0)</f>
        <v>0</v>
      </c>
      <c r="K1285">
        <f>IF('House Count'!H1285="Y",IF('House Count'!F1285="COMM-SU",1,IF('House Count'!F1285="COM-MTU",1,IF('House Count'!F1285="ENT",1,0))),0)</f>
        <v>0</v>
      </c>
    </row>
    <row r="1286" spans="1:11" ht="15.75" thickTop="1" x14ac:dyDescent="0.25">
      <c r="H1286" s="192"/>
      <c r="I1286" s="773"/>
      <c r="J1286">
        <f>IF('House Count'!H1286="Y",IF('House Count'!F1286="RES-SFU",1,IF('House Count'!F1286="RES-MDU",1,IF('House Count'!F1286="RES-HOA",1,0))),0)</f>
        <v>0</v>
      </c>
      <c r="K1286">
        <f>IF('House Count'!H1286="Y",IF('House Count'!F1286="COMM-SU",1,IF('House Count'!F1286="COM-MTU",1,IF('House Count'!F1286="ENT",1,0))),0)</f>
        <v>0</v>
      </c>
    </row>
    <row r="1287" spans="1:11" x14ac:dyDescent="0.25">
      <c r="H1287" s="192"/>
      <c r="I1287" s="773"/>
      <c r="J1287">
        <f>IF('House Count'!H1287="Y",IF('House Count'!F1287="RES-SFU",1,IF('House Count'!F1287="RES-MDU",1,IF('House Count'!F1287="RES-HOA",1,0))),0)</f>
        <v>0</v>
      </c>
      <c r="K1287">
        <f>IF('House Count'!H1287="Y",IF('House Count'!F1287="COMM-SU",1,IF('House Count'!F1287="COM-MTU",1,IF('House Count'!F1287="ENT",1,0))),0)</f>
        <v>0</v>
      </c>
    </row>
    <row r="1288" spans="1:11" x14ac:dyDescent="0.25">
      <c r="H1288" s="192"/>
      <c r="I1288" s="773"/>
      <c r="J1288">
        <f>IF('House Count'!H1288="Y",IF('House Count'!F1288="RES-SFU",1,IF('House Count'!F1288="RES-MDU",1,IF('House Count'!F1288="RES-HOA",1,0))),0)</f>
        <v>0</v>
      </c>
      <c r="K1288">
        <f>IF('House Count'!H1288="Y",IF('House Count'!F1288="COMM-SU",1,IF('House Count'!F1288="COM-MTU",1,IF('House Count'!F1288="ENT",1,0))),0)</f>
        <v>0</v>
      </c>
    </row>
    <row r="1289" spans="1:11" x14ac:dyDescent="0.25">
      <c r="H1289" s="192"/>
      <c r="I1289" s="773"/>
      <c r="J1289">
        <f>IF('House Count'!H1289="Y",IF('House Count'!F1289="RES-SFU",1,IF('House Count'!F1289="RES-MDU",1,IF('House Count'!F1289="RES-HOA",1,0))),0)</f>
        <v>0</v>
      </c>
      <c r="K1289">
        <f>IF('House Count'!H1289="Y",IF('House Count'!F1289="COMM-SU",1,IF('House Count'!F1289="COM-MTU",1,IF('House Count'!F1289="ENT",1,0))),0)</f>
        <v>0</v>
      </c>
    </row>
    <row r="1290" spans="1:11" x14ac:dyDescent="0.25">
      <c r="H1290" s="192"/>
      <c r="I1290" s="773"/>
      <c r="J1290">
        <f>IF('House Count'!H1290="Y",IF('House Count'!F1290="RES-SFU",1,IF('House Count'!F1290="RES-MDU",1,IF('House Count'!F1290="RES-HOA",1,0))),0)</f>
        <v>0</v>
      </c>
      <c r="K1290">
        <f>IF('House Count'!H1290="Y",IF('House Count'!F1290="COMM-SU",1,IF('House Count'!F1290="COM-MTU",1,IF('House Count'!F1290="ENT",1,0))),0)</f>
        <v>0</v>
      </c>
    </row>
    <row r="1291" spans="1:11" x14ac:dyDescent="0.25">
      <c r="H1291" s="192"/>
      <c r="I1291" s="773"/>
      <c r="J1291">
        <f>IF('House Count'!H1291="Y",IF('House Count'!F1291="RES-SFU",1,IF('House Count'!F1291="RES-MDU",1,IF('House Count'!F1291="RES-HOA",1,0))),0)</f>
        <v>0</v>
      </c>
      <c r="K1291">
        <f>IF('House Count'!H1291="Y",IF('House Count'!F1291="COMM-SU",1,IF('House Count'!F1291="COM-MTU",1,IF('House Count'!F1291="ENT",1,0))),0)</f>
        <v>0</v>
      </c>
    </row>
    <row r="1292" spans="1:11" x14ac:dyDescent="0.25">
      <c r="H1292" s="192"/>
      <c r="I1292" s="773"/>
      <c r="J1292">
        <f>IF('House Count'!H1292="Y",IF('House Count'!F1292="RES-SFU",1,IF('House Count'!F1292="RES-MDU",1,IF('House Count'!F1292="RES-HOA",1,0))),0)</f>
        <v>0</v>
      </c>
      <c r="K1292">
        <f>IF('House Count'!H1292="Y",IF('House Count'!F1292="COMM-SU",1,IF('House Count'!F1292="COM-MTU",1,IF('House Count'!F1292="ENT",1,0))),0)</f>
        <v>0</v>
      </c>
    </row>
    <row r="1293" spans="1:11" x14ac:dyDescent="0.25">
      <c r="H1293" s="192"/>
      <c r="I1293" s="773"/>
      <c r="J1293">
        <f>IF('House Count'!H1293="Y",IF('House Count'!F1293="RES-SFU",1,IF('House Count'!F1293="RES-MDU",1,IF('House Count'!F1293="RES-HOA",1,0))),0)</f>
        <v>0</v>
      </c>
      <c r="K1293">
        <f>IF('House Count'!H1293="Y",IF('House Count'!F1293="COMM-SU",1,IF('House Count'!F1293="COM-MTU",1,IF('House Count'!F1293="ENT",1,0))),0)</f>
        <v>0</v>
      </c>
    </row>
    <row r="1294" spans="1:11" x14ac:dyDescent="0.25">
      <c r="H1294" s="192"/>
      <c r="I1294" s="773"/>
      <c r="J1294">
        <f>IF('House Count'!H1294="Y",IF('House Count'!F1294="RES-SFU",1,IF('House Count'!F1294="RES-MDU",1,IF('House Count'!F1294="RES-HOA",1,0))),0)</f>
        <v>0</v>
      </c>
      <c r="K1294">
        <f>IF('House Count'!H1294="Y",IF('House Count'!F1294="COMM-SU",1,IF('House Count'!F1294="COM-MTU",1,IF('House Count'!F1294="ENT",1,0))),0)</f>
        <v>0</v>
      </c>
    </row>
    <row r="1295" spans="1:11" x14ac:dyDescent="0.25">
      <c r="H1295" s="192"/>
      <c r="I1295" s="773"/>
      <c r="J1295">
        <f>IF('House Count'!H1295="Y",IF('House Count'!F1295="RES-SFU",1,IF('House Count'!F1295="RES-MDU",1,IF('House Count'!F1295="RES-HOA",1,0))),0)</f>
        <v>0</v>
      </c>
      <c r="K1295">
        <f>IF('House Count'!H1295="Y",IF('House Count'!F1295="COMM-SU",1,IF('House Count'!F1295="COM-MTU",1,IF('House Count'!F1295="ENT",1,0))),0)</f>
        <v>0</v>
      </c>
    </row>
    <row r="1296" spans="1:11" x14ac:dyDescent="0.25">
      <c r="H1296" s="192"/>
      <c r="I1296" s="773"/>
      <c r="J1296">
        <f>IF('House Count'!H1296="Y",IF('House Count'!F1296="RES-SFU",1,IF('House Count'!F1296="RES-MDU",1,IF('House Count'!F1296="RES-HOA",1,0))),0)</f>
        <v>0</v>
      </c>
      <c r="K1296">
        <f>IF('House Count'!H1296="Y",IF('House Count'!F1296="COMM-SU",1,IF('House Count'!F1296="COM-MTU",1,IF('House Count'!F1296="ENT",1,0))),0)</f>
        <v>0</v>
      </c>
    </row>
    <row r="1297" spans="1:11" ht="15.75" thickBot="1" x14ac:dyDescent="0.3">
      <c r="A1297" s="774"/>
      <c r="B1297" s="774"/>
      <c r="C1297" s="774"/>
      <c r="D1297" s="774"/>
      <c r="E1297" s="774"/>
      <c r="F1297" s="774"/>
      <c r="G1297" s="774"/>
      <c r="H1297" s="774"/>
      <c r="I1297" s="775"/>
      <c r="J1297">
        <f>IF('House Count'!H1297="Y",IF('House Count'!F1297="RES-SFU",1,IF('House Count'!F1297="RES-MDU",1,IF('House Count'!F1297="RES-HOA",1,0))),0)</f>
        <v>0</v>
      </c>
      <c r="K1297">
        <f>IF('House Count'!H1297="Y",IF('House Count'!F1297="COMM-SU",1,IF('House Count'!F1297="COM-MTU",1,IF('House Count'!F1297="ENT",1,0))),0)</f>
        <v>0</v>
      </c>
    </row>
    <row r="1298" spans="1:11" ht="15.75" thickTop="1" x14ac:dyDescent="0.25">
      <c r="H1298" s="192"/>
      <c r="I1298" s="773"/>
      <c r="J1298">
        <f>IF('House Count'!H1298="Y",IF('House Count'!F1298="RES-SFU",1,IF('House Count'!F1298="RES-MDU",1,IF('House Count'!F1298="RES-HOA",1,0))),0)</f>
        <v>0</v>
      </c>
      <c r="K1298">
        <f>IF('House Count'!H1298="Y",IF('House Count'!F1298="COMM-SU",1,IF('House Count'!F1298="COM-MTU",1,IF('House Count'!F1298="ENT",1,0))),0)</f>
        <v>0</v>
      </c>
    </row>
    <row r="1299" spans="1:11" x14ac:dyDescent="0.25">
      <c r="H1299" s="192"/>
      <c r="I1299" s="773"/>
      <c r="J1299">
        <f>IF('House Count'!H1299="Y",IF('House Count'!F1299="RES-SFU",1,IF('House Count'!F1299="RES-MDU",1,IF('House Count'!F1299="RES-HOA",1,0))),0)</f>
        <v>0</v>
      </c>
      <c r="K1299">
        <f>IF('House Count'!H1299="Y",IF('House Count'!F1299="COMM-SU",1,IF('House Count'!F1299="COM-MTU",1,IF('House Count'!F1299="ENT",1,0))),0)</f>
        <v>0</v>
      </c>
    </row>
    <row r="1300" spans="1:11" x14ac:dyDescent="0.25">
      <c r="H1300" s="192"/>
      <c r="I1300" s="773"/>
      <c r="J1300">
        <f>IF('House Count'!H1300="Y",IF('House Count'!F1300="RES-SFU",1,IF('House Count'!F1300="RES-MDU",1,IF('House Count'!F1300="RES-HOA",1,0))),0)</f>
        <v>0</v>
      </c>
      <c r="K1300">
        <f>IF('House Count'!H1300="Y",IF('House Count'!F1300="COMM-SU",1,IF('House Count'!F1300="COM-MTU",1,IF('House Count'!F1300="ENT",1,0))),0)</f>
        <v>0</v>
      </c>
    </row>
    <row r="1301" spans="1:11" x14ac:dyDescent="0.25">
      <c r="H1301" s="192"/>
      <c r="I1301" s="773"/>
      <c r="J1301">
        <f>IF('House Count'!H1301="Y",IF('House Count'!F1301="RES-SFU",1,IF('House Count'!F1301="RES-MDU",1,IF('House Count'!F1301="RES-HOA",1,0))),0)</f>
        <v>0</v>
      </c>
      <c r="K1301">
        <f>IF('House Count'!H1301="Y",IF('House Count'!F1301="COMM-SU",1,IF('House Count'!F1301="COM-MTU",1,IF('House Count'!F1301="ENT",1,0))),0)</f>
        <v>0</v>
      </c>
    </row>
    <row r="1302" spans="1:11" x14ac:dyDescent="0.25">
      <c r="H1302" s="192"/>
      <c r="I1302" s="773"/>
      <c r="J1302">
        <f>IF('House Count'!H1302="Y",IF('House Count'!F1302="RES-SFU",1,IF('House Count'!F1302="RES-MDU",1,IF('House Count'!F1302="RES-HOA",1,0))),0)</f>
        <v>0</v>
      </c>
      <c r="K1302">
        <f>IF('House Count'!H1302="Y",IF('House Count'!F1302="COMM-SU",1,IF('House Count'!F1302="COM-MTU",1,IF('House Count'!F1302="ENT",1,0))),0)</f>
        <v>0</v>
      </c>
    </row>
    <row r="1303" spans="1:11" x14ac:dyDescent="0.25">
      <c r="H1303" s="192"/>
      <c r="I1303" s="773"/>
      <c r="J1303">
        <f>IF('House Count'!H1303="Y",IF('House Count'!F1303="RES-SFU",1,IF('House Count'!F1303="RES-MDU",1,IF('House Count'!F1303="RES-HOA",1,0))),0)</f>
        <v>0</v>
      </c>
      <c r="K1303">
        <f>IF('House Count'!H1303="Y",IF('House Count'!F1303="COMM-SU",1,IF('House Count'!F1303="COM-MTU",1,IF('House Count'!F1303="ENT",1,0))),0)</f>
        <v>0</v>
      </c>
    </row>
    <row r="1304" spans="1:11" x14ac:dyDescent="0.25">
      <c r="H1304" s="192"/>
      <c r="I1304" s="773"/>
      <c r="J1304">
        <f>IF('House Count'!H1304="Y",IF('House Count'!F1304="RES-SFU",1,IF('House Count'!F1304="RES-MDU",1,IF('House Count'!F1304="RES-HOA",1,0))),0)</f>
        <v>0</v>
      </c>
      <c r="K1304">
        <f>IF('House Count'!H1304="Y",IF('House Count'!F1304="COMM-SU",1,IF('House Count'!F1304="COM-MTU",1,IF('House Count'!F1304="ENT",1,0))),0)</f>
        <v>0</v>
      </c>
    </row>
    <row r="1305" spans="1:11" x14ac:dyDescent="0.25">
      <c r="H1305" s="192"/>
      <c r="I1305" s="773"/>
      <c r="J1305">
        <f>IF('House Count'!H1305="Y",IF('House Count'!F1305="RES-SFU",1,IF('House Count'!F1305="RES-MDU",1,IF('House Count'!F1305="RES-HOA",1,0))),0)</f>
        <v>0</v>
      </c>
      <c r="K1305">
        <f>IF('House Count'!H1305="Y",IF('House Count'!F1305="COMM-SU",1,IF('House Count'!F1305="COM-MTU",1,IF('House Count'!F1305="ENT",1,0))),0)</f>
        <v>0</v>
      </c>
    </row>
    <row r="1306" spans="1:11" x14ac:dyDescent="0.25">
      <c r="H1306" s="192"/>
      <c r="I1306" s="773"/>
      <c r="J1306">
        <f>IF('House Count'!H1306="Y",IF('House Count'!F1306="RES-SFU",1,IF('House Count'!F1306="RES-MDU",1,IF('House Count'!F1306="RES-HOA",1,0))),0)</f>
        <v>0</v>
      </c>
      <c r="K1306">
        <f>IF('House Count'!H1306="Y",IF('House Count'!F1306="COMM-SU",1,IF('House Count'!F1306="COM-MTU",1,IF('House Count'!F1306="ENT",1,0))),0)</f>
        <v>0</v>
      </c>
    </row>
    <row r="1307" spans="1:11" x14ac:dyDescent="0.25">
      <c r="H1307" s="192"/>
      <c r="I1307" s="773"/>
      <c r="J1307">
        <f>IF('House Count'!H1307="Y",IF('House Count'!F1307="RES-SFU",1,IF('House Count'!F1307="RES-MDU",1,IF('House Count'!F1307="RES-HOA",1,0))),0)</f>
        <v>0</v>
      </c>
      <c r="K1307">
        <f>IF('House Count'!H1307="Y",IF('House Count'!F1307="COMM-SU",1,IF('House Count'!F1307="COM-MTU",1,IF('House Count'!F1307="ENT",1,0))),0)</f>
        <v>0</v>
      </c>
    </row>
    <row r="1308" spans="1:11" x14ac:dyDescent="0.25">
      <c r="H1308" s="192"/>
      <c r="I1308" s="773"/>
      <c r="J1308">
        <f>IF('House Count'!H1308="Y",IF('House Count'!F1308="RES-SFU",1,IF('House Count'!F1308="RES-MDU",1,IF('House Count'!F1308="RES-HOA",1,0))),0)</f>
        <v>0</v>
      </c>
      <c r="K1308">
        <f>IF('House Count'!H1308="Y",IF('House Count'!F1308="COMM-SU",1,IF('House Count'!F1308="COM-MTU",1,IF('House Count'!F1308="ENT",1,0))),0)</f>
        <v>0</v>
      </c>
    </row>
    <row r="1309" spans="1:11" ht="15.75" thickBot="1" x14ac:dyDescent="0.3">
      <c r="A1309" s="774"/>
      <c r="B1309" s="774"/>
      <c r="C1309" s="774"/>
      <c r="D1309" s="774"/>
      <c r="E1309" s="774"/>
      <c r="F1309" s="774"/>
      <c r="G1309" s="774"/>
      <c r="H1309" s="774"/>
      <c r="I1309" s="775"/>
      <c r="J1309">
        <f>IF('House Count'!H1309="Y",IF('House Count'!F1309="RES-SFU",1,IF('House Count'!F1309="RES-MDU",1,IF('House Count'!F1309="RES-HOA",1,0))),0)</f>
        <v>0</v>
      </c>
      <c r="K1309">
        <f>IF('House Count'!H1309="Y",IF('House Count'!F1309="COMM-SU",1,IF('House Count'!F1309="COM-MTU",1,IF('House Count'!F1309="ENT",1,0))),0)</f>
        <v>0</v>
      </c>
    </row>
    <row r="1310" spans="1:11" ht="15.75" thickTop="1" x14ac:dyDescent="0.25">
      <c r="H1310" s="192"/>
      <c r="I1310" s="773"/>
      <c r="J1310">
        <f>IF('House Count'!H1310="Y",IF('House Count'!F1310="RES-SFU",1,IF('House Count'!F1310="RES-MDU",1,IF('House Count'!F1310="RES-HOA",1,0))),0)</f>
        <v>0</v>
      </c>
      <c r="K1310">
        <f>IF('House Count'!H1310="Y",IF('House Count'!F1310="COMM-SU",1,IF('House Count'!F1310="COM-MTU",1,IF('House Count'!F1310="ENT",1,0))),0)</f>
        <v>0</v>
      </c>
    </row>
    <row r="1311" spans="1:11" x14ac:dyDescent="0.25">
      <c r="H1311" s="192"/>
      <c r="I1311" s="773"/>
      <c r="J1311">
        <f>IF('House Count'!H1311="Y",IF('House Count'!F1311="RES-SFU",1,IF('House Count'!F1311="RES-MDU",1,IF('House Count'!F1311="RES-HOA",1,0))),0)</f>
        <v>0</v>
      </c>
      <c r="K1311">
        <f>IF('House Count'!H1311="Y",IF('House Count'!F1311="COMM-SU",1,IF('House Count'!F1311="COM-MTU",1,IF('House Count'!F1311="ENT",1,0))),0)</f>
        <v>0</v>
      </c>
    </row>
    <row r="1312" spans="1:11" x14ac:dyDescent="0.25">
      <c r="H1312" s="192"/>
      <c r="I1312" s="773"/>
      <c r="J1312">
        <f>IF('House Count'!H1312="Y",IF('House Count'!F1312="RES-SFU",1,IF('House Count'!F1312="RES-MDU",1,IF('House Count'!F1312="RES-HOA",1,0))),0)</f>
        <v>0</v>
      </c>
      <c r="K1312">
        <f>IF('House Count'!H1312="Y",IF('House Count'!F1312="COMM-SU",1,IF('House Count'!F1312="COM-MTU",1,IF('House Count'!F1312="ENT",1,0))),0)</f>
        <v>0</v>
      </c>
    </row>
    <row r="1313" spans="1:11" x14ac:dyDescent="0.25">
      <c r="H1313" s="192"/>
      <c r="I1313" s="773"/>
      <c r="J1313">
        <f>IF('House Count'!H1313="Y",IF('House Count'!F1313="RES-SFU",1,IF('House Count'!F1313="RES-MDU",1,IF('House Count'!F1313="RES-HOA",1,0))),0)</f>
        <v>0</v>
      </c>
      <c r="K1313">
        <f>IF('House Count'!H1313="Y",IF('House Count'!F1313="COMM-SU",1,IF('House Count'!F1313="COM-MTU",1,IF('House Count'!F1313="ENT",1,0))),0)</f>
        <v>0</v>
      </c>
    </row>
    <row r="1314" spans="1:11" x14ac:dyDescent="0.25">
      <c r="H1314" s="192"/>
      <c r="I1314" s="773"/>
      <c r="J1314">
        <f>IF('House Count'!H1314="Y",IF('House Count'!F1314="RES-SFU",1,IF('House Count'!F1314="RES-MDU",1,IF('House Count'!F1314="RES-HOA",1,0))),0)</f>
        <v>0</v>
      </c>
      <c r="K1314">
        <f>IF('House Count'!H1314="Y",IF('House Count'!F1314="COMM-SU",1,IF('House Count'!F1314="COM-MTU",1,IF('House Count'!F1314="ENT",1,0))),0)</f>
        <v>0</v>
      </c>
    </row>
    <row r="1315" spans="1:11" x14ac:dyDescent="0.25">
      <c r="H1315" s="192"/>
      <c r="I1315" s="773"/>
      <c r="J1315">
        <f>IF('House Count'!H1315="Y",IF('House Count'!F1315="RES-SFU",1,IF('House Count'!F1315="RES-MDU",1,IF('House Count'!F1315="RES-HOA",1,0))),0)</f>
        <v>0</v>
      </c>
      <c r="K1315">
        <f>IF('House Count'!H1315="Y",IF('House Count'!F1315="COMM-SU",1,IF('House Count'!F1315="COM-MTU",1,IF('House Count'!F1315="ENT",1,0))),0)</f>
        <v>0</v>
      </c>
    </row>
    <row r="1316" spans="1:11" x14ac:dyDescent="0.25">
      <c r="H1316" s="192"/>
      <c r="I1316" s="773"/>
      <c r="J1316">
        <f>IF('House Count'!H1316="Y",IF('House Count'!F1316="RES-SFU",1,IF('House Count'!F1316="RES-MDU",1,IF('House Count'!F1316="RES-HOA",1,0))),0)</f>
        <v>0</v>
      </c>
      <c r="K1316">
        <f>IF('House Count'!H1316="Y",IF('House Count'!F1316="COMM-SU",1,IF('House Count'!F1316="COM-MTU",1,IF('House Count'!F1316="ENT",1,0))),0)</f>
        <v>0</v>
      </c>
    </row>
    <row r="1317" spans="1:11" x14ac:dyDescent="0.25">
      <c r="H1317" s="192"/>
      <c r="I1317" s="773"/>
      <c r="J1317">
        <f>IF('House Count'!H1317="Y",IF('House Count'!F1317="RES-SFU",1,IF('House Count'!F1317="RES-MDU",1,IF('House Count'!F1317="RES-HOA",1,0))),0)</f>
        <v>0</v>
      </c>
      <c r="K1317">
        <f>IF('House Count'!H1317="Y",IF('House Count'!F1317="COMM-SU",1,IF('House Count'!F1317="COM-MTU",1,IF('House Count'!F1317="ENT",1,0))),0)</f>
        <v>0</v>
      </c>
    </row>
    <row r="1318" spans="1:11" x14ac:dyDescent="0.25">
      <c r="H1318" s="192"/>
      <c r="I1318" s="773"/>
      <c r="J1318">
        <f>IF('House Count'!H1318="Y",IF('House Count'!F1318="RES-SFU",1,IF('House Count'!F1318="RES-MDU",1,IF('House Count'!F1318="RES-HOA",1,0))),0)</f>
        <v>0</v>
      </c>
      <c r="K1318">
        <f>IF('House Count'!H1318="Y",IF('House Count'!F1318="COMM-SU",1,IF('House Count'!F1318="COM-MTU",1,IF('House Count'!F1318="ENT",1,0))),0)</f>
        <v>0</v>
      </c>
    </row>
    <row r="1319" spans="1:11" x14ac:dyDescent="0.25">
      <c r="H1319" s="192"/>
      <c r="I1319" s="773"/>
      <c r="J1319">
        <f>IF('House Count'!H1319="Y",IF('House Count'!F1319="RES-SFU",1,IF('House Count'!F1319="RES-MDU",1,IF('House Count'!F1319="RES-HOA",1,0))),0)</f>
        <v>0</v>
      </c>
      <c r="K1319">
        <f>IF('House Count'!H1319="Y",IF('House Count'!F1319="COMM-SU",1,IF('House Count'!F1319="COM-MTU",1,IF('House Count'!F1319="ENT",1,0))),0)</f>
        <v>0</v>
      </c>
    </row>
    <row r="1320" spans="1:11" x14ac:dyDescent="0.25">
      <c r="H1320" s="192"/>
      <c r="I1320" s="773"/>
      <c r="J1320">
        <f>IF('House Count'!H1320="Y",IF('House Count'!F1320="RES-SFU",1,IF('House Count'!F1320="RES-MDU",1,IF('House Count'!F1320="RES-HOA",1,0))),0)</f>
        <v>0</v>
      </c>
      <c r="K1320">
        <f>IF('House Count'!H1320="Y",IF('House Count'!F1320="COMM-SU",1,IF('House Count'!F1320="COM-MTU",1,IF('House Count'!F1320="ENT",1,0))),0)</f>
        <v>0</v>
      </c>
    </row>
    <row r="1321" spans="1:11" ht="15.75" thickBot="1" x14ac:dyDescent="0.3">
      <c r="A1321" s="774"/>
      <c r="B1321" s="774"/>
      <c r="C1321" s="774"/>
      <c r="D1321" s="774"/>
      <c r="E1321" s="774"/>
      <c r="F1321" s="774"/>
      <c r="G1321" s="774"/>
      <c r="H1321" s="774"/>
      <c r="I1321" s="775"/>
      <c r="J1321">
        <f>IF('House Count'!H1321="Y",IF('House Count'!F1321="RES-SFU",1,IF('House Count'!F1321="RES-MDU",1,IF('House Count'!F1321="RES-HOA",1,0))),0)</f>
        <v>0</v>
      </c>
      <c r="K1321">
        <f>IF('House Count'!H1321="Y",IF('House Count'!F1321="COMM-SU",1,IF('House Count'!F1321="COM-MTU",1,IF('House Count'!F1321="ENT",1,0))),0)</f>
        <v>0</v>
      </c>
    </row>
    <row r="1322" spans="1:11" ht="15.75" thickTop="1" x14ac:dyDescent="0.25">
      <c r="H1322" s="192"/>
      <c r="I1322" s="773"/>
      <c r="J1322">
        <f>IF('House Count'!H1322="Y",IF('House Count'!F1322="RES-SFU",1,IF('House Count'!F1322="RES-MDU",1,IF('House Count'!F1322="RES-HOA",1,0))),0)</f>
        <v>0</v>
      </c>
      <c r="K1322">
        <f>IF('House Count'!H1322="Y",IF('House Count'!F1322="COMM-SU",1,IF('House Count'!F1322="COM-MTU",1,IF('House Count'!F1322="ENT",1,0))),0)</f>
        <v>0</v>
      </c>
    </row>
    <row r="1323" spans="1:11" x14ac:dyDescent="0.25">
      <c r="H1323" s="192"/>
      <c r="I1323" s="773"/>
      <c r="J1323">
        <f>IF('House Count'!H1323="Y",IF('House Count'!F1323="RES-SFU",1,IF('House Count'!F1323="RES-MDU",1,IF('House Count'!F1323="RES-HOA",1,0))),0)</f>
        <v>0</v>
      </c>
      <c r="K1323">
        <f>IF('House Count'!H1323="Y",IF('House Count'!F1323="COMM-SU",1,IF('House Count'!F1323="COM-MTU",1,IF('House Count'!F1323="ENT",1,0))),0)</f>
        <v>0</v>
      </c>
    </row>
    <row r="1324" spans="1:11" x14ac:dyDescent="0.25">
      <c r="H1324" s="192"/>
      <c r="I1324" s="773"/>
      <c r="J1324">
        <f>IF('House Count'!H1324="Y",IF('House Count'!F1324="RES-SFU",1,IF('House Count'!F1324="RES-MDU",1,IF('House Count'!F1324="RES-HOA",1,0))),0)</f>
        <v>0</v>
      </c>
      <c r="K1324">
        <f>IF('House Count'!H1324="Y",IF('House Count'!F1324="COMM-SU",1,IF('House Count'!F1324="COM-MTU",1,IF('House Count'!F1324="ENT",1,0))),0)</f>
        <v>0</v>
      </c>
    </row>
    <row r="1325" spans="1:11" x14ac:dyDescent="0.25">
      <c r="H1325" s="192"/>
      <c r="I1325" s="773"/>
      <c r="J1325">
        <f>IF('House Count'!H1325="Y",IF('House Count'!F1325="RES-SFU",1,IF('House Count'!F1325="RES-MDU",1,IF('House Count'!F1325="RES-HOA",1,0))),0)</f>
        <v>0</v>
      </c>
      <c r="K1325">
        <f>IF('House Count'!H1325="Y",IF('House Count'!F1325="COMM-SU",1,IF('House Count'!F1325="COM-MTU",1,IF('House Count'!F1325="ENT",1,0))),0)</f>
        <v>0</v>
      </c>
    </row>
    <row r="1326" spans="1:11" x14ac:dyDescent="0.25">
      <c r="H1326" s="192"/>
      <c r="I1326" s="773"/>
      <c r="J1326">
        <f>IF('House Count'!H1326="Y",IF('House Count'!F1326="RES-SFU",1,IF('House Count'!F1326="RES-MDU",1,IF('House Count'!F1326="RES-HOA",1,0))),0)</f>
        <v>0</v>
      </c>
      <c r="K1326">
        <f>IF('House Count'!H1326="Y",IF('House Count'!F1326="COMM-SU",1,IF('House Count'!F1326="COM-MTU",1,IF('House Count'!F1326="ENT",1,0))),0)</f>
        <v>0</v>
      </c>
    </row>
    <row r="1327" spans="1:11" x14ac:dyDescent="0.25">
      <c r="H1327" s="192"/>
      <c r="I1327" s="773"/>
      <c r="J1327">
        <f>IF('House Count'!H1327="Y",IF('House Count'!F1327="RES-SFU",1,IF('House Count'!F1327="RES-MDU",1,IF('House Count'!F1327="RES-HOA",1,0))),0)</f>
        <v>0</v>
      </c>
      <c r="K1327">
        <f>IF('House Count'!H1327="Y",IF('House Count'!F1327="COMM-SU",1,IF('House Count'!F1327="COM-MTU",1,IF('House Count'!F1327="ENT",1,0))),0)</f>
        <v>0</v>
      </c>
    </row>
    <row r="1328" spans="1:11" x14ac:dyDescent="0.25">
      <c r="H1328" s="192"/>
      <c r="I1328" s="773"/>
      <c r="J1328">
        <f>IF('House Count'!H1328="Y",IF('House Count'!F1328="RES-SFU",1,IF('House Count'!F1328="RES-MDU",1,IF('House Count'!F1328="RES-HOA",1,0))),0)</f>
        <v>0</v>
      </c>
      <c r="K1328">
        <f>IF('House Count'!H1328="Y",IF('House Count'!F1328="COMM-SU",1,IF('House Count'!F1328="COM-MTU",1,IF('House Count'!F1328="ENT",1,0))),0)</f>
        <v>0</v>
      </c>
    </row>
    <row r="1329" spans="1:11" x14ac:dyDescent="0.25">
      <c r="H1329" s="192"/>
      <c r="I1329" s="773"/>
      <c r="J1329">
        <f>IF('House Count'!H1329="Y",IF('House Count'!F1329="RES-SFU",1,IF('House Count'!F1329="RES-MDU",1,IF('House Count'!F1329="RES-HOA",1,0))),0)</f>
        <v>0</v>
      </c>
      <c r="K1329">
        <f>IF('House Count'!H1329="Y",IF('House Count'!F1329="COMM-SU",1,IF('House Count'!F1329="COM-MTU",1,IF('House Count'!F1329="ENT",1,0))),0)</f>
        <v>0</v>
      </c>
    </row>
    <row r="1330" spans="1:11" x14ac:dyDescent="0.25">
      <c r="H1330" s="192"/>
      <c r="I1330" s="773"/>
      <c r="J1330">
        <f>IF('House Count'!H1330="Y",IF('House Count'!F1330="RES-SFU",1,IF('House Count'!F1330="RES-MDU",1,IF('House Count'!F1330="RES-HOA",1,0))),0)</f>
        <v>0</v>
      </c>
      <c r="K1330">
        <f>IF('House Count'!H1330="Y",IF('House Count'!F1330="COMM-SU",1,IF('House Count'!F1330="COM-MTU",1,IF('House Count'!F1330="ENT",1,0))),0)</f>
        <v>0</v>
      </c>
    </row>
    <row r="1331" spans="1:11" x14ac:dyDescent="0.25">
      <c r="H1331" s="192"/>
      <c r="I1331" s="773"/>
      <c r="J1331">
        <f>IF('House Count'!H1331="Y",IF('House Count'!F1331="RES-SFU",1,IF('House Count'!F1331="RES-MDU",1,IF('House Count'!F1331="RES-HOA",1,0))),0)</f>
        <v>0</v>
      </c>
      <c r="K1331">
        <f>IF('House Count'!H1331="Y",IF('House Count'!F1331="COMM-SU",1,IF('House Count'!F1331="COM-MTU",1,IF('House Count'!F1331="ENT",1,0))),0)</f>
        <v>0</v>
      </c>
    </row>
    <row r="1332" spans="1:11" x14ac:dyDescent="0.25">
      <c r="H1332" s="192"/>
      <c r="I1332" s="773"/>
      <c r="J1332">
        <f>IF('House Count'!H1332="Y",IF('House Count'!F1332="RES-SFU",1,IF('House Count'!F1332="RES-MDU",1,IF('House Count'!F1332="RES-HOA",1,0))),0)</f>
        <v>0</v>
      </c>
      <c r="K1332">
        <f>IF('House Count'!H1332="Y",IF('House Count'!F1332="COMM-SU",1,IF('House Count'!F1332="COM-MTU",1,IF('House Count'!F1332="ENT",1,0))),0)</f>
        <v>0</v>
      </c>
    </row>
    <row r="1333" spans="1:11" ht="15.75" thickBot="1" x14ac:dyDescent="0.3">
      <c r="A1333" s="774"/>
      <c r="B1333" s="774"/>
      <c r="C1333" s="774"/>
      <c r="D1333" s="774"/>
      <c r="E1333" s="774"/>
      <c r="F1333" s="774"/>
      <c r="G1333" s="774"/>
      <c r="H1333" s="774"/>
      <c r="I1333" s="775"/>
      <c r="J1333">
        <f>IF('House Count'!H1333="Y",IF('House Count'!F1333="RES-SFU",1,IF('House Count'!F1333="RES-MDU",1,IF('House Count'!F1333="RES-HOA",1,0))),0)</f>
        <v>0</v>
      </c>
      <c r="K1333">
        <f>IF('House Count'!H1333="Y",IF('House Count'!F1333="COMM-SU",1,IF('House Count'!F1333="COM-MTU",1,IF('House Count'!F1333="ENT",1,0))),0)</f>
        <v>0</v>
      </c>
    </row>
    <row r="1334" spans="1:11" ht="15.75" thickTop="1" x14ac:dyDescent="0.25">
      <c r="H1334" s="192"/>
      <c r="I1334" s="773"/>
      <c r="J1334">
        <f>IF('House Count'!H1334="Y",IF('House Count'!F1334="RES-SFU",1,IF('House Count'!F1334="RES-MDU",1,IF('House Count'!F1334="RES-HOA",1,0))),0)</f>
        <v>0</v>
      </c>
      <c r="K1334">
        <f>IF('House Count'!H1334="Y",IF('House Count'!F1334="COMM-SU",1,IF('House Count'!F1334="COM-MTU",1,IF('House Count'!F1334="ENT",1,0))),0)</f>
        <v>0</v>
      </c>
    </row>
    <row r="1335" spans="1:11" x14ac:dyDescent="0.25">
      <c r="H1335" s="192"/>
      <c r="I1335" s="773"/>
      <c r="J1335">
        <f>IF('House Count'!H1335="Y",IF('House Count'!F1335="RES-SFU",1,IF('House Count'!F1335="RES-MDU",1,IF('House Count'!F1335="RES-HOA",1,0))),0)</f>
        <v>0</v>
      </c>
      <c r="K1335">
        <f>IF('House Count'!H1335="Y",IF('House Count'!F1335="COMM-SU",1,IF('House Count'!F1335="COM-MTU",1,IF('House Count'!F1335="ENT",1,0))),0)</f>
        <v>0</v>
      </c>
    </row>
    <row r="1336" spans="1:11" x14ac:dyDescent="0.25">
      <c r="H1336" s="192"/>
      <c r="I1336" s="773"/>
      <c r="J1336">
        <f>IF('House Count'!H1336="Y",IF('House Count'!F1336="RES-SFU",1,IF('House Count'!F1336="RES-MDU",1,IF('House Count'!F1336="RES-HOA",1,0))),0)</f>
        <v>0</v>
      </c>
      <c r="K1336">
        <f>IF('House Count'!H1336="Y",IF('House Count'!F1336="COMM-SU",1,IF('House Count'!F1336="COM-MTU",1,IF('House Count'!F1336="ENT",1,0))),0)</f>
        <v>0</v>
      </c>
    </row>
    <row r="1337" spans="1:11" x14ac:dyDescent="0.25">
      <c r="H1337" s="192"/>
      <c r="I1337" s="773"/>
      <c r="J1337">
        <f>IF('House Count'!H1337="Y",IF('House Count'!F1337="RES-SFU",1,IF('House Count'!F1337="RES-MDU",1,IF('House Count'!F1337="RES-HOA",1,0))),0)</f>
        <v>0</v>
      </c>
      <c r="K1337">
        <f>IF('House Count'!H1337="Y",IF('House Count'!F1337="COMM-SU",1,IF('House Count'!F1337="COM-MTU",1,IF('House Count'!F1337="ENT",1,0))),0)</f>
        <v>0</v>
      </c>
    </row>
    <row r="1338" spans="1:11" x14ac:dyDescent="0.25">
      <c r="H1338" s="192"/>
      <c r="I1338" s="773"/>
      <c r="J1338">
        <f>IF('House Count'!H1338="Y",IF('House Count'!F1338="RES-SFU",1,IF('House Count'!F1338="RES-MDU",1,IF('House Count'!F1338="RES-HOA",1,0))),0)</f>
        <v>0</v>
      </c>
      <c r="K1338">
        <f>IF('House Count'!H1338="Y",IF('House Count'!F1338="COMM-SU",1,IF('House Count'!F1338="COM-MTU",1,IF('House Count'!F1338="ENT",1,0))),0)</f>
        <v>0</v>
      </c>
    </row>
    <row r="1339" spans="1:11" x14ac:dyDescent="0.25">
      <c r="H1339" s="192"/>
      <c r="I1339" s="773"/>
      <c r="J1339">
        <f>IF('House Count'!H1339="Y",IF('House Count'!F1339="RES-SFU",1,IF('House Count'!F1339="RES-MDU",1,IF('House Count'!F1339="RES-HOA",1,0))),0)</f>
        <v>0</v>
      </c>
      <c r="K1339">
        <f>IF('House Count'!H1339="Y",IF('House Count'!F1339="COMM-SU",1,IF('House Count'!F1339="COM-MTU",1,IF('House Count'!F1339="ENT",1,0))),0)</f>
        <v>0</v>
      </c>
    </row>
    <row r="1340" spans="1:11" x14ac:dyDescent="0.25">
      <c r="H1340" s="192"/>
      <c r="I1340" s="773"/>
      <c r="J1340">
        <f>IF('House Count'!H1340="Y",IF('House Count'!F1340="RES-SFU",1,IF('House Count'!F1340="RES-MDU",1,IF('House Count'!F1340="RES-HOA",1,0))),0)</f>
        <v>0</v>
      </c>
      <c r="K1340">
        <f>IF('House Count'!H1340="Y",IF('House Count'!F1340="COMM-SU",1,IF('House Count'!F1340="COM-MTU",1,IF('House Count'!F1340="ENT",1,0))),0)</f>
        <v>0</v>
      </c>
    </row>
    <row r="1341" spans="1:11" x14ac:dyDescent="0.25">
      <c r="H1341" s="192"/>
      <c r="I1341" s="773"/>
      <c r="J1341">
        <f>IF('House Count'!H1341="Y",IF('House Count'!F1341="RES-SFU",1,IF('House Count'!F1341="RES-MDU",1,IF('House Count'!F1341="RES-HOA",1,0))),0)</f>
        <v>0</v>
      </c>
      <c r="K1341">
        <f>IF('House Count'!H1341="Y",IF('House Count'!F1341="COMM-SU",1,IF('House Count'!F1341="COM-MTU",1,IF('House Count'!F1341="ENT",1,0))),0)</f>
        <v>0</v>
      </c>
    </row>
    <row r="1342" spans="1:11" x14ac:dyDescent="0.25">
      <c r="H1342" s="192"/>
      <c r="I1342" s="773"/>
      <c r="J1342">
        <f>IF('House Count'!H1342="Y",IF('House Count'!F1342="RES-SFU",1,IF('House Count'!F1342="RES-MDU",1,IF('House Count'!F1342="RES-HOA",1,0))),0)</f>
        <v>0</v>
      </c>
      <c r="K1342">
        <f>IF('House Count'!H1342="Y",IF('House Count'!F1342="COMM-SU",1,IF('House Count'!F1342="COM-MTU",1,IF('House Count'!F1342="ENT",1,0))),0)</f>
        <v>0</v>
      </c>
    </row>
    <row r="1343" spans="1:11" x14ac:dyDescent="0.25">
      <c r="H1343" s="192"/>
      <c r="I1343" s="773"/>
      <c r="J1343">
        <f>IF('House Count'!H1343="Y",IF('House Count'!F1343="RES-SFU",1,IF('House Count'!F1343="RES-MDU",1,IF('House Count'!F1343="RES-HOA",1,0))),0)</f>
        <v>0</v>
      </c>
      <c r="K1343">
        <f>IF('House Count'!H1343="Y",IF('House Count'!F1343="COMM-SU",1,IF('House Count'!F1343="COM-MTU",1,IF('House Count'!F1343="ENT",1,0))),0)</f>
        <v>0</v>
      </c>
    </row>
    <row r="1344" spans="1:11" x14ac:dyDescent="0.25">
      <c r="H1344" s="192"/>
      <c r="I1344" s="773"/>
      <c r="J1344">
        <f>IF('House Count'!H1344="Y",IF('House Count'!F1344="RES-SFU",1,IF('House Count'!F1344="RES-MDU",1,IF('House Count'!F1344="RES-HOA",1,0))),0)</f>
        <v>0</v>
      </c>
      <c r="K1344">
        <f>IF('House Count'!H1344="Y",IF('House Count'!F1344="COMM-SU",1,IF('House Count'!F1344="COM-MTU",1,IF('House Count'!F1344="ENT",1,0))),0)</f>
        <v>0</v>
      </c>
    </row>
    <row r="1345" spans="1:11" ht="15.75" thickBot="1" x14ac:dyDescent="0.3">
      <c r="A1345" s="774"/>
      <c r="B1345" s="774"/>
      <c r="C1345" s="774"/>
      <c r="D1345" s="774"/>
      <c r="E1345" s="774"/>
      <c r="F1345" s="774"/>
      <c r="G1345" s="774"/>
      <c r="H1345" s="774"/>
      <c r="I1345" s="775"/>
      <c r="J1345">
        <f>IF('House Count'!H1345="Y",IF('House Count'!F1345="RES-SFU",1,IF('House Count'!F1345="RES-MDU",1,IF('House Count'!F1345="RES-HOA",1,0))),0)</f>
        <v>0</v>
      </c>
      <c r="K1345">
        <f>IF('House Count'!H1345="Y",IF('House Count'!F1345="COMM-SU",1,IF('House Count'!F1345="COM-MTU",1,IF('House Count'!F1345="ENT",1,0))),0)</f>
        <v>0</v>
      </c>
    </row>
    <row r="1346" spans="1:11" ht="15.75" thickTop="1" x14ac:dyDescent="0.25">
      <c r="H1346" s="192"/>
      <c r="I1346" s="773"/>
      <c r="J1346">
        <f>IF('House Count'!H1346="Y",IF('House Count'!F1346="RES-SFU",1,IF('House Count'!F1346="RES-MDU",1,IF('House Count'!F1346="RES-HOA",1,0))),0)</f>
        <v>0</v>
      </c>
      <c r="K1346">
        <f>IF('House Count'!H1346="Y",IF('House Count'!F1346="COMM-SU",1,IF('House Count'!F1346="COM-MTU",1,IF('House Count'!F1346="ENT",1,0))),0)</f>
        <v>0</v>
      </c>
    </row>
    <row r="1347" spans="1:11" x14ac:dyDescent="0.25">
      <c r="H1347" s="192"/>
      <c r="I1347" s="773"/>
      <c r="J1347">
        <f>IF('House Count'!H1347="Y",IF('House Count'!F1347="RES-SFU",1,IF('House Count'!F1347="RES-MDU",1,IF('House Count'!F1347="RES-HOA",1,0))),0)</f>
        <v>0</v>
      </c>
      <c r="K1347">
        <f>IF('House Count'!H1347="Y",IF('House Count'!F1347="COMM-SU",1,IF('House Count'!F1347="COM-MTU",1,IF('House Count'!F1347="ENT",1,0))),0)</f>
        <v>0</v>
      </c>
    </row>
    <row r="1348" spans="1:11" x14ac:dyDescent="0.25">
      <c r="H1348" s="192"/>
      <c r="I1348" s="773"/>
      <c r="J1348">
        <f>IF('House Count'!H1348="Y",IF('House Count'!F1348="RES-SFU",1,IF('House Count'!F1348="RES-MDU",1,IF('House Count'!F1348="RES-HOA",1,0))),0)</f>
        <v>0</v>
      </c>
      <c r="K1348">
        <f>IF('House Count'!H1348="Y",IF('House Count'!F1348="COMM-SU",1,IF('House Count'!F1348="COM-MTU",1,IF('House Count'!F1348="ENT",1,0))),0)</f>
        <v>0</v>
      </c>
    </row>
    <row r="1349" spans="1:11" x14ac:dyDescent="0.25">
      <c r="H1349" s="192"/>
      <c r="I1349" s="773"/>
      <c r="J1349">
        <f>IF('House Count'!H1349="Y",IF('House Count'!F1349="RES-SFU",1,IF('House Count'!F1349="RES-MDU",1,IF('House Count'!F1349="RES-HOA",1,0))),0)</f>
        <v>0</v>
      </c>
      <c r="K1349">
        <f>IF('House Count'!H1349="Y",IF('House Count'!F1349="COMM-SU",1,IF('House Count'!F1349="COM-MTU",1,IF('House Count'!F1349="ENT",1,0))),0)</f>
        <v>0</v>
      </c>
    </row>
    <row r="1350" spans="1:11" x14ac:dyDescent="0.25">
      <c r="H1350" s="192"/>
      <c r="I1350" s="773"/>
      <c r="J1350">
        <f>IF('House Count'!H1350="Y",IF('House Count'!F1350="RES-SFU",1,IF('House Count'!F1350="RES-MDU",1,IF('House Count'!F1350="RES-HOA",1,0))),0)</f>
        <v>0</v>
      </c>
      <c r="K1350">
        <f>IF('House Count'!H1350="Y",IF('House Count'!F1350="COMM-SU",1,IF('House Count'!F1350="COM-MTU",1,IF('House Count'!F1350="ENT",1,0))),0)</f>
        <v>0</v>
      </c>
    </row>
    <row r="1351" spans="1:11" x14ac:dyDescent="0.25">
      <c r="H1351" s="192"/>
      <c r="I1351" s="773"/>
      <c r="J1351">
        <f>IF('House Count'!H1351="Y",IF('House Count'!F1351="RES-SFU",1,IF('House Count'!F1351="RES-MDU",1,IF('House Count'!F1351="RES-HOA",1,0))),0)</f>
        <v>0</v>
      </c>
      <c r="K1351">
        <f>IF('House Count'!H1351="Y",IF('House Count'!F1351="COMM-SU",1,IF('House Count'!F1351="COM-MTU",1,IF('House Count'!F1351="ENT",1,0))),0)</f>
        <v>0</v>
      </c>
    </row>
    <row r="1352" spans="1:11" x14ac:dyDescent="0.25">
      <c r="H1352" s="192"/>
      <c r="I1352" s="773"/>
      <c r="J1352">
        <f>IF('House Count'!H1352="Y",IF('House Count'!F1352="RES-SFU",1,IF('House Count'!F1352="RES-MDU",1,IF('House Count'!F1352="RES-HOA",1,0))),0)</f>
        <v>0</v>
      </c>
      <c r="K1352">
        <f>IF('House Count'!H1352="Y",IF('House Count'!F1352="COMM-SU",1,IF('House Count'!F1352="COM-MTU",1,IF('House Count'!F1352="ENT",1,0))),0)</f>
        <v>0</v>
      </c>
    </row>
    <row r="1353" spans="1:11" x14ac:dyDescent="0.25">
      <c r="H1353" s="192"/>
      <c r="I1353" s="773"/>
      <c r="J1353">
        <f>IF('House Count'!H1353="Y",IF('House Count'!F1353="RES-SFU",1,IF('House Count'!F1353="RES-MDU",1,IF('House Count'!F1353="RES-HOA",1,0))),0)</f>
        <v>0</v>
      </c>
      <c r="K1353">
        <f>IF('House Count'!H1353="Y",IF('House Count'!F1353="COMM-SU",1,IF('House Count'!F1353="COM-MTU",1,IF('House Count'!F1353="ENT",1,0))),0)</f>
        <v>0</v>
      </c>
    </row>
    <row r="1354" spans="1:11" x14ac:dyDescent="0.25">
      <c r="H1354" s="192"/>
      <c r="I1354" s="773"/>
      <c r="J1354">
        <f>IF('House Count'!H1354="Y",IF('House Count'!F1354="RES-SFU",1,IF('House Count'!F1354="RES-MDU",1,IF('House Count'!F1354="RES-HOA",1,0))),0)</f>
        <v>0</v>
      </c>
      <c r="K1354">
        <f>IF('House Count'!H1354="Y",IF('House Count'!F1354="COMM-SU",1,IF('House Count'!F1354="COM-MTU",1,IF('House Count'!F1354="ENT",1,0))),0)</f>
        <v>0</v>
      </c>
    </row>
    <row r="1355" spans="1:11" x14ac:dyDescent="0.25">
      <c r="H1355" s="192"/>
      <c r="I1355" s="773"/>
      <c r="J1355">
        <f>IF('House Count'!H1355="Y",IF('House Count'!F1355="RES-SFU",1,IF('House Count'!F1355="RES-MDU",1,IF('House Count'!F1355="RES-HOA",1,0))),0)</f>
        <v>0</v>
      </c>
      <c r="K1355">
        <f>IF('House Count'!H1355="Y",IF('House Count'!F1355="COMM-SU",1,IF('House Count'!F1355="COM-MTU",1,IF('House Count'!F1355="ENT",1,0))),0)</f>
        <v>0</v>
      </c>
    </row>
    <row r="1356" spans="1:11" x14ac:dyDescent="0.25">
      <c r="H1356" s="192"/>
      <c r="I1356" s="773"/>
      <c r="J1356">
        <f>IF('House Count'!H1356="Y",IF('House Count'!F1356="RES-SFU",1,IF('House Count'!F1356="RES-MDU",1,IF('House Count'!F1356="RES-HOA",1,0))),0)</f>
        <v>0</v>
      </c>
      <c r="K1356">
        <f>IF('House Count'!H1356="Y",IF('House Count'!F1356="COMM-SU",1,IF('House Count'!F1356="COM-MTU",1,IF('House Count'!F1356="ENT",1,0))),0)</f>
        <v>0</v>
      </c>
    </row>
    <row r="1357" spans="1:11" ht="15.75" thickBot="1" x14ac:dyDescent="0.3">
      <c r="A1357" s="774"/>
      <c r="B1357" s="774"/>
      <c r="C1357" s="774"/>
      <c r="D1357" s="774"/>
      <c r="E1357" s="774"/>
      <c r="F1357" s="774"/>
      <c r="G1357" s="774"/>
      <c r="H1357" s="774"/>
      <c r="I1357" s="775"/>
      <c r="J1357">
        <f>IF('House Count'!H1357="Y",IF('House Count'!F1357="RES-SFU",1,IF('House Count'!F1357="RES-MDU",1,IF('House Count'!F1357="RES-HOA",1,0))),0)</f>
        <v>0</v>
      </c>
      <c r="K1357">
        <f>IF('House Count'!H1357="Y",IF('House Count'!F1357="COMM-SU",1,IF('House Count'!F1357="COM-MTU",1,IF('House Count'!F1357="ENT",1,0))),0)</f>
        <v>0</v>
      </c>
    </row>
    <row r="1358" spans="1:11" ht="15.75" thickTop="1" x14ac:dyDescent="0.25">
      <c r="H1358" s="192"/>
      <c r="I1358" s="773"/>
      <c r="J1358">
        <f>IF('House Count'!H1358="Y",IF('House Count'!F1358="RES-SFU",1,IF('House Count'!F1358="RES-MDU",1,IF('House Count'!F1358="RES-HOA",1,0))),0)</f>
        <v>0</v>
      </c>
      <c r="K1358">
        <f>IF('House Count'!H1358="Y",IF('House Count'!F1358="COMM-SU",1,IF('House Count'!F1358="COM-MTU",1,IF('House Count'!F1358="ENT",1,0))),0)</f>
        <v>0</v>
      </c>
    </row>
    <row r="1359" spans="1:11" x14ac:dyDescent="0.25">
      <c r="H1359" s="192"/>
      <c r="I1359" s="773"/>
      <c r="J1359">
        <f>IF('House Count'!H1359="Y",IF('House Count'!F1359="RES-SFU",1,IF('House Count'!F1359="RES-MDU",1,IF('House Count'!F1359="RES-HOA",1,0))),0)</f>
        <v>0</v>
      </c>
      <c r="K1359">
        <f>IF('House Count'!H1359="Y",IF('House Count'!F1359="COMM-SU",1,IF('House Count'!F1359="COM-MTU",1,IF('House Count'!F1359="ENT",1,0))),0)</f>
        <v>0</v>
      </c>
    </row>
    <row r="1360" spans="1:11" x14ac:dyDescent="0.25">
      <c r="H1360" s="192"/>
      <c r="I1360" s="773"/>
      <c r="J1360">
        <f>IF('House Count'!H1360="Y",IF('House Count'!F1360="RES-SFU",1,IF('House Count'!F1360="RES-MDU",1,IF('House Count'!F1360="RES-HOA",1,0))),0)</f>
        <v>0</v>
      </c>
      <c r="K1360">
        <f>IF('House Count'!H1360="Y",IF('House Count'!F1360="COMM-SU",1,IF('House Count'!F1360="COM-MTU",1,IF('House Count'!F1360="ENT",1,0))),0)</f>
        <v>0</v>
      </c>
    </row>
    <row r="1361" spans="1:11" x14ac:dyDescent="0.25">
      <c r="H1361" s="192"/>
      <c r="I1361" s="773"/>
      <c r="J1361">
        <f>IF('House Count'!H1361="Y",IF('House Count'!F1361="RES-SFU",1,IF('House Count'!F1361="RES-MDU",1,IF('House Count'!F1361="RES-HOA",1,0))),0)</f>
        <v>0</v>
      </c>
      <c r="K1361">
        <f>IF('House Count'!H1361="Y",IF('House Count'!F1361="COMM-SU",1,IF('House Count'!F1361="COM-MTU",1,IF('House Count'!F1361="ENT",1,0))),0)</f>
        <v>0</v>
      </c>
    </row>
    <row r="1362" spans="1:11" x14ac:dyDescent="0.25">
      <c r="H1362" s="192"/>
      <c r="I1362" s="773"/>
      <c r="J1362">
        <f>IF('House Count'!H1362="Y",IF('House Count'!F1362="RES-SFU",1,IF('House Count'!F1362="RES-MDU",1,IF('House Count'!F1362="RES-HOA",1,0))),0)</f>
        <v>0</v>
      </c>
      <c r="K1362">
        <f>IF('House Count'!H1362="Y",IF('House Count'!F1362="COMM-SU",1,IF('House Count'!F1362="COM-MTU",1,IF('House Count'!F1362="ENT",1,0))),0)</f>
        <v>0</v>
      </c>
    </row>
    <row r="1363" spans="1:11" x14ac:dyDescent="0.25">
      <c r="H1363" s="192"/>
      <c r="I1363" s="773"/>
      <c r="J1363">
        <f>IF('House Count'!H1363="Y",IF('House Count'!F1363="RES-SFU",1,IF('House Count'!F1363="RES-MDU",1,IF('House Count'!F1363="RES-HOA",1,0))),0)</f>
        <v>0</v>
      </c>
      <c r="K1363">
        <f>IF('House Count'!H1363="Y",IF('House Count'!F1363="COMM-SU",1,IF('House Count'!F1363="COM-MTU",1,IF('House Count'!F1363="ENT",1,0))),0)</f>
        <v>0</v>
      </c>
    </row>
    <row r="1364" spans="1:11" x14ac:dyDescent="0.25">
      <c r="H1364" s="192"/>
      <c r="I1364" s="773"/>
      <c r="J1364">
        <f>IF('House Count'!H1364="Y",IF('House Count'!F1364="RES-SFU",1,IF('House Count'!F1364="RES-MDU",1,IF('House Count'!F1364="RES-HOA",1,0))),0)</f>
        <v>0</v>
      </c>
      <c r="K1364">
        <f>IF('House Count'!H1364="Y",IF('House Count'!F1364="COMM-SU",1,IF('House Count'!F1364="COM-MTU",1,IF('House Count'!F1364="ENT",1,0))),0)</f>
        <v>0</v>
      </c>
    </row>
    <row r="1365" spans="1:11" x14ac:dyDescent="0.25">
      <c r="H1365" s="192"/>
      <c r="I1365" s="773"/>
      <c r="J1365">
        <f>IF('House Count'!H1365="Y",IF('House Count'!F1365="RES-SFU",1,IF('House Count'!F1365="RES-MDU",1,IF('House Count'!F1365="RES-HOA",1,0))),0)</f>
        <v>0</v>
      </c>
      <c r="K1365">
        <f>IF('House Count'!H1365="Y",IF('House Count'!F1365="COMM-SU",1,IF('House Count'!F1365="COM-MTU",1,IF('House Count'!F1365="ENT",1,0))),0)</f>
        <v>0</v>
      </c>
    </row>
    <row r="1366" spans="1:11" x14ac:dyDescent="0.25">
      <c r="H1366" s="192"/>
      <c r="I1366" s="773"/>
      <c r="J1366">
        <f>IF('House Count'!H1366="Y",IF('House Count'!F1366="RES-SFU",1,IF('House Count'!F1366="RES-MDU",1,IF('House Count'!F1366="RES-HOA",1,0))),0)</f>
        <v>0</v>
      </c>
      <c r="K1366">
        <f>IF('House Count'!H1366="Y",IF('House Count'!F1366="COMM-SU",1,IF('House Count'!F1366="COM-MTU",1,IF('House Count'!F1366="ENT",1,0))),0)</f>
        <v>0</v>
      </c>
    </row>
    <row r="1367" spans="1:11" x14ac:dyDescent="0.25">
      <c r="H1367" s="192"/>
      <c r="I1367" s="773"/>
      <c r="J1367">
        <f>IF('House Count'!H1367="Y",IF('House Count'!F1367="RES-SFU",1,IF('House Count'!F1367="RES-MDU",1,IF('House Count'!F1367="RES-HOA",1,0))),0)</f>
        <v>0</v>
      </c>
      <c r="K1367">
        <f>IF('House Count'!H1367="Y",IF('House Count'!F1367="COMM-SU",1,IF('House Count'!F1367="COM-MTU",1,IF('House Count'!F1367="ENT",1,0))),0)</f>
        <v>0</v>
      </c>
    </row>
    <row r="1368" spans="1:11" x14ac:dyDescent="0.25">
      <c r="H1368" s="192"/>
      <c r="I1368" s="773"/>
      <c r="J1368">
        <f>IF('House Count'!H1368="Y",IF('House Count'!F1368="RES-SFU",1,IF('House Count'!F1368="RES-MDU",1,IF('House Count'!F1368="RES-HOA",1,0))),0)</f>
        <v>0</v>
      </c>
      <c r="K1368">
        <f>IF('House Count'!H1368="Y",IF('House Count'!F1368="COMM-SU",1,IF('House Count'!F1368="COM-MTU",1,IF('House Count'!F1368="ENT",1,0))),0)</f>
        <v>0</v>
      </c>
    </row>
    <row r="1369" spans="1:11" ht="15.75" thickBot="1" x14ac:dyDescent="0.3">
      <c r="A1369" s="774"/>
      <c r="B1369" s="774"/>
      <c r="C1369" s="774"/>
      <c r="D1369" s="774"/>
      <c r="E1369" s="774"/>
      <c r="F1369" s="774"/>
      <c r="G1369" s="774"/>
      <c r="H1369" s="774"/>
      <c r="I1369" s="775"/>
      <c r="J1369">
        <f>IF('House Count'!H1369="Y",IF('House Count'!F1369="RES-SFU",1,IF('House Count'!F1369="RES-MDU",1,IF('House Count'!F1369="RES-HOA",1,0))),0)</f>
        <v>0</v>
      </c>
      <c r="K1369">
        <f>IF('House Count'!H1369="Y",IF('House Count'!F1369="COMM-SU",1,IF('House Count'!F1369="COM-MTU",1,IF('House Count'!F1369="ENT",1,0))),0)</f>
        <v>0</v>
      </c>
    </row>
    <row r="1370" spans="1:11" ht="15.75" thickTop="1" x14ac:dyDescent="0.25">
      <c r="H1370" s="192"/>
      <c r="I1370" s="773"/>
      <c r="J1370">
        <f>IF('House Count'!H1370="Y",IF('House Count'!F1370="RES-SFU",1,IF('House Count'!F1370="RES-MDU",1,IF('House Count'!F1370="RES-HOA",1,0))),0)</f>
        <v>0</v>
      </c>
      <c r="K1370">
        <f>IF('House Count'!H1370="Y",IF('House Count'!F1370="COMM-SU",1,IF('House Count'!F1370="COM-MTU",1,IF('House Count'!F1370="ENT",1,0))),0)</f>
        <v>0</v>
      </c>
    </row>
    <row r="1371" spans="1:11" x14ac:dyDescent="0.25">
      <c r="H1371" s="192"/>
      <c r="I1371" s="773"/>
      <c r="J1371">
        <f>IF('House Count'!H1371="Y",IF('House Count'!F1371="RES-SFU",1,IF('House Count'!F1371="RES-MDU",1,IF('House Count'!F1371="RES-HOA",1,0))),0)</f>
        <v>0</v>
      </c>
      <c r="K1371">
        <f>IF('House Count'!H1371="Y",IF('House Count'!F1371="COMM-SU",1,IF('House Count'!F1371="COM-MTU",1,IF('House Count'!F1371="ENT",1,0))),0)</f>
        <v>0</v>
      </c>
    </row>
    <row r="1372" spans="1:11" x14ac:dyDescent="0.25">
      <c r="H1372" s="192"/>
      <c r="I1372" s="773"/>
      <c r="J1372">
        <f>IF('House Count'!H1372="Y",IF('House Count'!F1372="RES-SFU",1,IF('House Count'!F1372="RES-MDU",1,IF('House Count'!F1372="RES-HOA",1,0))),0)</f>
        <v>0</v>
      </c>
      <c r="K1372">
        <f>IF('House Count'!H1372="Y",IF('House Count'!F1372="COMM-SU",1,IF('House Count'!F1372="COM-MTU",1,IF('House Count'!F1372="ENT",1,0))),0)</f>
        <v>0</v>
      </c>
    </row>
    <row r="1373" spans="1:11" x14ac:dyDescent="0.25">
      <c r="H1373" s="192"/>
      <c r="I1373" s="773"/>
      <c r="J1373">
        <f>IF('House Count'!H1373="Y",IF('House Count'!F1373="RES-SFU",1,IF('House Count'!F1373="RES-MDU",1,IF('House Count'!F1373="RES-HOA",1,0))),0)</f>
        <v>0</v>
      </c>
      <c r="K1373">
        <f>IF('House Count'!H1373="Y",IF('House Count'!F1373="COMM-SU",1,IF('House Count'!F1373="COM-MTU",1,IF('House Count'!F1373="ENT",1,0))),0)</f>
        <v>0</v>
      </c>
    </row>
    <row r="1374" spans="1:11" x14ac:dyDescent="0.25">
      <c r="H1374" s="192"/>
      <c r="I1374" s="773"/>
      <c r="J1374">
        <f>IF('House Count'!H1374="Y",IF('House Count'!F1374="RES-SFU",1,IF('House Count'!F1374="RES-MDU",1,IF('House Count'!F1374="RES-HOA",1,0))),0)</f>
        <v>0</v>
      </c>
      <c r="K1374">
        <f>IF('House Count'!H1374="Y",IF('House Count'!F1374="COMM-SU",1,IF('House Count'!F1374="COM-MTU",1,IF('House Count'!F1374="ENT",1,0))),0)</f>
        <v>0</v>
      </c>
    </row>
    <row r="1375" spans="1:11" x14ac:dyDescent="0.25">
      <c r="H1375" s="192"/>
      <c r="I1375" s="773"/>
      <c r="J1375">
        <f>IF('House Count'!H1375="Y",IF('House Count'!F1375="RES-SFU",1,IF('House Count'!F1375="RES-MDU",1,IF('House Count'!F1375="RES-HOA",1,0))),0)</f>
        <v>0</v>
      </c>
      <c r="K1375">
        <f>IF('House Count'!H1375="Y",IF('House Count'!F1375="COMM-SU",1,IF('House Count'!F1375="COM-MTU",1,IF('House Count'!F1375="ENT",1,0))),0)</f>
        <v>0</v>
      </c>
    </row>
    <row r="1376" spans="1:11" x14ac:dyDescent="0.25">
      <c r="H1376" s="192"/>
      <c r="I1376" s="773"/>
      <c r="J1376">
        <f>IF('House Count'!H1376="Y",IF('House Count'!F1376="RES-SFU",1,IF('House Count'!F1376="RES-MDU",1,IF('House Count'!F1376="RES-HOA",1,0))),0)</f>
        <v>0</v>
      </c>
      <c r="K1376">
        <f>IF('House Count'!H1376="Y",IF('House Count'!F1376="COMM-SU",1,IF('House Count'!F1376="COM-MTU",1,IF('House Count'!F1376="ENT",1,0))),0)</f>
        <v>0</v>
      </c>
    </row>
    <row r="1377" spans="1:11" x14ac:dyDescent="0.25">
      <c r="H1377" s="192"/>
      <c r="I1377" s="773"/>
      <c r="J1377">
        <f>IF('House Count'!H1377="Y",IF('House Count'!F1377="RES-SFU",1,IF('House Count'!F1377="RES-MDU",1,IF('House Count'!F1377="RES-HOA",1,0))),0)</f>
        <v>0</v>
      </c>
      <c r="K1377">
        <f>IF('House Count'!H1377="Y",IF('House Count'!F1377="COMM-SU",1,IF('House Count'!F1377="COM-MTU",1,IF('House Count'!F1377="ENT",1,0))),0)</f>
        <v>0</v>
      </c>
    </row>
    <row r="1378" spans="1:11" x14ac:dyDescent="0.25">
      <c r="H1378" s="192"/>
      <c r="I1378" s="773"/>
      <c r="J1378">
        <f>IF('House Count'!H1378="Y",IF('House Count'!F1378="RES-SFU",1,IF('House Count'!F1378="RES-MDU",1,IF('House Count'!F1378="RES-HOA",1,0))),0)</f>
        <v>0</v>
      </c>
      <c r="K1378">
        <f>IF('House Count'!H1378="Y",IF('House Count'!F1378="COMM-SU",1,IF('House Count'!F1378="COM-MTU",1,IF('House Count'!F1378="ENT",1,0))),0)</f>
        <v>0</v>
      </c>
    </row>
    <row r="1379" spans="1:11" x14ac:dyDescent="0.25">
      <c r="H1379" s="192"/>
      <c r="I1379" s="773"/>
      <c r="J1379">
        <f>IF('House Count'!H1379="Y",IF('House Count'!F1379="RES-SFU",1,IF('House Count'!F1379="RES-MDU",1,IF('House Count'!F1379="RES-HOA",1,0))),0)</f>
        <v>0</v>
      </c>
      <c r="K1379">
        <f>IF('House Count'!H1379="Y",IF('House Count'!F1379="COMM-SU",1,IF('House Count'!F1379="COM-MTU",1,IF('House Count'!F1379="ENT",1,0))),0)</f>
        <v>0</v>
      </c>
    </row>
    <row r="1380" spans="1:11" x14ac:dyDescent="0.25">
      <c r="H1380" s="192"/>
      <c r="I1380" s="773"/>
      <c r="J1380">
        <f>IF('House Count'!H1380="Y",IF('House Count'!F1380="RES-SFU",1,IF('House Count'!F1380="RES-MDU",1,IF('House Count'!F1380="RES-HOA",1,0))),0)</f>
        <v>0</v>
      </c>
      <c r="K1380">
        <f>IF('House Count'!H1380="Y",IF('House Count'!F1380="COMM-SU",1,IF('House Count'!F1380="COM-MTU",1,IF('House Count'!F1380="ENT",1,0))),0)</f>
        <v>0</v>
      </c>
    </row>
    <row r="1381" spans="1:11" ht="15.75" thickBot="1" x14ac:dyDescent="0.3">
      <c r="A1381" s="774"/>
      <c r="B1381" s="774"/>
      <c r="C1381" s="774"/>
      <c r="D1381" s="774"/>
      <c r="E1381" s="774"/>
      <c r="F1381" s="774"/>
      <c r="G1381" s="774"/>
      <c r="H1381" s="774"/>
      <c r="I1381" s="775"/>
      <c r="J1381">
        <f>IF('House Count'!H1381="Y",IF('House Count'!F1381="RES-SFU",1,IF('House Count'!F1381="RES-MDU",1,IF('House Count'!F1381="RES-HOA",1,0))),0)</f>
        <v>0</v>
      </c>
      <c r="K1381">
        <f>IF('House Count'!H1381="Y",IF('House Count'!F1381="COMM-SU",1,IF('House Count'!F1381="COM-MTU",1,IF('House Count'!F1381="ENT",1,0))),0)</f>
        <v>0</v>
      </c>
    </row>
    <row r="1382" spans="1:11" ht="15.75" thickTop="1" x14ac:dyDescent="0.25">
      <c r="H1382" s="192"/>
      <c r="I1382" s="773"/>
      <c r="J1382">
        <f>IF('House Count'!H1382="Y",IF('House Count'!F1382="RES-SFU",1,IF('House Count'!F1382="RES-MDU",1,IF('House Count'!F1382="RES-HOA",1,0))),0)</f>
        <v>0</v>
      </c>
      <c r="K1382">
        <f>IF('House Count'!H1382="Y",IF('House Count'!F1382="COMM-SU",1,IF('House Count'!F1382="COM-MTU",1,IF('House Count'!F1382="ENT",1,0))),0)</f>
        <v>0</v>
      </c>
    </row>
    <row r="1383" spans="1:11" x14ac:dyDescent="0.25">
      <c r="H1383" s="192"/>
      <c r="I1383" s="773"/>
      <c r="J1383">
        <f>IF('House Count'!H1383="Y",IF('House Count'!F1383="RES-SFU",1,IF('House Count'!F1383="RES-MDU",1,IF('House Count'!F1383="RES-HOA",1,0))),0)</f>
        <v>0</v>
      </c>
      <c r="K1383">
        <f>IF('House Count'!H1383="Y",IF('House Count'!F1383="COMM-SU",1,IF('House Count'!F1383="COM-MTU",1,IF('House Count'!F1383="ENT",1,0))),0)</f>
        <v>0</v>
      </c>
    </row>
    <row r="1384" spans="1:11" x14ac:dyDescent="0.25">
      <c r="H1384" s="192"/>
      <c r="I1384" s="773"/>
      <c r="J1384">
        <f>IF('House Count'!H1384="Y",IF('House Count'!F1384="RES-SFU",1,IF('House Count'!F1384="RES-MDU",1,IF('House Count'!F1384="RES-HOA",1,0))),0)</f>
        <v>0</v>
      </c>
      <c r="K1384">
        <f>IF('House Count'!H1384="Y",IF('House Count'!F1384="COMM-SU",1,IF('House Count'!F1384="COM-MTU",1,IF('House Count'!F1384="ENT",1,0))),0)</f>
        <v>0</v>
      </c>
    </row>
    <row r="1385" spans="1:11" x14ac:dyDescent="0.25">
      <c r="H1385" s="192"/>
      <c r="I1385" s="773"/>
      <c r="J1385">
        <f>IF('House Count'!H1385="Y",IF('House Count'!F1385="RES-SFU",1,IF('House Count'!F1385="RES-MDU",1,IF('House Count'!F1385="RES-HOA",1,0))),0)</f>
        <v>0</v>
      </c>
      <c r="K1385">
        <f>IF('House Count'!H1385="Y",IF('House Count'!F1385="COMM-SU",1,IF('House Count'!F1385="COM-MTU",1,IF('House Count'!F1385="ENT",1,0))),0)</f>
        <v>0</v>
      </c>
    </row>
    <row r="1386" spans="1:11" x14ac:dyDescent="0.25">
      <c r="H1386" s="192"/>
      <c r="I1386" s="773"/>
      <c r="J1386">
        <f>IF('House Count'!H1386="Y",IF('House Count'!F1386="RES-SFU",1,IF('House Count'!F1386="RES-MDU",1,IF('House Count'!F1386="RES-HOA",1,0))),0)</f>
        <v>0</v>
      </c>
      <c r="K1386">
        <f>IF('House Count'!H1386="Y",IF('House Count'!F1386="COMM-SU",1,IF('House Count'!F1386="COM-MTU",1,IF('House Count'!F1386="ENT",1,0))),0)</f>
        <v>0</v>
      </c>
    </row>
    <row r="1387" spans="1:11" x14ac:dyDescent="0.25">
      <c r="H1387" s="192"/>
      <c r="I1387" s="773"/>
      <c r="J1387">
        <f>IF('House Count'!H1387="Y",IF('House Count'!F1387="RES-SFU",1,IF('House Count'!F1387="RES-MDU",1,IF('House Count'!F1387="RES-HOA",1,0))),0)</f>
        <v>0</v>
      </c>
      <c r="K1387">
        <f>IF('House Count'!H1387="Y",IF('House Count'!F1387="COMM-SU",1,IF('House Count'!F1387="COM-MTU",1,IF('House Count'!F1387="ENT",1,0))),0)</f>
        <v>0</v>
      </c>
    </row>
    <row r="1388" spans="1:11" x14ac:dyDescent="0.25">
      <c r="H1388" s="192"/>
      <c r="I1388" s="773"/>
      <c r="J1388">
        <f>IF('House Count'!H1388="Y",IF('House Count'!F1388="RES-SFU",1,IF('House Count'!F1388="RES-MDU",1,IF('House Count'!F1388="RES-HOA",1,0))),0)</f>
        <v>0</v>
      </c>
      <c r="K1388">
        <f>IF('House Count'!H1388="Y",IF('House Count'!F1388="COMM-SU",1,IF('House Count'!F1388="COM-MTU",1,IF('House Count'!F1388="ENT",1,0))),0)</f>
        <v>0</v>
      </c>
    </row>
    <row r="1389" spans="1:11" x14ac:dyDescent="0.25">
      <c r="H1389" s="192"/>
      <c r="I1389" s="773"/>
      <c r="J1389">
        <f>IF('House Count'!H1389="Y",IF('House Count'!F1389="RES-SFU",1,IF('House Count'!F1389="RES-MDU",1,IF('House Count'!F1389="RES-HOA",1,0))),0)</f>
        <v>0</v>
      </c>
      <c r="K1389">
        <f>IF('House Count'!H1389="Y",IF('House Count'!F1389="COMM-SU",1,IF('House Count'!F1389="COM-MTU",1,IF('House Count'!F1389="ENT",1,0))),0)</f>
        <v>0</v>
      </c>
    </row>
    <row r="1390" spans="1:11" x14ac:dyDescent="0.25">
      <c r="H1390" s="192"/>
      <c r="I1390" s="773"/>
      <c r="J1390">
        <f>IF('House Count'!H1390="Y",IF('House Count'!F1390="RES-SFU",1,IF('House Count'!F1390="RES-MDU",1,IF('House Count'!F1390="RES-HOA",1,0))),0)</f>
        <v>0</v>
      </c>
      <c r="K1390">
        <f>IF('House Count'!H1390="Y",IF('House Count'!F1390="COMM-SU",1,IF('House Count'!F1390="COM-MTU",1,IF('House Count'!F1390="ENT",1,0))),0)</f>
        <v>0</v>
      </c>
    </row>
    <row r="1391" spans="1:11" x14ac:dyDescent="0.25">
      <c r="H1391" s="192"/>
      <c r="I1391" s="773"/>
      <c r="J1391">
        <f>IF('House Count'!H1391="Y",IF('House Count'!F1391="RES-SFU",1,IF('House Count'!F1391="RES-MDU",1,IF('House Count'!F1391="RES-HOA",1,0))),0)</f>
        <v>0</v>
      </c>
      <c r="K1391">
        <f>IF('House Count'!H1391="Y",IF('House Count'!F1391="COMM-SU",1,IF('House Count'!F1391="COM-MTU",1,IF('House Count'!F1391="ENT",1,0))),0)</f>
        <v>0</v>
      </c>
    </row>
    <row r="1392" spans="1:11" x14ac:dyDescent="0.25">
      <c r="H1392" s="192"/>
      <c r="I1392" s="773"/>
      <c r="J1392">
        <f>IF('House Count'!H1392="Y",IF('House Count'!F1392="RES-SFU",1,IF('House Count'!F1392="RES-MDU",1,IF('House Count'!F1392="RES-HOA",1,0))),0)</f>
        <v>0</v>
      </c>
      <c r="K1392">
        <f>IF('House Count'!H1392="Y",IF('House Count'!F1392="COMM-SU",1,IF('House Count'!F1392="COM-MTU",1,IF('House Count'!F1392="ENT",1,0))),0)</f>
        <v>0</v>
      </c>
    </row>
    <row r="1393" spans="1:11" ht="15.75" thickBot="1" x14ac:dyDescent="0.3">
      <c r="A1393" s="774"/>
      <c r="B1393" s="774"/>
      <c r="C1393" s="774"/>
      <c r="D1393" s="774"/>
      <c r="E1393" s="774"/>
      <c r="F1393" s="774"/>
      <c r="G1393" s="774"/>
      <c r="H1393" s="774"/>
      <c r="I1393" s="775"/>
      <c r="J1393">
        <f>IF('House Count'!H1393="Y",IF('House Count'!F1393="RES-SFU",1,IF('House Count'!F1393="RES-MDU",1,IF('House Count'!F1393="RES-HOA",1,0))),0)</f>
        <v>0</v>
      </c>
      <c r="K1393">
        <f>IF('House Count'!H1393="Y",IF('House Count'!F1393="COMM-SU",1,IF('House Count'!F1393="COM-MTU",1,IF('House Count'!F1393="ENT",1,0))),0)</f>
        <v>0</v>
      </c>
    </row>
    <row r="1394" spans="1:11" ht="15.75" thickTop="1" x14ac:dyDescent="0.25">
      <c r="H1394" s="192"/>
      <c r="I1394" s="773"/>
      <c r="J1394">
        <f>IF('House Count'!H1394="Y",IF('House Count'!F1394="RES-SFU",1,IF('House Count'!F1394="RES-MDU",1,IF('House Count'!F1394="RES-HOA",1,0))),0)</f>
        <v>0</v>
      </c>
      <c r="K1394">
        <f>IF('House Count'!H1394="Y",IF('House Count'!F1394="COMM-SU",1,IF('House Count'!F1394="COM-MTU",1,IF('House Count'!F1394="ENT",1,0))),0)</f>
        <v>0</v>
      </c>
    </row>
    <row r="1395" spans="1:11" x14ac:dyDescent="0.25">
      <c r="H1395" s="192"/>
      <c r="I1395" s="773"/>
      <c r="J1395">
        <f>IF('House Count'!H1395="Y",IF('House Count'!F1395="RES-SFU",1,IF('House Count'!F1395="RES-MDU",1,IF('House Count'!F1395="RES-HOA",1,0))),0)</f>
        <v>0</v>
      </c>
      <c r="K1395">
        <f>IF('House Count'!H1395="Y",IF('House Count'!F1395="COMM-SU",1,IF('House Count'!F1395="COM-MTU",1,IF('House Count'!F1395="ENT",1,0))),0)</f>
        <v>0</v>
      </c>
    </row>
    <row r="1396" spans="1:11" x14ac:dyDescent="0.25">
      <c r="H1396" s="192"/>
      <c r="I1396" s="773"/>
      <c r="J1396">
        <f>IF('House Count'!H1396="Y",IF('House Count'!F1396="RES-SFU",1,IF('House Count'!F1396="RES-MDU",1,IF('House Count'!F1396="RES-HOA",1,0))),0)</f>
        <v>0</v>
      </c>
      <c r="K1396">
        <f>IF('House Count'!H1396="Y",IF('House Count'!F1396="COMM-SU",1,IF('House Count'!F1396="COM-MTU",1,IF('House Count'!F1396="ENT",1,0))),0)</f>
        <v>0</v>
      </c>
    </row>
    <row r="1397" spans="1:11" x14ac:dyDescent="0.25">
      <c r="H1397" s="192"/>
      <c r="I1397" s="773"/>
      <c r="J1397">
        <f>IF('House Count'!H1397="Y",IF('House Count'!F1397="RES-SFU",1,IF('House Count'!F1397="RES-MDU",1,IF('House Count'!F1397="RES-HOA",1,0))),0)</f>
        <v>0</v>
      </c>
      <c r="K1397">
        <f>IF('House Count'!H1397="Y",IF('House Count'!F1397="COMM-SU",1,IF('House Count'!F1397="COM-MTU",1,IF('House Count'!F1397="ENT",1,0))),0)</f>
        <v>0</v>
      </c>
    </row>
    <row r="1398" spans="1:11" x14ac:dyDescent="0.25">
      <c r="H1398" s="192"/>
      <c r="I1398" s="773"/>
      <c r="J1398">
        <f>IF('House Count'!H1398="Y",IF('House Count'!F1398="RES-SFU",1,IF('House Count'!F1398="RES-MDU",1,IF('House Count'!F1398="RES-HOA",1,0))),0)</f>
        <v>0</v>
      </c>
      <c r="K1398">
        <f>IF('House Count'!H1398="Y",IF('House Count'!F1398="COMM-SU",1,IF('House Count'!F1398="COM-MTU",1,IF('House Count'!F1398="ENT",1,0))),0)</f>
        <v>0</v>
      </c>
    </row>
    <row r="1399" spans="1:11" x14ac:dyDescent="0.25">
      <c r="H1399" s="192"/>
      <c r="I1399" s="773"/>
      <c r="J1399">
        <f>IF('House Count'!H1399="Y",IF('House Count'!F1399="RES-SFU",1,IF('House Count'!F1399="RES-MDU",1,IF('House Count'!F1399="RES-HOA",1,0))),0)</f>
        <v>0</v>
      </c>
      <c r="K1399">
        <f>IF('House Count'!H1399="Y",IF('House Count'!F1399="COMM-SU",1,IF('House Count'!F1399="COM-MTU",1,IF('House Count'!F1399="ENT",1,0))),0)</f>
        <v>0</v>
      </c>
    </row>
    <row r="1400" spans="1:11" x14ac:dyDescent="0.25">
      <c r="H1400" s="192"/>
      <c r="I1400" s="773"/>
      <c r="J1400">
        <f>IF('House Count'!H1400="Y",IF('House Count'!F1400="RES-SFU",1,IF('House Count'!F1400="RES-MDU",1,IF('House Count'!F1400="RES-HOA",1,0))),0)</f>
        <v>0</v>
      </c>
      <c r="K1400">
        <f>IF('House Count'!H1400="Y",IF('House Count'!F1400="COMM-SU",1,IF('House Count'!F1400="COM-MTU",1,IF('House Count'!F1400="ENT",1,0))),0)</f>
        <v>0</v>
      </c>
    </row>
    <row r="1401" spans="1:11" x14ac:dyDescent="0.25">
      <c r="H1401" s="192"/>
      <c r="I1401" s="773"/>
      <c r="J1401">
        <f>IF('House Count'!H1401="Y",IF('House Count'!F1401="RES-SFU",1,IF('House Count'!F1401="RES-MDU",1,IF('House Count'!F1401="RES-HOA",1,0))),0)</f>
        <v>0</v>
      </c>
      <c r="K1401">
        <f>IF('House Count'!H1401="Y",IF('House Count'!F1401="COMM-SU",1,IF('House Count'!F1401="COM-MTU",1,IF('House Count'!F1401="ENT",1,0))),0)</f>
        <v>0</v>
      </c>
    </row>
    <row r="1402" spans="1:11" x14ac:dyDescent="0.25">
      <c r="H1402" s="192"/>
      <c r="I1402" s="773"/>
      <c r="J1402">
        <f>IF('House Count'!H1402="Y",IF('House Count'!F1402="RES-SFU",1,IF('House Count'!F1402="RES-MDU",1,IF('House Count'!F1402="RES-HOA",1,0))),0)</f>
        <v>0</v>
      </c>
      <c r="K1402">
        <f>IF('House Count'!H1402="Y",IF('House Count'!F1402="COMM-SU",1,IF('House Count'!F1402="COM-MTU",1,IF('House Count'!F1402="ENT",1,0))),0)</f>
        <v>0</v>
      </c>
    </row>
    <row r="1403" spans="1:11" x14ac:dyDescent="0.25">
      <c r="H1403" s="192"/>
      <c r="I1403" s="773"/>
      <c r="J1403">
        <f>IF('House Count'!H1403="Y",IF('House Count'!F1403="RES-SFU",1,IF('House Count'!F1403="RES-MDU",1,IF('House Count'!F1403="RES-HOA",1,0))),0)</f>
        <v>0</v>
      </c>
      <c r="K1403">
        <f>IF('House Count'!H1403="Y",IF('House Count'!F1403="COMM-SU",1,IF('House Count'!F1403="COM-MTU",1,IF('House Count'!F1403="ENT",1,0))),0)</f>
        <v>0</v>
      </c>
    </row>
    <row r="1404" spans="1:11" x14ac:dyDescent="0.25">
      <c r="H1404" s="192"/>
      <c r="I1404" s="773"/>
      <c r="J1404">
        <f>IF('House Count'!H1404="Y",IF('House Count'!F1404="RES-SFU",1,IF('House Count'!F1404="RES-MDU",1,IF('House Count'!F1404="RES-HOA",1,0))),0)</f>
        <v>0</v>
      </c>
      <c r="K1404">
        <f>IF('House Count'!H1404="Y",IF('House Count'!F1404="COMM-SU",1,IF('House Count'!F1404="COM-MTU",1,IF('House Count'!F1404="ENT",1,0))),0)</f>
        <v>0</v>
      </c>
    </row>
    <row r="1405" spans="1:11" ht="15.75" thickBot="1" x14ac:dyDescent="0.3">
      <c r="A1405" s="774"/>
      <c r="B1405" s="774"/>
      <c r="C1405" s="774"/>
      <c r="D1405" s="774"/>
      <c r="E1405" s="774"/>
      <c r="F1405" s="774"/>
      <c r="G1405" s="774"/>
      <c r="H1405" s="774"/>
      <c r="I1405" s="775"/>
      <c r="J1405">
        <f>IF('House Count'!H1405="Y",IF('House Count'!F1405="RES-SFU",1,IF('House Count'!F1405="RES-MDU",1,IF('House Count'!F1405="RES-HOA",1,0))),0)</f>
        <v>0</v>
      </c>
      <c r="K1405">
        <f>IF('House Count'!H1405="Y",IF('House Count'!F1405="COMM-SU",1,IF('House Count'!F1405="COM-MTU",1,IF('House Count'!F1405="ENT",1,0))),0)</f>
        <v>0</v>
      </c>
    </row>
    <row r="1406" spans="1:11" ht="15.75" thickTop="1" x14ac:dyDescent="0.25">
      <c r="H1406" s="192"/>
      <c r="I1406" s="773"/>
      <c r="J1406">
        <f>IF('House Count'!H1406="Y",IF('House Count'!F1406="RES-SFU",1,IF('House Count'!F1406="RES-MDU",1,IF('House Count'!F1406="RES-HOA",1,0))),0)</f>
        <v>0</v>
      </c>
      <c r="K1406">
        <f>IF('House Count'!H1406="Y",IF('House Count'!F1406="COMM-SU",1,IF('House Count'!F1406="COM-MTU",1,IF('House Count'!F1406="ENT",1,0))),0)</f>
        <v>0</v>
      </c>
    </row>
    <row r="1407" spans="1:11" x14ac:dyDescent="0.25">
      <c r="H1407" s="192"/>
      <c r="I1407" s="773"/>
      <c r="J1407">
        <f>IF('House Count'!H1407="Y",IF('House Count'!F1407="RES-SFU",1,IF('House Count'!F1407="RES-MDU",1,IF('House Count'!F1407="RES-HOA",1,0))),0)</f>
        <v>0</v>
      </c>
      <c r="K1407">
        <f>IF('House Count'!H1407="Y",IF('House Count'!F1407="COMM-SU",1,IF('House Count'!F1407="COM-MTU",1,IF('House Count'!F1407="ENT",1,0))),0)</f>
        <v>0</v>
      </c>
    </row>
    <row r="1408" spans="1:11" x14ac:dyDescent="0.25">
      <c r="H1408" s="192"/>
      <c r="I1408" s="773"/>
      <c r="J1408">
        <f>IF('House Count'!H1408="Y",IF('House Count'!F1408="RES-SFU",1,IF('House Count'!F1408="RES-MDU",1,IF('House Count'!F1408="RES-HOA",1,0))),0)</f>
        <v>0</v>
      </c>
      <c r="K1408">
        <f>IF('House Count'!H1408="Y",IF('House Count'!F1408="COMM-SU",1,IF('House Count'!F1408="COM-MTU",1,IF('House Count'!F1408="ENT",1,0))),0)</f>
        <v>0</v>
      </c>
    </row>
    <row r="1409" spans="1:11" x14ac:dyDescent="0.25">
      <c r="H1409" s="192"/>
      <c r="I1409" s="773"/>
      <c r="J1409">
        <f>IF('House Count'!H1409="Y",IF('House Count'!F1409="RES-SFU",1,IF('House Count'!F1409="RES-MDU",1,IF('House Count'!F1409="RES-HOA",1,0))),0)</f>
        <v>0</v>
      </c>
      <c r="K1409">
        <f>IF('House Count'!H1409="Y",IF('House Count'!F1409="COMM-SU",1,IF('House Count'!F1409="COM-MTU",1,IF('House Count'!F1409="ENT",1,0))),0)</f>
        <v>0</v>
      </c>
    </row>
    <row r="1410" spans="1:11" x14ac:dyDescent="0.25">
      <c r="H1410" s="192"/>
      <c r="I1410" s="773"/>
      <c r="J1410">
        <f>IF('House Count'!H1410="Y",IF('House Count'!F1410="RES-SFU",1,IF('House Count'!F1410="RES-MDU",1,IF('House Count'!F1410="RES-HOA",1,0))),0)</f>
        <v>0</v>
      </c>
      <c r="K1410">
        <f>IF('House Count'!H1410="Y",IF('House Count'!F1410="COMM-SU",1,IF('House Count'!F1410="COM-MTU",1,IF('House Count'!F1410="ENT",1,0))),0)</f>
        <v>0</v>
      </c>
    </row>
    <row r="1411" spans="1:11" x14ac:dyDescent="0.25">
      <c r="H1411" s="192"/>
      <c r="I1411" s="773"/>
      <c r="J1411">
        <f>IF('House Count'!H1411="Y",IF('House Count'!F1411="RES-SFU",1,IF('House Count'!F1411="RES-MDU",1,IF('House Count'!F1411="RES-HOA",1,0))),0)</f>
        <v>0</v>
      </c>
      <c r="K1411">
        <f>IF('House Count'!H1411="Y",IF('House Count'!F1411="COMM-SU",1,IF('House Count'!F1411="COM-MTU",1,IF('House Count'!F1411="ENT",1,0))),0)</f>
        <v>0</v>
      </c>
    </row>
    <row r="1412" spans="1:11" x14ac:dyDescent="0.25">
      <c r="H1412" s="192"/>
      <c r="I1412" s="773"/>
      <c r="J1412">
        <f>IF('House Count'!H1412="Y",IF('House Count'!F1412="RES-SFU",1,IF('House Count'!F1412="RES-MDU",1,IF('House Count'!F1412="RES-HOA",1,0))),0)</f>
        <v>0</v>
      </c>
      <c r="K1412">
        <f>IF('House Count'!H1412="Y",IF('House Count'!F1412="COMM-SU",1,IF('House Count'!F1412="COM-MTU",1,IF('House Count'!F1412="ENT",1,0))),0)</f>
        <v>0</v>
      </c>
    </row>
    <row r="1413" spans="1:11" x14ac:dyDescent="0.25">
      <c r="H1413" s="192"/>
      <c r="I1413" s="773"/>
      <c r="J1413">
        <f>IF('House Count'!H1413="Y",IF('House Count'!F1413="RES-SFU",1,IF('House Count'!F1413="RES-MDU",1,IF('House Count'!F1413="RES-HOA",1,0))),0)</f>
        <v>0</v>
      </c>
      <c r="K1413">
        <f>IF('House Count'!H1413="Y",IF('House Count'!F1413="COMM-SU",1,IF('House Count'!F1413="COM-MTU",1,IF('House Count'!F1413="ENT",1,0))),0)</f>
        <v>0</v>
      </c>
    </row>
    <row r="1414" spans="1:11" x14ac:dyDescent="0.25">
      <c r="H1414" s="192"/>
      <c r="I1414" s="773"/>
      <c r="J1414">
        <f>IF('House Count'!H1414="Y",IF('House Count'!F1414="RES-SFU",1,IF('House Count'!F1414="RES-MDU",1,IF('House Count'!F1414="RES-HOA",1,0))),0)</f>
        <v>0</v>
      </c>
      <c r="K1414">
        <f>IF('House Count'!H1414="Y",IF('House Count'!F1414="COMM-SU",1,IF('House Count'!F1414="COM-MTU",1,IF('House Count'!F1414="ENT",1,0))),0)</f>
        <v>0</v>
      </c>
    </row>
    <row r="1415" spans="1:11" x14ac:dyDescent="0.25">
      <c r="H1415" s="192"/>
      <c r="I1415" s="773"/>
      <c r="J1415">
        <f>IF('House Count'!H1415="Y",IF('House Count'!F1415="RES-SFU",1,IF('House Count'!F1415="RES-MDU",1,IF('House Count'!F1415="RES-HOA",1,0))),0)</f>
        <v>0</v>
      </c>
      <c r="K1415">
        <f>IF('House Count'!H1415="Y",IF('House Count'!F1415="COMM-SU",1,IF('House Count'!F1415="COM-MTU",1,IF('House Count'!F1415="ENT",1,0))),0)</f>
        <v>0</v>
      </c>
    </row>
    <row r="1416" spans="1:11" x14ac:dyDescent="0.25">
      <c r="H1416" s="192"/>
      <c r="I1416" s="773"/>
      <c r="J1416">
        <f>IF('House Count'!H1416="Y",IF('House Count'!F1416="RES-SFU",1,IF('House Count'!F1416="RES-MDU",1,IF('House Count'!F1416="RES-HOA",1,0))),0)</f>
        <v>0</v>
      </c>
      <c r="K1416">
        <f>IF('House Count'!H1416="Y",IF('House Count'!F1416="COMM-SU",1,IF('House Count'!F1416="COM-MTU",1,IF('House Count'!F1416="ENT",1,0))),0)</f>
        <v>0</v>
      </c>
    </row>
    <row r="1417" spans="1:11" ht="15.75" thickBot="1" x14ac:dyDescent="0.3">
      <c r="A1417" s="774"/>
      <c r="B1417" s="774"/>
      <c r="C1417" s="774"/>
      <c r="D1417" s="774"/>
      <c r="E1417" s="774"/>
      <c r="F1417" s="774"/>
      <c r="G1417" s="774"/>
      <c r="H1417" s="774"/>
      <c r="I1417" s="775"/>
      <c r="J1417">
        <f>IF('House Count'!H1417="Y",IF('House Count'!F1417="RES-SFU",1,IF('House Count'!F1417="RES-MDU",1,IF('House Count'!F1417="RES-HOA",1,0))),0)</f>
        <v>0</v>
      </c>
      <c r="K1417">
        <f>IF('House Count'!H1417="Y",IF('House Count'!F1417="COMM-SU",1,IF('House Count'!F1417="COM-MTU",1,IF('House Count'!F1417="ENT",1,0))),0)</f>
        <v>0</v>
      </c>
    </row>
    <row r="1418" spans="1:11" ht="15.75" thickTop="1" x14ac:dyDescent="0.25">
      <c r="H1418" s="192"/>
      <c r="I1418" s="773"/>
      <c r="J1418">
        <f>IF('House Count'!H1418="Y",IF('House Count'!F1418="RES-SFU",1,IF('House Count'!F1418="RES-MDU",1,IF('House Count'!F1418="RES-HOA",1,0))),0)</f>
        <v>0</v>
      </c>
      <c r="K1418">
        <f>IF('House Count'!H1418="Y",IF('House Count'!F1418="COMM-SU",1,IF('House Count'!F1418="COM-MTU",1,IF('House Count'!F1418="ENT",1,0))),0)</f>
        <v>0</v>
      </c>
    </row>
    <row r="1419" spans="1:11" x14ac:dyDescent="0.25">
      <c r="H1419" s="192"/>
      <c r="I1419" s="773"/>
      <c r="J1419">
        <f>IF('House Count'!H1419="Y",IF('House Count'!F1419="RES-SFU",1,IF('House Count'!F1419="RES-MDU",1,IF('House Count'!F1419="RES-HOA",1,0))),0)</f>
        <v>0</v>
      </c>
      <c r="K1419">
        <f>IF('House Count'!H1419="Y",IF('House Count'!F1419="COMM-SU",1,IF('House Count'!F1419="COM-MTU",1,IF('House Count'!F1419="ENT",1,0))),0)</f>
        <v>0</v>
      </c>
    </row>
    <row r="1420" spans="1:11" x14ac:dyDescent="0.25">
      <c r="H1420" s="192"/>
      <c r="I1420" s="773"/>
      <c r="J1420">
        <f>IF('House Count'!H1420="Y",IF('House Count'!F1420="RES-SFU",1,IF('House Count'!F1420="RES-MDU",1,IF('House Count'!F1420="RES-HOA",1,0))),0)</f>
        <v>0</v>
      </c>
      <c r="K1420">
        <f>IF('House Count'!H1420="Y",IF('House Count'!F1420="COMM-SU",1,IF('House Count'!F1420="COM-MTU",1,IF('House Count'!F1420="ENT",1,0))),0)</f>
        <v>0</v>
      </c>
    </row>
    <row r="1421" spans="1:11" x14ac:dyDescent="0.25">
      <c r="H1421" s="192"/>
      <c r="I1421" s="773"/>
      <c r="J1421">
        <f>IF('House Count'!H1421="Y",IF('House Count'!F1421="RES-SFU",1,IF('House Count'!F1421="RES-MDU",1,IF('House Count'!F1421="RES-HOA",1,0))),0)</f>
        <v>0</v>
      </c>
      <c r="K1421">
        <f>IF('House Count'!H1421="Y",IF('House Count'!F1421="COMM-SU",1,IF('House Count'!F1421="COM-MTU",1,IF('House Count'!F1421="ENT",1,0))),0)</f>
        <v>0</v>
      </c>
    </row>
    <row r="1422" spans="1:11" x14ac:dyDescent="0.25">
      <c r="H1422" s="192"/>
      <c r="I1422" s="773"/>
      <c r="J1422">
        <f>IF('House Count'!H1422="Y",IF('House Count'!F1422="RES-SFU",1,IF('House Count'!F1422="RES-MDU",1,IF('House Count'!F1422="RES-HOA",1,0))),0)</f>
        <v>0</v>
      </c>
      <c r="K1422">
        <f>IF('House Count'!H1422="Y",IF('House Count'!F1422="COMM-SU",1,IF('House Count'!F1422="COM-MTU",1,IF('House Count'!F1422="ENT",1,0))),0)</f>
        <v>0</v>
      </c>
    </row>
    <row r="1423" spans="1:11" x14ac:dyDescent="0.25">
      <c r="H1423" s="192"/>
      <c r="I1423" s="773"/>
      <c r="J1423">
        <f>IF('House Count'!H1423="Y",IF('House Count'!F1423="RES-SFU",1,IF('House Count'!F1423="RES-MDU",1,IF('House Count'!F1423="RES-HOA",1,0))),0)</f>
        <v>0</v>
      </c>
      <c r="K1423">
        <f>IF('House Count'!H1423="Y",IF('House Count'!F1423="COMM-SU",1,IF('House Count'!F1423="COM-MTU",1,IF('House Count'!F1423="ENT",1,0))),0)</f>
        <v>0</v>
      </c>
    </row>
    <row r="1424" spans="1:11" x14ac:dyDescent="0.25">
      <c r="H1424" s="192"/>
      <c r="I1424" s="773"/>
      <c r="J1424">
        <f>IF('House Count'!H1424="Y",IF('House Count'!F1424="RES-SFU",1,IF('House Count'!F1424="RES-MDU",1,IF('House Count'!F1424="RES-HOA",1,0))),0)</f>
        <v>0</v>
      </c>
      <c r="K1424">
        <f>IF('House Count'!H1424="Y",IF('House Count'!F1424="COMM-SU",1,IF('House Count'!F1424="COM-MTU",1,IF('House Count'!F1424="ENT",1,0))),0)</f>
        <v>0</v>
      </c>
    </row>
    <row r="1425" spans="1:11" x14ac:dyDescent="0.25">
      <c r="H1425" s="192"/>
      <c r="I1425" s="773"/>
      <c r="J1425">
        <f>IF('House Count'!H1425="Y",IF('House Count'!F1425="RES-SFU",1,IF('House Count'!F1425="RES-MDU",1,IF('House Count'!F1425="RES-HOA",1,0))),0)</f>
        <v>0</v>
      </c>
      <c r="K1425">
        <f>IF('House Count'!H1425="Y",IF('House Count'!F1425="COMM-SU",1,IF('House Count'!F1425="COM-MTU",1,IF('House Count'!F1425="ENT",1,0))),0)</f>
        <v>0</v>
      </c>
    </row>
    <row r="1426" spans="1:11" x14ac:dyDescent="0.25">
      <c r="H1426" s="192"/>
      <c r="I1426" s="773"/>
      <c r="J1426">
        <f>IF('House Count'!H1426="Y",IF('House Count'!F1426="RES-SFU",1,IF('House Count'!F1426="RES-MDU",1,IF('House Count'!F1426="RES-HOA",1,0))),0)</f>
        <v>0</v>
      </c>
      <c r="K1426">
        <f>IF('House Count'!H1426="Y",IF('House Count'!F1426="COMM-SU",1,IF('House Count'!F1426="COM-MTU",1,IF('House Count'!F1426="ENT",1,0))),0)</f>
        <v>0</v>
      </c>
    </row>
    <row r="1427" spans="1:11" x14ac:dyDescent="0.25">
      <c r="H1427" s="192"/>
      <c r="I1427" s="773"/>
      <c r="J1427">
        <f>IF('House Count'!H1427="Y",IF('House Count'!F1427="RES-SFU",1,IF('House Count'!F1427="RES-MDU",1,IF('House Count'!F1427="RES-HOA",1,0))),0)</f>
        <v>0</v>
      </c>
      <c r="K1427">
        <f>IF('House Count'!H1427="Y",IF('House Count'!F1427="COMM-SU",1,IF('House Count'!F1427="COM-MTU",1,IF('House Count'!F1427="ENT",1,0))),0)</f>
        <v>0</v>
      </c>
    </row>
    <row r="1428" spans="1:11" x14ac:dyDescent="0.25">
      <c r="H1428" s="192"/>
      <c r="I1428" s="773"/>
      <c r="J1428">
        <f>IF('House Count'!H1428="Y",IF('House Count'!F1428="RES-SFU",1,IF('House Count'!F1428="RES-MDU",1,IF('House Count'!F1428="RES-HOA",1,0))),0)</f>
        <v>0</v>
      </c>
      <c r="K1428">
        <f>IF('House Count'!H1428="Y",IF('House Count'!F1428="COMM-SU",1,IF('House Count'!F1428="COM-MTU",1,IF('House Count'!F1428="ENT",1,0))),0)</f>
        <v>0</v>
      </c>
    </row>
    <row r="1429" spans="1:11" ht="15.75" thickBot="1" x14ac:dyDescent="0.3">
      <c r="A1429" s="774"/>
      <c r="B1429" s="774"/>
      <c r="C1429" s="774"/>
      <c r="D1429" s="774"/>
      <c r="E1429" s="774"/>
      <c r="F1429" s="774"/>
      <c r="G1429" s="774"/>
      <c r="H1429" s="774"/>
      <c r="I1429" s="775"/>
      <c r="J1429">
        <f>IF('House Count'!H1429="Y",IF('House Count'!F1429="RES-SFU",1,IF('House Count'!F1429="RES-MDU",1,IF('House Count'!F1429="RES-HOA",1,0))),0)</f>
        <v>0</v>
      </c>
      <c r="K1429">
        <f>IF('House Count'!H1429="Y",IF('House Count'!F1429="COMM-SU",1,IF('House Count'!F1429="COM-MTU",1,IF('House Count'!F1429="ENT",1,0))),0)</f>
        <v>0</v>
      </c>
    </row>
    <row r="1430" spans="1:11" ht="15.75" thickTop="1" x14ac:dyDescent="0.25">
      <c r="H1430" s="192"/>
      <c r="I1430" s="773"/>
      <c r="J1430">
        <f>IF('House Count'!H1430="Y",IF('House Count'!F1430="RES-SFU",1,IF('House Count'!F1430="RES-MDU",1,IF('House Count'!F1430="RES-HOA",1,0))),0)</f>
        <v>0</v>
      </c>
      <c r="K1430">
        <f>IF('House Count'!H1430="Y",IF('House Count'!F1430="COMM-SU",1,IF('House Count'!F1430="COM-MTU",1,IF('House Count'!F1430="ENT",1,0))),0)</f>
        <v>0</v>
      </c>
    </row>
    <row r="1431" spans="1:11" x14ac:dyDescent="0.25">
      <c r="H1431" s="192"/>
      <c r="I1431" s="773"/>
      <c r="J1431">
        <f>IF('House Count'!H1431="Y",IF('House Count'!F1431="RES-SFU",1,IF('House Count'!F1431="RES-MDU",1,IF('House Count'!F1431="RES-HOA",1,0))),0)</f>
        <v>0</v>
      </c>
      <c r="K1431">
        <f>IF('House Count'!H1431="Y",IF('House Count'!F1431="COMM-SU",1,IF('House Count'!F1431="COM-MTU",1,IF('House Count'!F1431="ENT",1,0))),0)</f>
        <v>0</v>
      </c>
    </row>
    <row r="1432" spans="1:11" x14ac:dyDescent="0.25">
      <c r="H1432" s="192"/>
      <c r="I1432" s="773"/>
      <c r="J1432">
        <f>IF('House Count'!H1432="Y",IF('House Count'!F1432="RES-SFU",1,IF('House Count'!F1432="RES-MDU",1,IF('House Count'!F1432="RES-HOA",1,0))),0)</f>
        <v>0</v>
      </c>
      <c r="K1432">
        <f>IF('House Count'!H1432="Y",IF('House Count'!F1432="COMM-SU",1,IF('House Count'!F1432="COM-MTU",1,IF('House Count'!F1432="ENT",1,0))),0)</f>
        <v>0</v>
      </c>
    </row>
    <row r="1433" spans="1:11" x14ac:dyDescent="0.25">
      <c r="H1433" s="192"/>
      <c r="I1433" s="773"/>
      <c r="J1433">
        <f>IF('House Count'!H1433="Y",IF('House Count'!F1433="RES-SFU",1,IF('House Count'!F1433="RES-MDU",1,IF('House Count'!F1433="RES-HOA",1,0))),0)</f>
        <v>0</v>
      </c>
      <c r="K1433">
        <f>IF('House Count'!H1433="Y",IF('House Count'!F1433="COMM-SU",1,IF('House Count'!F1433="COM-MTU",1,IF('House Count'!F1433="ENT",1,0))),0)</f>
        <v>0</v>
      </c>
    </row>
    <row r="1434" spans="1:11" x14ac:dyDescent="0.25">
      <c r="H1434" s="192"/>
      <c r="I1434" s="773"/>
      <c r="J1434">
        <f>IF('House Count'!H1434="Y",IF('House Count'!F1434="RES-SFU",1,IF('House Count'!F1434="RES-MDU",1,IF('House Count'!F1434="RES-HOA",1,0))),0)</f>
        <v>0</v>
      </c>
      <c r="K1434">
        <f>IF('House Count'!H1434="Y",IF('House Count'!F1434="COMM-SU",1,IF('House Count'!F1434="COM-MTU",1,IF('House Count'!F1434="ENT",1,0))),0)</f>
        <v>0</v>
      </c>
    </row>
    <row r="1435" spans="1:11" x14ac:dyDescent="0.25">
      <c r="H1435" s="192"/>
      <c r="I1435" s="773"/>
      <c r="J1435">
        <f>IF('House Count'!H1435="Y",IF('House Count'!F1435="RES-SFU",1,IF('House Count'!F1435="RES-MDU",1,IF('House Count'!F1435="RES-HOA",1,0))),0)</f>
        <v>0</v>
      </c>
      <c r="K1435">
        <f>IF('House Count'!H1435="Y",IF('House Count'!F1435="COMM-SU",1,IF('House Count'!F1435="COM-MTU",1,IF('House Count'!F1435="ENT",1,0))),0)</f>
        <v>0</v>
      </c>
    </row>
    <row r="1436" spans="1:11" x14ac:dyDescent="0.25">
      <c r="H1436" s="192"/>
      <c r="I1436" s="773"/>
      <c r="J1436">
        <f>IF('House Count'!H1436="Y",IF('House Count'!F1436="RES-SFU",1,IF('House Count'!F1436="RES-MDU",1,IF('House Count'!F1436="RES-HOA",1,0))),0)</f>
        <v>0</v>
      </c>
      <c r="K1436">
        <f>IF('House Count'!H1436="Y",IF('House Count'!F1436="COMM-SU",1,IF('House Count'!F1436="COM-MTU",1,IF('House Count'!F1436="ENT",1,0))),0)</f>
        <v>0</v>
      </c>
    </row>
    <row r="1437" spans="1:11" x14ac:dyDescent="0.25">
      <c r="H1437" s="192"/>
      <c r="I1437" s="773"/>
      <c r="J1437">
        <f>IF('House Count'!H1437="Y",IF('House Count'!F1437="RES-SFU",1,IF('House Count'!F1437="RES-MDU",1,IF('House Count'!F1437="RES-HOA",1,0))),0)</f>
        <v>0</v>
      </c>
      <c r="K1437">
        <f>IF('House Count'!H1437="Y",IF('House Count'!F1437="COMM-SU",1,IF('House Count'!F1437="COM-MTU",1,IF('House Count'!F1437="ENT",1,0))),0)</f>
        <v>0</v>
      </c>
    </row>
    <row r="1438" spans="1:11" x14ac:dyDescent="0.25">
      <c r="H1438" s="192"/>
      <c r="I1438" s="773"/>
      <c r="J1438">
        <f>IF('House Count'!H1438="Y",IF('House Count'!F1438="RES-SFU",1,IF('House Count'!F1438="RES-MDU",1,IF('House Count'!F1438="RES-HOA",1,0))),0)</f>
        <v>0</v>
      </c>
      <c r="K1438">
        <f>IF('House Count'!H1438="Y",IF('House Count'!F1438="COMM-SU",1,IF('House Count'!F1438="COM-MTU",1,IF('House Count'!F1438="ENT",1,0))),0)</f>
        <v>0</v>
      </c>
    </row>
    <row r="1439" spans="1:11" x14ac:dyDescent="0.25">
      <c r="H1439" s="192"/>
      <c r="I1439" s="773"/>
      <c r="J1439">
        <f>IF('House Count'!H1439="Y",IF('House Count'!F1439="RES-SFU",1,IF('House Count'!F1439="RES-MDU",1,IF('House Count'!F1439="RES-HOA",1,0))),0)</f>
        <v>0</v>
      </c>
      <c r="K1439">
        <f>IF('House Count'!H1439="Y",IF('House Count'!F1439="COMM-SU",1,IF('House Count'!F1439="COM-MTU",1,IF('House Count'!F1439="ENT",1,0))),0)</f>
        <v>0</v>
      </c>
    </row>
    <row r="1440" spans="1:11" x14ac:dyDescent="0.25">
      <c r="H1440" s="192"/>
      <c r="I1440" s="773"/>
      <c r="J1440">
        <f>IF('House Count'!H1440="Y",IF('House Count'!F1440="RES-SFU",1,IF('House Count'!F1440="RES-MDU",1,IF('House Count'!F1440="RES-HOA",1,0))),0)</f>
        <v>0</v>
      </c>
      <c r="K1440">
        <f>IF('House Count'!H1440="Y",IF('House Count'!F1440="COMM-SU",1,IF('House Count'!F1440="COM-MTU",1,IF('House Count'!F1440="ENT",1,0))),0)</f>
        <v>0</v>
      </c>
    </row>
    <row r="1441" spans="1:11" ht="15.75" thickBot="1" x14ac:dyDescent="0.3">
      <c r="A1441" s="774"/>
      <c r="B1441" s="774"/>
      <c r="C1441" s="774"/>
      <c r="D1441" s="774"/>
      <c r="E1441" s="774"/>
      <c r="F1441" s="774"/>
      <c r="G1441" s="774"/>
      <c r="H1441" s="774"/>
      <c r="I1441" s="775"/>
      <c r="J1441">
        <f>IF('House Count'!H1441="Y",IF('House Count'!F1441="RES-SFU",1,IF('House Count'!F1441="RES-MDU",1,IF('House Count'!F1441="RES-HOA",1,0))),0)</f>
        <v>0</v>
      </c>
      <c r="K1441">
        <f>IF('House Count'!H1441="Y",IF('House Count'!F1441="COMM-SU",1,IF('House Count'!F1441="COM-MTU",1,IF('House Count'!F1441="ENT",1,0))),0)</f>
        <v>0</v>
      </c>
    </row>
    <row r="1442" spans="1:11" ht="15.75" thickTop="1" x14ac:dyDescent="0.25">
      <c r="H1442" s="192"/>
      <c r="I1442" s="773"/>
      <c r="J1442">
        <f>IF('House Count'!H1442="Y",IF('House Count'!F1442="RES-SFU",1,IF('House Count'!F1442="RES-MDU",1,IF('House Count'!F1442="RES-HOA",1,0))),0)</f>
        <v>0</v>
      </c>
      <c r="K1442">
        <f>IF('House Count'!H1442="Y",IF('House Count'!F1442="COMM-SU",1,IF('House Count'!F1442="COM-MTU",1,IF('House Count'!F1442="ENT",1,0))),0)</f>
        <v>0</v>
      </c>
    </row>
    <row r="1443" spans="1:11" x14ac:dyDescent="0.25">
      <c r="H1443" s="192"/>
      <c r="I1443" s="773"/>
      <c r="J1443">
        <f>IF('House Count'!H1443="Y",IF('House Count'!F1443="RES-SFU",1,IF('House Count'!F1443="RES-MDU",1,IF('House Count'!F1443="RES-HOA",1,0))),0)</f>
        <v>0</v>
      </c>
      <c r="K1443">
        <f>IF('House Count'!H1443="Y",IF('House Count'!F1443="COMM-SU",1,IF('House Count'!F1443="COM-MTU",1,IF('House Count'!F1443="ENT",1,0))),0)</f>
        <v>0</v>
      </c>
    </row>
    <row r="1444" spans="1:11" x14ac:dyDescent="0.25">
      <c r="H1444" s="192"/>
      <c r="I1444" s="773"/>
      <c r="J1444">
        <f>IF('House Count'!H1444="Y",IF('House Count'!F1444="RES-SFU",1,IF('House Count'!F1444="RES-MDU",1,IF('House Count'!F1444="RES-HOA",1,0))),0)</f>
        <v>0</v>
      </c>
      <c r="K1444">
        <f>IF('House Count'!H1444="Y",IF('House Count'!F1444="COMM-SU",1,IF('House Count'!F1444="COM-MTU",1,IF('House Count'!F1444="ENT",1,0))),0)</f>
        <v>0</v>
      </c>
    </row>
    <row r="1445" spans="1:11" x14ac:dyDescent="0.25">
      <c r="H1445" s="192"/>
      <c r="I1445" s="773"/>
      <c r="J1445">
        <f>IF('House Count'!H1445="Y",IF('House Count'!F1445="RES-SFU",1,IF('House Count'!F1445="RES-MDU",1,IF('House Count'!F1445="RES-HOA",1,0))),0)</f>
        <v>0</v>
      </c>
      <c r="K1445">
        <f>IF('House Count'!H1445="Y",IF('House Count'!F1445="COMM-SU",1,IF('House Count'!F1445="COM-MTU",1,IF('House Count'!F1445="ENT",1,0))),0)</f>
        <v>0</v>
      </c>
    </row>
    <row r="1446" spans="1:11" x14ac:dyDescent="0.25">
      <c r="H1446" s="192"/>
      <c r="I1446" s="773"/>
      <c r="J1446">
        <f>IF('House Count'!H1446="Y",IF('House Count'!F1446="RES-SFU",1,IF('House Count'!F1446="RES-MDU",1,IF('House Count'!F1446="RES-HOA",1,0))),0)</f>
        <v>0</v>
      </c>
      <c r="K1446">
        <f>IF('House Count'!H1446="Y",IF('House Count'!F1446="COMM-SU",1,IF('House Count'!F1446="COM-MTU",1,IF('House Count'!F1446="ENT",1,0))),0)</f>
        <v>0</v>
      </c>
    </row>
    <row r="1447" spans="1:11" x14ac:dyDescent="0.25">
      <c r="H1447" s="192"/>
      <c r="I1447" s="773"/>
      <c r="J1447">
        <f>IF('House Count'!H1447="Y",IF('House Count'!F1447="RES-SFU",1,IF('House Count'!F1447="RES-MDU",1,IF('House Count'!F1447="RES-HOA",1,0))),0)</f>
        <v>0</v>
      </c>
      <c r="K1447">
        <f>IF('House Count'!H1447="Y",IF('House Count'!F1447="COMM-SU",1,IF('House Count'!F1447="COM-MTU",1,IF('House Count'!F1447="ENT",1,0))),0)</f>
        <v>0</v>
      </c>
    </row>
    <row r="1448" spans="1:11" x14ac:dyDescent="0.25">
      <c r="H1448" s="192"/>
      <c r="I1448" s="773"/>
      <c r="J1448">
        <f>IF('House Count'!H1448="Y",IF('House Count'!F1448="RES-SFU",1,IF('House Count'!F1448="RES-MDU",1,IF('House Count'!F1448="RES-HOA",1,0))),0)</f>
        <v>0</v>
      </c>
      <c r="K1448">
        <f>IF('House Count'!H1448="Y",IF('House Count'!F1448="COMM-SU",1,IF('House Count'!F1448="COM-MTU",1,IF('House Count'!F1448="ENT",1,0))),0)</f>
        <v>0</v>
      </c>
    </row>
    <row r="1449" spans="1:11" x14ac:dyDescent="0.25">
      <c r="H1449" s="192"/>
      <c r="I1449" s="773"/>
      <c r="J1449">
        <f>IF('House Count'!H1449="Y",IF('House Count'!F1449="RES-SFU",1,IF('House Count'!F1449="RES-MDU",1,IF('House Count'!F1449="RES-HOA",1,0))),0)</f>
        <v>0</v>
      </c>
      <c r="K1449">
        <f>IF('House Count'!H1449="Y",IF('House Count'!F1449="COMM-SU",1,IF('House Count'!F1449="COM-MTU",1,IF('House Count'!F1449="ENT",1,0))),0)</f>
        <v>0</v>
      </c>
    </row>
    <row r="1450" spans="1:11" x14ac:dyDescent="0.25">
      <c r="H1450" s="192"/>
      <c r="I1450" s="773"/>
      <c r="J1450">
        <f>IF('House Count'!H1450="Y",IF('House Count'!F1450="RES-SFU",1,IF('House Count'!F1450="RES-MDU",1,IF('House Count'!F1450="RES-HOA",1,0))),0)</f>
        <v>0</v>
      </c>
      <c r="K1450">
        <f>IF('House Count'!H1450="Y",IF('House Count'!F1450="COMM-SU",1,IF('House Count'!F1450="COM-MTU",1,IF('House Count'!F1450="ENT",1,0))),0)</f>
        <v>0</v>
      </c>
    </row>
    <row r="1451" spans="1:11" x14ac:dyDescent="0.25">
      <c r="H1451" s="192"/>
      <c r="I1451" s="773"/>
      <c r="J1451">
        <f>IF('House Count'!H1451="Y",IF('House Count'!F1451="RES-SFU",1,IF('House Count'!F1451="RES-MDU",1,IF('House Count'!F1451="RES-HOA",1,0))),0)</f>
        <v>0</v>
      </c>
      <c r="K1451">
        <f>IF('House Count'!H1451="Y",IF('House Count'!F1451="COMM-SU",1,IF('House Count'!F1451="COM-MTU",1,IF('House Count'!F1451="ENT",1,0))),0)</f>
        <v>0</v>
      </c>
    </row>
    <row r="1452" spans="1:11" x14ac:dyDescent="0.25">
      <c r="H1452" s="192"/>
      <c r="I1452" s="773"/>
      <c r="J1452">
        <f>IF('House Count'!H1452="Y",IF('House Count'!F1452="RES-SFU",1,IF('House Count'!F1452="RES-MDU",1,IF('House Count'!F1452="RES-HOA",1,0))),0)</f>
        <v>0</v>
      </c>
      <c r="K1452">
        <f>IF('House Count'!H1452="Y",IF('House Count'!F1452="COMM-SU",1,IF('House Count'!F1452="COM-MTU",1,IF('House Count'!F1452="ENT",1,0))),0)</f>
        <v>0</v>
      </c>
    </row>
    <row r="1453" spans="1:11" ht="15.75" thickBot="1" x14ac:dyDescent="0.3">
      <c r="A1453" s="774"/>
      <c r="B1453" s="774"/>
      <c r="C1453" s="774"/>
      <c r="D1453" s="774"/>
      <c r="E1453" s="774"/>
      <c r="F1453" s="774"/>
      <c r="G1453" s="774"/>
      <c r="H1453" s="774"/>
      <c r="I1453" s="775"/>
      <c r="J1453">
        <f>IF('House Count'!H1453="Y",IF('House Count'!F1453="RES-SFU",1,IF('House Count'!F1453="RES-MDU",1,IF('House Count'!F1453="RES-HOA",1,0))),0)</f>
        <v>0</v>
      </c>
      <c r="K1453">
        <f>IF('House Count'!H1453="Y",IF('House Count'!F1453="COMM-SU",1,IF('House Count'!F1453="COM-MTU",1,IF('House Count'!F1453="ENT",1,0))),0)</f>
        <v>0</v>
      </c>
    </row>
    <row r="1454" spans="1:11" ht="15.75" thickTop="1" x14ac:dyDescent="0.25">
      <c r="H1454" s="192"/>
      <c r="I1454" s="773"/>
      <c r="J1454">
        <f>IF('House Count'!H1454="Y",IF('House Count'!F1454="RES-SFU",1,IF('House Count'!F1454="RES-MDU",1,IF('House Count'!F1454="RES-HOA",1,0))),0)</f>
        <v>0</v>
      </c>
      <c r="K1454">
        <f>IF('House Count'!H1454="Y",IF('House Count'!F1454="COMM-SU",1,IF('House Count'!F1454="COM-MTU",1,IF('House Count'!F1454="ENT",1,0))),0)</f>
        <v>0</v>
      </c>
    </row>
    <row r="1455" spans="1:11" x14ac:dyDescent="0.25">
      <c r="H1455" s="192"/>
      <c r="I1455" s="773"/>
      <c r="J1455">
        <f>IF('House Count'!H1455="Y",IF('House Count'!F1455="RES-SFU",1,IF('House Count'!F1455="RES-MDU",1,IF('House Count'!F1455="RES-HOA",1,0))),0)</f>
        <v>0</v>
      </c>
      <c r="K1455">
        <f>IF('House Count'!H1455="Y",IF('House Count'!F1455="COMM-SU",1,IF('House Count'!F1455="COM-MTU",1,IF('House Count'!F1455="ENT",1,0))),0)</f>
        <v>0</v>
      </c>
    </row>
    <row r="1456" spans="1:11" x14ac:dyDescent="0.25">
      <c r="H1456" s="192"/>
      <c r="I1456" s="773"/>
      <c r="J1456">
        <f>IF('House Count'!H1456="Y",IF('House Count'!F1456="RES-SFU",1,IF('House Count'!F1456="RES-MDU",1,IF('House Count'!F1456="RES-HOA",1,0))),0)</f>
        <v>0</v>
      </c>
      <c r="K1456">
        <f>IF('House Count'!H1456="Y",IF('House Count'!F1456="COMM-SU",1,IF('House Count'!F1456="COM-MTU",1,IF('House Count'!F1456="ENT",1,0))),0)</f>
        <v>0</v>
      </c>
    </row>
    <row r="1457" spans="1:11" x14ac:dyDescent="0.25">
      <c r="H1457" s="192"/>
      <c r="I1457" s="773"/>
      <c r="J1457">
        <f>IF('House Count'!H1457="Y",IF('House Count'!F1457="RES-SFU",1,IF('House Count'!F1457="RES-MDU",1,IF('House Count'!F1457="RES-HOA",1,0))),0)</f>
        <v>0</v>
      </c>
      <c r="K1457">
        <f>IF('House Count'!H1457="Y",IF('House Count'!F1457="COMM-SU",1,IF('House Count'!F1457="COM-MTU",1,IF('House Count'!F1457="ENT",1,0))),0)</f>
        <v>0</v>
      </c>
    </row>
    <row r="1458" spans="1:11" x14ac:dyDescent="0.25">
      <c r="H1458" s="192"/>
      <c r="I1458" s="773"/>
      <c r="J1458">
        <f>IF('House Count'!H1458="Y",IF('House Count'!F1458="RES-SFU",1,IF('House Count'!F1458="RES-MDU",1,IF('House Count'!F1458="RES-HOA",1,0))),0)</f>
        <v>0</v>
      </c>
      <c r="K1458">
        <f>IF('House Count'!H1458="Y",IF('House Count'!F1458="COMM-SU",1,IF('House Count'!F1458="COM-MTU",1,IF('House Count'!F1458="ENT",1,0))),0)</f>
        <v>0</v>
      </c>
    </row>
    <row r="1459" spans="1:11" x14ac:dyDescent="0.25">
      <c r="H1459" s="192"/>
      <c r="I1459" s="773"/>
      <c r="J1459">
        <f>IF('House Count'!H1459="Y",IF('House Count'!F1459="RES-SFU",1,IF('House Count'!F1459="RES-MDU",1,IF('House Count'!F1459="RES-HOA",1,0))),0)</f>
        <v>0</v>
      </c>
      <c r="K1459">
        <f>IF('House Count'!H1459="Y",IF('House Count'!F1459="COMM-SU",1,IF('House Count'!F1459="COM-MTU",1,IF('House Count'!F1459="ENT",1,0))),0)</f>
        <v>0</v>
      </c>
    </row>
    <row r="1460" spans="1:11" x14ac:dyDescent="0.25">
      <c r="H1460" s="192"/>
      <c r="I1460" s="773"/>
      <c r="J1460">
        <f>IF('House Count'!H1460="Y",IF('House Count'!F1460="RES-SFU",1,IF('House Count'!F1460="RES-MDU",1,IF('House Count'!F1460="RES-HOA",1,0))),0)</f>
        <v>0</v>
      </c>
      <c r="K1460">
        <f>IF('House Count'!H1460="Y",IF('House Count'!F1460="COMM-SU",1,IF('House Count'!F1460="COM-MTU",1,IF('House Count'!F1460="ENT",1,0))),0)</f>
        <v>0</v>
      </c>
    </row>
    <row r="1461" spans="1:11" x14ac:dyDescent="0.25">
      <c r="H1461" s="192"/>
      <c r="I1461" s="773"/>
      <c r="J1461">
        <f>IF('House Count'!H1461="Y",IF('House Count'!F1461="RES-SFU",1,IF('House Count'!F1461="RES-MDU",1,IF('House Count'!F1461="RES-HOA",1,0))),0)</f>
        <v>0</v>
      </c>
      <c r="K1461">
        <f>IF('House Count'!H1461="Y",IF('House Count'!F1461="COMM-SU",1,IF('House Count'!F1461="COM-MTU",1,IF('House Count'!F1461="ENT",1,0))),0)</f>
        <v>0</v>
      </c>
    </row>
    <row r="1462" spans="1:11" x14ac:dyDescent="0.25">
      <c r="H1462" s="192"/>
      <c r="I1462" s="773"/>
      <c r="J1462">
        <f>IF('House Count'!H1462="Y",IF('House Count'!F1462="RES-SFU",1,IF('House Count'!F1462="RES-MDU",1,IF('House Count'!F1462="RES-HOA",1,0))),0)</f>
        <v>0</v>
      </c>
      <c r="K1462">
        <f>IF('House Count'!H1462="Y",IF('House Count'!F1462="COMM-SU",1,IF('House Count'!F1462="COM-MTU",1,IF('House Count'!F1462="ENT",1,0))),0)</f>
        <v>0</v>
      </c>
    </row>
    <row r="1463" spans="1:11" x14ac:dyDescent="0.25">
      <c r="H1463" s="192"/>
      <c r="I1463" s="773"/>
      <c r="J1463">
        <f>IF('House Count'!H1463="Y",IF('House Count'!F1463="RES-SFU",1,IF('House Count'!F1463="RES-MDU",1,IF('House Count'!F1463="RES-HOA",1,0))),0)</f>
        <v>0</v>
      </c>
      <c r="K1463">
        <f>IF('House Count'!H1463="Y",IF('House Count'!F1463="COMM-SU",1,IF('House Count'!F1463="COM-MTU",1,IF('House Count'!F1463="ENT",1,0))),0)</f>
        <v>0</v>
      </c>
    </row>
    <row r="1464" spans="1:11" x14ac:dyDescent="0.25">
      <c r="H1464" s="192"/>
      <c r="I1464" s="773"/>
      <c r="J1464">
        <f>IF('House Count'!H1464="Y",IF('House Count'!F1464="RES-SFU",1,IF('House Count'!F1464="RES-MDU",1,IF('House Count'!F1464="RES-HOA",1,0))),0)</f>
        <v>0</v>
      </c>
      <c r="K1464">
        <f>IF('House Count'!H1464="Y",IF('House Count'!F1464="COMM-SU",1,IF('House Count'!F1464="COM-MTU",1,IF('House Count'!F1464="ENT",1,0))),0)</f>
        <v>0</v>
      </c>
    </row>
    <row r="1465" spans="1:11" ht="15.75" thickBot="1" x14ac:dyDescent="0.3">
      <c r="A1465" s="774"/>
      <c r="B1465" s="774"/>
      <c r="C1465" s="774"/>
      <c r="D1465" s="774"/>
      <c r="E1465" s="774"/>
      <c r="F1465" s="774"/>
      <c r="G1465" s="774"/>
      <c r="H1465" s="774"/>
      <c r="I1465" s="775"/>
      <c r="J1465">
        <f>IF('House Count'!H1465="Y",IF('House Count'!F1465="RES-SFU",1,IF('House Count'!F1465="RES-MDU",1,IF('House Count'!F1465="RES-HOA",1,0))),0)</f>
        <v>0</v>
      </c>
      <c r="K1465">
        <f>IF('House Count'!H1465="Y",IF('House Count'!F1465="COMM-SU",1,IF('House Count'!F1465="COM-MTU",1,IF('House Count'!F1465="ENT",1,0))),0)</f>
        <v>0</v>
      </c>
    </row>
    <row r="1466" spans="1:11" ht="15.75" thickTop="1" x14ac:dyDescent="0.25">
      <c r="H1466" s="192"/>
      <c r="I1466" s="773"/>
      <c r="J1466">
        <f>IF('House Count'!H1466="Y",IF('House Count'!F1466="RES-SFU",1,IF('House Count'!F1466="RES-MDU",1,IF('House Count'!F1466="RES-HOA",1,0))),0)</f>
        <v>0</v>
      </c>
      <c r="K1466">
        <f>IF('House Count'!H1466="Y",IF('House Count'!F1466="COMM-SU",1,IF('House Count'!F1466="COM-MTU",1,IF('House Count'!F1466="ENT",1,0))),0)</f>
        <v>0</v>
      </c>
    </row>
    <row r="1467" spans="1:11" x14ac:dyDescent="0.25">
      <c r="H1467" s="192"/>
      <c r="I1467" s="773"/>
      <c r="J1467">
        <f>IF('House Count'!H1467="Y",IF('House Count'!F1467="RES-SFU",1,IF('House Count'!F1467="RES-MDU",1,IF('House Count'!F1467="RES-HOA",1,0))),0)</f>
        <v>0</v>
      </c>
      <c r="K1467">
        <f>IF('House Count'!H1467="Y",IF('House Count'!F1467="COMM-SU",1,IF('House Count'!F1467="COM-MTU",1,IF('House Count'!F1467="ENT",1,0))),0)</f>
        <v>0</v>
      </c>
    </row>
    <row r="1468" spans="1:11" x14ac:dyDescent="0.25">
      <c r="H1468" s="192"/>
      <c r="I1468" s="773"/>
      <c r="J1468">
        <f>IF('House Count'!H1468="Y",IF('House Count'!F1468="RES-SFU",1,IF('House Count'!F1468="RES-MDU",1,IF('House Count'!F1468="RES-HOA",1,0))),0)</f>
        <v>0</v>
      </c>
      <c r="K1468">
        <f>IF('House Count'!H1468="Y",IF('House Count'!F1468="COMM-SU",1,IF('House Count'!F1468="COM-MTU",1,IF('House Count'!F1468="ENT",1,0))),0)</f>
        <v>0</v>
      </c>
    </row>
    <row r="1469" spans="1:11" x14ac:dyDescent="0.25">
      <c r="H1469" s="192"/>
      <c r="I1469" s="773"/>
      <c r="J1469">
        <f>IF('House Count'!H1469="Y",IF('House Count'!F1469="RES-SFU",1,IF('House Count'!F1469="RES-MDU",1,IF('House Count'!F1469="RES-HOA",1,0))),0)</f>
        <v>0</v>
      </c>
      <c r="K1469">
        <f>IF('House Count'!H1469="Y",IF('House Count'!F1469="COMM-SU",1,IF('House Count'!F1469="COM-MTU",1,IF('House Count'!F1469="ENT",1,0))),0)</f>
        <v>0</v>
      </c>
    </row>
    <row r="1470" spans="1:11" x14ac:dyDescent="0.25">
      <c r="H1470" s="192"/>
      <c r="I1470" s="773"/>
      <c r="J1470">
        <f>IF('House Count'!H1470="Y",IF('House Count'!F1470="RES-SFU",1,IF('House Count'!F1470="RES-MDU",1,IF('House Count'!F1470="RES-HOA",1,0))),0)</f>
        <v>0</v>
      </c>
      <c r="K1470">
        <f>IF('House Count'!H1470="Y",IF('House Count'!F1470="COMM-SU",1,IF('House Count'!F1470="COM-MTU",1,IF('House Count'!F1470="ENT",1,0))),0)</f>
        <v>0</v>
      </c>
    </row>
    <row r="1471" spans="1:11" x14ac:dyDescent="0.25">
      <c r="H1471" s="192"/>
      <c r="I1471" s="773"/>
      <c r="J1471">
        <f>IF('House Count'!H1471="Y",IF('House Count'!F1471="RES-SFU",1,IF('House Count'!F1471="RES-MDU",1,IF('House Count'!F1471="RES-HOA",1,0))),0)</f>
        <v>0</v>
      </c>
      <c r="K1471">
        <f>IF('House Count'!H1471="Y",IF('House Count'!F1471="COMM-SU",1,IF('House Count'!F1471="COM-MTU",1,IF('House Count'!F1471="ENT",1,0))),0)</f>
        <v>0</v>
      </c>
    </row>
    <row r="1472" spans="1:11" x14ac:dyDescent="0.25">
      <c r="H1472" s="192"/>
      <c r="I1472" s="773"/>
      <c r="J1472">
        <f>IF('House Count'!H1472="Y",IF('House Count'!F1472="RES-SFU",1,IF('House Count'!F1472="RES-MDU",1,IF('House Count'!F1472="RES-HOA",1,0))),0)</f>
        <v>0</v>
      </c>
      <c r="K1472">
        <f>IF('House Count'!H1472="Y",IF('House Count'!F1472="COMM-SU",1,IF('House Count'!F1472="COM-MTU",1,IF('House Count'!F1472="ENT",1,0))),0)</f>
        <v>0</v>
      </c>
    </row>
    <row r="1473" spans="1:11" x14ac:dyDescent="0.25">
      <c r="H1473" s="192"/>
      <c r="I1473" s="773"/>
      <c r="J1473">
        <f>IF('House Count'!H1473="Y",IF('House Count'!F1473="RES-SFU",1,IF('House Count'!F1473="RES-MDU",1,IF('House Count'!F1473="RES-HOA",1,0))),0)</f>
        <v>0</v>
      </c>
      <c r="K1473">
        <f>IF('House Count'!H1473="Y",IF('House Count'!F1473="COMM-SU",1,IF('House Count'!F1473="COM-MTU",1,IF('House Count'!F1473="ENT",1,0))),0)</f>
        <v>0</v>
      </c>
    </row>
    <row r="1474" spans="1:11" x14ac:dyDescent="0.25">
      <c r="H1474" s="192"/>
      <c r="I1474" s="773"/>
      <c r="J1474">
        <f>IF('House Count'!H1474="Y",IF('House Count'!F1474="RES-SFU",1,IF('House Count'!F1474="RES-MDU",1,IF('House Count'!F1474="RES-HOA",1,0))),0)</f>
        <v>0</v>
      </c>
      <c r="K1474">
        <f>IF('House Count'!H1474="Y",IF('House Count'!F1474="COMM-SU",1,IF('House Count'!F1474="COM-MTU",1,IF('House Count'!F1474="ENT",1,0))),0)</f>
        <v>0</v>
      </c>
    </row>
    <row r="1475" spans="1:11" x14ac:dyDescent="0.25">
      <c r="H1475" s="192"/>
      <c r="I1475" s="773"/>
      <c r="J1475">
        <f>IF('House Count'!H1475="Y",IF('House Count'!F1475="RES-SFU",1,IF('House Count'!F1475="RES-MDU",1,IF('House Count'!F1475="RES-HOA",1,0))),0)</f>
        <v>0</v>
      </c>
      <c r="K1475">
        <f>IF('House Count'!H1475="Y",IF('House Count'!F1475="COMM-SU",1,IF('House Count'!F1475="COM-MTU",1,IF('House Count'!F1475="ENT",1,0))),0)</f>
        <v>0</v>
      </c>
    </row>
    <row r="1476" spans="1:11" x14ac:dyDescent="0.25">
      <c r="H1476" s="192"/>
      <c r="I1476" s="773"/>
      <c r="J1476">
        <f>IF('House Count'!H1476="Y",IF('House Count'!F1476="RES-SFU",1,IF('House Count'!F1476="RES-MDU",1,IF('House Count'!F1476="RES-HOA",1,0))),0)</f>
        <v>0</v>
      </c>
      <c r="K1476">
        <f>IF('House Count'!H1476="Y",IF('House Count'!F1476="COMM-SU",1,IF('House Count'!F1476="COM-MTU",1,IF('House Count'!F1476="ENT",1,0))),0)</f>
        <v>0</v>
      </c>
    </row>
    <row r="1477" spans="1:11" ht="15.75" thickBot="1" x14ac:dyDescent="0.3">
      <c r="A1477" s="774"/>
      <c r="B1477" s="774"/>
      <c r="C1477" s="774"/>
      <c r="D1477" s="774"/>
      <c r="E1477" s="774"/>
      <c r="F1477" s="774"/>
      <c r="G1477" s="774"/>
      <c r="H1477" s="774"/>
      <c r="I1477" s="775"/>
      <c r="J1477">
        <f>IF('House Count'!H1477="Y",IF('House Count'!F1477="RES-SFU",1,IF('House Count'!F1477="RES-MDU",1,IF('House Count'!F1477="RES-HOA",1,0))),0)</f>
        <v>0</v>
      </c>
      <c r="K1477">
        <f>IF('House Count'!H1477="Y",IF('House Count'!F1477="COMM-SU",1,IF('House Count'!F1477="COM-MTU",1,IF('House Count'!F1477="ENT",1,0))),0)</f>
        <v>0</v>
      </c>
    </row>
    <row r="1478" spans="1:11" ht="15.75" thickTop="1" x14ac:dyDescent="0.25">
      <c r="H1478" s="192"/>
      <c r="I1478" s="773"/>
      <c r="J1478">
        <f>IF('House Count'!H1478="Y",IF('House Count'!F1478="RES-SFU",1,IF('House Count'!F1478="RES-MDU",1,IF('House Count'!F1478="RES-HOA",1,0))),0)</f>
        <v>0</v>
      </c>
      <c r="K1478">
        <f>IF('House Count'!H1478="Y",IF('House Count'!F1478="COMM-SU",1,IF('House Count'!F1478="COM-MTU",1,IF('House Count'!F1478="ENT",1,0))),0)</f>
        <v>0</v>
      </c>
    </row>
    <row r="1479" spans="1:11" x14ac:dyDescent="0.25">
      <c r="H1479" s="192"/>
      <c r="I1479" s="773"/>
      <c r="J1479">
        <f>IF('House Count'!H1479="Y",IF('House Count'!F1479="RES-SFU",1,IF('House Count'!F1479="RES-MDU",1,IF('House Count'!F1479="RES-HOA",1,0))),0)</f>
        <v>0</v>
      </c>
      <c r="K1479">
        <f>IF('House Count'!H1479="Y",IF('House Count'!F1479="COMM-SU",1,IF('House Count'!F1479="COM-MTU",1,IF('House Count'!F1479="ENT",1,0))),0)</f>
        <v>0</v>
      </c>
    </row>
    <row r="1480" spans="1:11" x14ac:dyDescent="0.25">
      <c r="H1480" s="192"/>
      <c r="I1480" s="773"/>
      <c r="J1480">
        <f>IF('House Count'!H1480="Y",IF('House Count'!F1480="RES-SFU",1,IF('House Count'!F1480="RES-MDU",1,IF('House Count'!F1480="RES-HOA",1,0))),0)</f>
        <v>0</v>
      </c>
      <c r="K1480">
        <f>IF('House Count'!H1480="Y",IF('House Count'!F1480="COMM-SU",1,IF('House Count'!F1480="COM-MTU",1,IF('House Count'!F1480="ENT",1,0))),0)</f>
        <v>0</v>
      </c>
    </row>
    <row r="1481" spans="1:11" x14ac:dyDescent="0.25">
      <c r="H1481" s="192"/>
      <c r="I1481" s="773"/>
      <c r="J1481">
        <f>IF('House Count'!H1481="Y",IF('House Count'!F1481="RES-SFU",1,IF('House Count'!F1481="RES-MDU",1,IF('House Count'!F1481="RES-HOA",1,0))),0)</f>
        <v>0</v>
      </c>
      <c r="K1481">
        <f>IF('House Count'!H1481="Y",IF('House Count'!F1481="COMM-SU",1,IF('House Count'!F1481="COM-MTU",1,IF('House Count'!F1481="ENT",1,0))),0)</f>
        <v>0</v>
      </c>
    </row>
    <row r="1482" spans="1:11" x14ac:dyDescent="0.25">
      <c r="H1482" s="192"/>
      <c r="I1482" s="773"/>
      <c r="J1482">
        <f>IF('House Count'!H1482="Y",IF('House Count'!F1482="RES-SFU",1,IF('House Count'!F1482="RES-MDU",1,IF('House Count'!F1482="RES-HOA",1,0))),0)</f>
        <v>0</v>
      </c>
      <c r="K1482">
        <f>IF('House Count'!H1482="Y",IF('House Count'!F1482="COMM-SU",1,IF('House Count'!F1482="COM-MTU",1,IF('House Count'!F1482="ENT",1,0))),0)</f>
        <v>0</v>
      </c>
    </row>
    <row r="1483" spans="1:11" x14ac:dyDescent="0.25">
      <c r="H1483" s="192"/>
      <c r="I1483" s="773"/>
      <c r="J1483">
        <f>IF('House Count'!H1483="Y",IF('House Count'!F1483="RES-SFU",1,IF('House Count'!F1483="RES-MDU",1,IF('House Count'!F1483="RES-HOA",1,0))),0)</f>
        <v>0</v>
      </c>
      <c r="K1483">
        <f>IF('House Count'!H1483="Y",IF('House Count'!F1483="COMM-SU",1,IF('House Count'!F1483="COM-MTU",1,IF('House Count'!F1483="ENT",1,0))),0)</f>
        <v>0</v>
      </c>
    </row>
    <row r="1484" spans="1:11" x14ac:dyDescent="0.25">
      <c r="H1484" s="192"/>
      <c r="I1484" s="773"/>
      <c r="J1484">
        <f>IF('House Count'!H1484="Y",IF('House Count'!F1484="RES-SFU",1,IF('House Count'!F1484="RES-MDU",1,IF('House Count'!F1484="RES-HOA",1,0))),0)</f>
        <v>0</v>
      </c>
      <c r="K1484">
        <f>IF('House Count'!H1484="Y",IF('House Count'!F1484="COMM-SU",1,IF('House Count'!F1484="COM-MTU",1,IF('House Count'!F1484="ENT",1,0))),0)</f>
        <v>0</v>
      </c>
    </row>
    <row r="1485" spans="1:11" x14ac:dyDescent="0.25">
      <c r="H1485" s="192"/>
      <c r="I1485" s="773"/>
      <c r="J1485">
        <f>IF('House Count'!H1485="Y",IF('House Count'!F1485="RES-SFU",1,IF('House Count'!F1485="RES-MDU",1,IF('House Count'!F1485="RES-HOA",1,0))),0)</f>
        <v>0</v>
      </c>
      <c r="K1485">
        <f>IF('House Count'!H1485="Y",IF('House Count'!F1485="COMM-SU",1,IF('House Count'!F1485="COM-MTU",1,IF('House Count'!F1485="ENT",1,0))),0)</f>
        <v>0</v>
      </c>
    </row>
    <row r="1486" spans="1:11" x14ac:dyDescent="0.25">
      <c r="H1486" s="192"/>
      <c r="I1486" s="773"/>
      <c r="J1486">
        <f>IF('House Count'!H1486="Y",IF('House Count'!F1486="RES-SFU",1,IF('House Count'!F1486="RES-MDU",1,IF('House Count'!F1486="RES-HOA",1,0))),0)</f>
        <v>0</v>
      </c>
      <c r="K1486">
        <f>IF('House Count'!H1486="Y",IF('House Count'!F1486="COMM-SU",1,IF('House Count'!F1486="COM-MTU",1,IF('House Count'!F1486="ENT",1,0))),0)</f>
        <v>0</v>
      </c>
    </row>
    <row r="1487" spans="1:11" x14ac:dyDescent="0.25">
      <c r="H1487" s="192"/>
      <c r="I1487" s="773"/>
      <c r="J1487">
        <f>IF('House Count'!H1487="Y",IF('House Count'!F1487="RES-SFU",1,IF('House Count'!F1487="RES-MDU",1,IF('House Count'!F1487="RES-HOA",1,0))),0)</f>
        <v>0</v>
      </c>
      <c r="K1487">
        <f>IF('House Count'!H1487="Y",IF('House Count'!F1487="COMM-SU",1,IF('House Count'!F1487="COM-MTU",1,IF('House Count'!F1487="ENT",1,0))),0)</f>
        <v>0</v>
      </c>
    </row>
    <row r="1488" spans="1:11" x14ac:dyDescent="0.25">
      <c r="H1488" s="192"/>
      <c r="I1488" s="773"/>
      <c r="J1488">
        <f>IF('House Count'!H1488="Y",IF('House Count'!F1488="RES-SFU",1,IF('House Count'!F1488="RES-MDU",1,IF('House Count'!F1488="RES-HOA",1,0))),0)</f>
        <v>0</v>
      </c>
      <c r="K1488">
        <f>IF('House Count'!H1488="Y",IF('House Count'!F1488="COMM-SU",1,IF('House Count'!F1488="COM-MTU",1,IF('House Count'!F1488="ENT",1,0))),0)</f>
        <v>0</v>
      </c>
    </row>
    <row r="1489" spans="1:11" ht="15.75" thickBot="1" x14ac:dyDescent="0.3">
      <c r="A1489" s="774"/>
      <c r="B1489" s="774"/>
      <c r="C1489" s="774"/>
      <c r="D1489" s="774"/>
      <c r="E1489" s="774"/>
      <c r="F1489" s="774"/>
      <c r="G1489" s="774"/>
      <c r="H1489" s="774"/>
      <c r="I1489" s="775"/>
      <c r="J1489">
        <f>IF('House Count'!H1489="Y",IF('House Count'!F1489="RES-SFU",1,IF('House Count'!F1489="RES-MDU",1,IF('House Count'!F1489="RES-HOA",1,0))),0)</f>
        <v>0</v>
      </c>
      <c r="K1489">
        <f>IF('House Count'!H1489="Y",IF('House Count'!F1489="COMM-SU",1,IF('House Count'!F1489="COM-MTU",1,IF('House Count'!F1489="ENT",1,0))),0)</f>
        <v>0</v>
      </c>
    </row>
    <row r="1490" spans="1:11" ht="15.75" thickTop="1" x14ac:dyDescent="0.25">
      <c r="H1490" s="192"/>
      <c r="I1490" s="773"/>
      <c r="J1490">
        <f>IF('House Count'!H1490="Y",IF('House Count'!F1490="RES-SFU",1,IF('House Count'!F1490="RES-MDU",1,IF('House Count'!F1490="RES-HOA",1,0))),0)</f>
        <v>0</v>
      </c>
      <c r="K1490">
        <f>IF('House Count'!H1490="Y",IF('House Count'!F1490="COMM-SU",1,IF('House Count'!F1490="COM-MTU",1,IF('House Count'!F1490="ENT",1,0))),0)</f>
        <v>0</v>
      </c>
    </row>
    <row r="1491" spans="1:11" x14ac:dyDescent="0.25">
      <c r="H1491" s="192"/>
      <c r="I1491" s="773"/>
      <c r="J1491">
        <f>IF('House Count'!H1491="Y",IF('House Count'!F1491="RES-SFU",1,IF('House Count'!F1491="RES-MDU",1,IF('House Count'!F1491="RES-HOA",1,0))),0)</f>
        <v>0</v>
      </c>
      <c r="K1491">
        <f>IF('House Count'!H1491="Y",IF('House Count'!F1491="COMM-SU",1,IF('House Count'!F1491="COM-MTU",1,IF('House Count'!F1491="ENT",1,0))),0)</f>
        <v>0</v>
      </c>
    </row>
    <row r="1492" spans="1:11" x14ac:dyDescent="0.25">
      <c r="H1492" s="192"/>
      <c r="I1492" s="773"/>
      <c r="J1492">
        <f>IF('House Count'!H1492="Y",IF('House Count'!F1492="RES-SFU",1,IF('House Count'!F1492="RES-MDU",1,IF('House Count'!F1492="RES-HOA",1,0))),0)</f>
        <v>0</v>
      </c>
      <c r="K1492">
        <f>IF('House Count'!H1492="Y",IF('House Count'!F1492="COMM-SU",1,IF('House Count'!F1492="COM-MTU",1,IF('House Count'!F1492="ENT",1,0))),0)</f>
        <v>0</v>
      </c>
    </row>
    <row r="1493" spans="1:11" x14ac:dyDescent="0.25">
      <c r="H1493" s="192"/>
      <c r="I1493" s="773"/>
      <c r="J1493">
        <f>IF('House Count'!H1493="Y",IF('House Count'!F1493="RES-SFU",1,IF('House Count'!F1493="RES-MDU",1,IF('House Count'!F1493="RES-HOA",1,0))),0)</f>
        <v>0</v>
      </c>
      <c r="K1493">
        <f>IF('House Count'!H1493="Y",IF('House Count'!F1493="COMM-SU",1,IF('House Count'!F1493="COM-MTU",1,IF('House Count'!F1493="ENT",1,0))),0)</f>
        <v>0</v>
      </c>
    </row>
    <row r="1494" spans="1:11" x14ac:dyDescent="0.25">
      <c r="H1494" s="192"/>
      <c r="I1494" s="773"/>
      <c r="J1494">
        <f>IF('House Count'!H1494="Y",IF('House Count'!F1494="RES-SFU",1,IF('House Count'!F1494="RES-MDU",1,IF('House Count'!F1494="RES-HOA",1,0))),0)</f>
        <v>0</v>
      </c>
      <c r="K1494">
        <f>IF('House Count'!H1494="Y",IF('House Count'!F1494="COMM-SU",1,IF('House Count'!F1494="COM-MTU",1,IF('House Count'!F1494="ENT",1,0))),0)</f>
        <v>0</v>
      </c>
    </row>
    <row r="1495" spans="1:11" x14ac:dyDescent="0.25">
      <c r="H1495" s="192"/>
      <c r="I1495" s="773"/>
      <c r="J1495">
        <f>IF('House Count'!H1495="Y",IF('House Count'!F1495="RES-SFU",1,IF('House Count'!F1495="RES-MDU",1,IF('House Count'!F1495="RES-HOA",1,0))),0)</f>
        <v>0</v>
      </c>
      <c r="K1495">
        <f>IF('House Count'!H1495="Y",IF('House Count'!F1495="COMM-SU",1,IF('House Count'!F1495="COM-MTU",1,IF('House Count'!F1495="ENT",1,0))),0)</f>
        <v>0</v>
      </c>
    </row>
    <row r="1496" spans="1:11" x14ac:dyDescent="0.25">
      <c r="H1496" s="192"/>
      <c r="I1496" s="773"/>
      <c r="J1496">
        <f>IF('House Count'!H1496="Y",IF('House Count'!F1496="RES-SFU",1,IF('House Count'!F1496="RES-MDU",1,IF('House Count'!F1496="RES-HOA",1,0))),0)</f>
        <v>0</v>
      </c>
      <c r="K1496">
        <f>IF('House Count'!H1496="Y",IF('House Count'!F1496="COMM-SU",1,IF('House Count'!F1496="COM-MTU",1,IF('House Count'!F1496="ENT",1,0))),0)</f>
        <v>0</v>
      </c>
    </row>
    <row r="1497" spans="1:11" x14ac:dyDescent="0.25">
      <c r="H1497" s="192"/>
      <c r="I1497" s="773"/>
      <c r="J1497">
        <f>IF('House Count'!H1497="Y",IF('House Count'!F1497="RES-SFU",1,IF('House Count'!F1497="RES-MDU",1,IF('House Count'!F1497="RES-HOA",1,0))),0)</f>
        <v>0</v>
      </c>
      <c r="K1497">
        <f>IF('House Count'!H1497="Y",IF('House Count'!F1497="COMM-SU",1,IF('House Count'!F1497="COM-MTU",1,IF('House Count'!F1497="ENT",1,0))),0)</f>
        <v>0</v>
      </c>
    </row>
    <row r="1498" spans="1:11" x14ac:dyDescent="0.25">
      <c r="H1498" s="192"/>
      <c r="I1498" s="773"/>
      <c r="J1498">
        <f>IF('House Count'!H1498="Y",IF('House Count'!F1498="RES-SFU",1,IF('House Count'!F1498="RES-MDU",1,IF('House Count'!F1498="RES-HOA",1,0))),0)</f>
        <v>0</v>
      </c>
      <c r="K1498">
        <f>IF('House Count'!H1498="Y",IF('House Count'!F1498="COMM-SU",1,IF('House Count'!F1498="COM-MTU",1,IF('House Count'!F1498="ENT",1,0))),0)</f>
        <v>0</v>
      </c>
    </row>
    <row r="1499" spans="1:11" x14ac:dyDescent="0.25">
      <c r="H1499" s="192"/>
      <c r="I1499" s="773"/>
      <c r="J1499">
        <f>IF('House Count'!H1499="Y",IF('House Count'!F1499="RES-SFU",1,IF('House Count'!F1499="RES-MDU",1,IF('House Count'!F1499="RES-HOA",1,0))),0)</f>
        <v>0</v>
      </c>
      <c r="K1499">
        <f>IF('House Count'!H1499="Y",IF('House Count'!F1499="COMM-SU",1,IF('House Count'!F1499="COM-MTU",1,IF('House Count'!F1499="ENT",1,0))),0)</f>
        <v>0</v>
      </c>
    </row>
    <row r="1500" spans="1:11" x14ac:dyDescent="0.25">
      <c r="H1500" s="192"/>
      <c r="I1500" s="773"/>
      <c r="J1500">
        <f>IF('House Count'!H1500="Y",IF('House Count'!F1500="RES-SFU",1,IF('House Count'!F1500="RES-MDU",1,IF('House Count'!F1500="RES-HOA",1,0))),0)</f>
        <v>0</v>
      </c>
      <c r="K1500">
        <f>IF('House Count'!H1500="Y",IF('House Count'!F1500="COMM-SU",1,IF('House Count'!F1500="COM-MTU",1,IF('House Count'!F1500="ENT",1,0))),0)</f>
        <v>0</v>
      </c>
    </row>
    <row r="1501" spans="1:11" ht="15.75" thickBot="1" x14ac:dyDescent="0.3">
      <c r="A1501" s="774"/>
      <c r="B1501" s="774"/>
      <c r="C1501" s="774"/>
      <c r="D1501" s="774"/>
      <c r="E1501" s="774"/>
      <c r="F1501" s="774"/>
      <c r="G1501" s="774"/>
      <c r="H1501" s="774"/>
      <c r="I1501" s="775"/>
      <c r="J1501">
        <f>IF('House Count'!H1501="Y",IF('House Count'!F1501="RES-SFU",1,IF('House Count'!F1501="RES-MDU",1,IF('House Count'!F1501="RES-HOA",1,0))),0)</f>
        <v>0</v>
      </c>
      <c r="K1501">
        <f>IF('House Count'!H1501="Y",IF('House Count'!F1501="COMM-SU",1,IF('House Count'!F1501="COM-MTU",1,IF('House Count'!F1501="ENT",1,0))),0)</f>
        <v>0</v>
      </c>
    </row>
    <row r="1502" spans="1:11" ht="15.75" thickTop="1" x14ac:dyDescent="0.25">
      <c r="H1502" s="192"/>
      <c r="I1502" s="773"/>
      <c r="J1502">
        <f>IF('House Count'!H1502="Y",IF('House Count'!F1502="RES-SFU",1,IF('House Count'!F1502="RES-MDU",1,IF('House Count'!F1502="RES-HOA",1,0))),0)</f>
        <v>0</v>
      </c>
      <c r="K1502">
        <f>IF('House Count'!H1502="Y",IF('House Count'!F1502="COMM-SU",1,IF('House Count'!F1502="COM-MTU",1,IF('House Count'!F1502="ENT",1,0))),0)</f>
        <v>0</v>
      </c>
    </row>
    <row r="1503" spans="1:11" x14ac:dyDescent="0.25">
      <c r="H1503" s="192"/>
      <c r="I1503" s="773"/>
      <c r="J1503">
        <f>IF('House Count'!H1503="Y",IF('House Count'!F1503="RES-SFU",1,IF('House Count'!F1503="RES-MDU",1,IF('House Count'!F1503="RES-HOA",1,0))),0)</f>
        <v>0</v>
      </c>
      <c r="K1503">
        <f>IF('House Count'!H1503="Y",IF('House Count'!F1503="COMM-SU",1,IF('House Count'!F1503="COM-MTU",1,IF('House Count'!F1503="ENT",1,0))),0)</f>
        <v>0</v>
      </c>
    </row>
    <row r="1504" spans="1:11" x14ac:dyDescent="0.25">
      <c r="H1504" s="192"/>
      <c r="I1504" s="773"/>
      <c r="J1504">
        <f>IF('House Count'!H1504="Y",IF('House Count'!F1504="RES-SFU",1,IF('House Count'!F1504="RES-MDU",1,IF('House Count'!F1504="RES-HOA",1,0))),0)</f>
        <v>0</v>
      </c>
      <c r="K1504">
        <f>IF('House Count'!H1504="Y",IF('House Count'!F1504="COMM-SU",1,IF('House Count'!F1504="COM-MTU",1,IF('House Count'!F1504="ENT",1,0))),0)</f>
        <v>0</v>
      </c>
    </row>
    <row r="1505" spans="1:11" x14ac:dyDescent="0.25">
      <c r="H1505" s="192"/>
      <c r="I1505" s="773"/>
      <c r="J1505">
        <f>IF('House Count'!H1505="Y",IF('House Count'!F1505="RES-SFU",1,IF('House Count'!F1505="RES-MDU",1,IF('House Count'!F1505="RES-HOA",1,0))),0)</f>
        <v>0</v>
      </c>
      <c r="K1505">
        <f>IF('House Count'!H1505="Y",IF('House Count'!F1505="COMM-SU",1,IF('House Count'!F1505="COM-MTU",1,IF('House Count'!F1505="ENT",1,0))),0)</f>
        <v>0</v>
      </c>
    </row>
    <row r="1506" spans="1:11" x14ac:dyDescent="0.25">
      <c r="H1506" s="192"/>
      <c r="I1506" s="773"/>
      <c r="J1506">
        <f>IF('House Count'!H1506="Y",IF('House Count'!F1506="RES-SFU",1,IF('House Count'!F1506="RES-MDU",1,IF('House Count'!F1506="RES-HOA",1,0))),0)</f>
        <v>0</v>
      </c>
      <c r="K1506">
        <f>IF('House Count'!H1506="Y",IF('House Count'!F1506="COMM-SU",1,IF('House Count'!F1506="COM-MTU",1,IF('House Count'!F1506="ENT",1,0))),0)</f>
        <v>0</v>
      </c>
    </row>
    <row r="1507" spans="1:11" x14ac:dyDescent="0.25">
      <c r="H1507" s="192"/>
      <c r="I1507" s="773"/>
      <c r="J1507">
        <f>IF('House Count'!H1507="Y",IF('House Count'!F1507="RES-SFU",1,IF('House Count'!F1507="RES-MDU",1,IF('House Count'!F1507="RES-HOA",1,0))),0)</f>
        <v>0</v>
      </c>
      <c r="K1507">
        <f>IF('House Count'!H1507="Y",IF('House Count'!F1507="COMM-SU",1,IF('House Count'!F1507="COM-MTU",1,IF('House Count'!F1507="ENT",1,0))),0)</f>
        <v>0</v>
      </c>
    </row>
    <row r="1508" spans="1:11" x14ac:dyDescent="0.25">
      <c r="H1508" s="192"/>
      <c r="I1508" s="773"/>
      <c r="J1508">
        <f>IF('House Count'!H1508="Y",IF('House Count'!F1508="RES-SFU",1,IF('House Count'!F1508="RES-MDU",1,IF('House Count'!F1508="RES-HOA",1,0))),0)</f>
        <v>0</v>
      </c>
      <c r="K1508">
        <f>IF('House Count'!H1508="Y",IF('House Count'!F1508="COMM-SU",1,IF('House Count'!F1508="COM-MTU",1,IF('House Count'!F1508="ENT",1,0))),0)</f>
        <v>0</v>
      </c>
    </row>
    <row r="1509" spans="1:11" x14ac:dyDescent="0.25">
      <c r="H1509" s="192"/>
      <c r="I1509" s="773"/>
      <c r="J1509">
        <f>IF('House Count'!H1509="Y",IF('House Count'!F1509="RES-SFU",1,IF('House Count'!F1509="RES-MDU",1,IF('House Count'!F1509="RES-HOA",1,0))),0)</f>
        <v>0</v>
      </c>
      <c r="K1509">
        <f>IF('House Count'!H1509="Y",IF('House Count'!F1509="COMM-SU",1,IF('House Count'!F1509="COM-MTU",1,IF('House Count'!F1509="ENT",1,0))),0)</f>
        <v>0</v>
      </c>
    </row>
    <row r="1510" spans="1:11" x14ac:dyDescent="0.25">
      <c r="H1510" s="192"/>
      <c r="I1510" s="773"/>
      <c r="J1510">
        <f>IF('House Count'!H1510="Y",IF('House Count'!F1510="RES-SFU",1,IF('House Count'!F1510="RES-MDU",1,IF('House Count'!F1510="RES-HOA",1,0))),0)</f>
        <v>0</v>
      </c>
      <c r="K1510">
        <f>IF('House Count'!H1510="Y",IF('House Count'!F1510="COMM-SU",1,IF('House Count'!F1510="COM-MTU",1,IF('House Count'!F1510="ENT",1,0))),0)</f>
        <v>0</v>
      </c>
    </row>
    <row r="1511" spans="1:11" x14ac:dyDescent="0.25">
      <c r="H1511" s="192"/>
      <c r="I1511" s="773"/>
      <c r="J1511">
        <f>IF('House Count'!H1511="Y",IF('House Count'!F1511="RES-SFU",1,IF('House Count'!F1511="RES-MDU",1,IF('House Count'!F1511="RES-HOA",1,0))),0)</f>
        <v>0</v>
      </c>
      <c r="K1511">
        <f>IF('House Count'!H1511="Y",IF('House Count'!F1511="COMM-SU",1,IF('House Count'!F1511="COM-MTU",1,IF('House Count'!F1511="ENT",1,0))),0)</f>
        <v>0</v>
      </c>
    </row>
    <row r="1512" spans="1:11" x14ac:dyDescent="0.25">
      <c r="H1512" s="192"/>
      <c r="I1512" s="773"/>
      <c r="J1512">
        <f>IF('House Count'!H1512="Y",IF('House Count'!F1512="RES-SFU",1,IF('House Count'!F1512="RES-MDU",1,IF('House Count'!F1512="RES-HOA",1,0))),0)</f>
        <v>0</v>
      </c>
      <c r="K1512">
        <f>IF('House Count'!H1512="Y",IF('House Count'!F1512="COMM-SU",1,IF('House Count'!F1512="COM-MTU",1,IF('House Count'!F1512="ENT",1,0))),0)</f>
        <v>0</v>
      </c>
    </row>
    <row r="1513" spans="1:11" ht="15.75" thickBot="1" x14ac:dyDescent="0.3">
      <c r="A1513" s="774"/>
      <c r="B1513" s="774"/>
      <c r="C1513" s="774"/>
      <c r="D1513" s="774"/>
      <c r="E1513" s="774"/>
      <c r="F1513" s="774"/>
      <c r="G1513" s="774"/>
      <c r="H1513" s="774"/>
      <c r="I1513" s="775"/>
      <c r="J1513">
        <f>IF('House Count'!H1513="Y",IF('House Count'!F1513="RES-SFU",1,IF('House Count'!F1513="RES-MDU",1,IF('House Count'!F1513="RES-HOA",1,0))),0)</f>
        <v>0</v>
      </c>
      <c r="K1513">
        <f>IF('House Count'!H1513="Y",IF('House Count'!F1513="COMM-SU",1,IF('House Count'!F1513="COM-MTU",1,IF('House Count'!F1513="ENT",1,0))),0)</f>
        <v>0</v>
      </c>
    </row>
    <row r="1514" spans="1:11" ht="15.75" thickTop="1" x14ac:dyDescent="0.25"/>
  </sheetData>
  <sheetProtection formatCells="0" formatColumns="0" selectLockedCells="1" autoFilter="0"/>
  <protectedRanges>
    <protectedRange sqref="E326:E358 E278:E319 F3 E154:E155 F113:F126 E272 E273:G277 E34:E105 F278:G281 A29:E29 E110:E126 A34:D281 E106:G109 E156:G271 A3:E27 E127:G153" name="Contractors to Change 1234_3"/>
    <protectedRange sqref="F110:F112 G25:G31 F154:G155 F272:G272 F96:G105 F4:G24 G110:G126 F25:F27 G73:G95 G47:G56 F34:F95" name="Contractors to Change 1234_2_1_1"/>
  </protectedRanges>
  <autoFilter ref="A1:I1" xr:uid="{00000000-0009-0000-0000-000007000000}"/>
  <conditionalFormatting sqref="A2:I1513">
    <cfRule type="expression" dxfId="0" priority="265">
      <formula>$H2="N"</formula>
    </cfRule>
  </conditionalFormatting>
  <dataValidations count="4">
    <dataValidation type="list" allowBlank="1" showInputMessage="1" showErrorMessage="1" sqref="G722:G1048576" xr:uid="{00000000-0002-0000-0700-000000000000}">
      <formula1>"FA, RA, FB, FDB, RDB, PUE, SSR"</formula1>
    </dataValidation>
    <dataValidation type="list" allowBlank="1" showInputMessage="1" showErrorMessage="1" sqref="F2:F1048576" xr:uid="{00000000-0002-0000-0700-000001000000}">
      <formula1>"RES-SFU, RES-HOA, RES-MDU, COMM-SU, COM-MTU, ENT, VL"</formula1>
    </dataValidation>
    <dataValidation type="list" allowBlank="1" showInputMessage="1" showErrorMessage="1" sqref="G2:G721" xr:uid="{00000000-0002-0000-0700-000002000000}">
      <formula1>"AERIAL,BURIED"</formula1>
    </dataValidation>
    <dataValidation type="list" allowBlank="1" showInputMessage="1" showErrorMessage="1" sqref="H2:H721" xr:uid="{00000000-0002-0000-0700-000003000000}">
      <formula1>"Y, N"</formula1>
    </dataValidation>
  </dataValidations>
  <printOptions gridLines="1"/>
  <pageMargins left="0.7" right="0.7" top="0.75" bottom="0.75" header="0.3" footer="0.3"/>
  <pageSetup scale="10" orientation="portrait" horizontalDpi="4294967293"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K79"/>
  <sheetViews>
    <sheetView workbookViewId="0">
      <selection activeCell="B7" sqref="B7"/>
    </sheetView>
  </sheetViews>
  <sheetFormatPr defaultRowHeight="15" x14ac:dyDescent="0.25"/>
  <cols>
    <col min="1" max="1" width="13.7109375" customWidth="1"/>
    <col min="5" max="5" width="26" bestFit="1" customWidth="1"/>
    <col min="6" max="6" width="62.7109375" customWidth="1"/>
    <col min="7" max="7" width="12.85546875" customWidth="1"/>
    <col min="8" max="8" width="23" customWidth="1"/>
    <col min="11" max="11" width="11.85546875" customWidth="1"/>
  </cols>
  <sheetData>
    <row r="1" spans="1:11" ht="15.75" x14ac:dyDescent="0.25">
      <c r="A1" s="1018" t="s">
        <v>930</v>
      </c>
      <c r="B1" s="1018"/>
      <c r="C1" s="1018"/>
      <c r="D1" s="1018"/>
      <c r="E1" s="1018"/>
      <c r="F1" s="1018"/>
      <c r="G1" s="1018"/>
      <c r="H1" s="1018"/>
      <c r="I1" s="1018"/>
      <c r="J1" s="1018"/>
      <c r="K1" s="1018"/>
    </row>
    <row r="2" spans="1:11" x14ac:dyDescent="0.25">
      <c r="A2" s="694"/>
      <c r="B2" s="1019"/>
      <c r="C2" s="1019"/>
      <c r="D2" s="695"/>
      <c r="E2" s="695"/>
      <c r="F2" s="696"/>
      <c r="G2" s="696"/>
      <c r="H2" s="697"/>
      <c r="I2" s="697"/>
      <c r="J2" s="695"/>
      <c r="K2" s="695"/>
    </row>
    <row r="3" spans="1:11" x14ac:dyDescent="0.25">
      <c r="A3" s="694" t="s">
        <v>931</v>
      </c>
      <c r="B3" s="1009"/>
      <c r="C3" s="1009"/>
      <c r="D3" s="1010" t="s">
        <v>932</v>
      </c>
      <c r="E3" s="1010"/>
      <c r="F3" s="698" t="str">
        <f>'COVER SHEET'!B3</f>
        <v>VIRGINIA</v>
      </c>
      <c r="G3" s="699"/>
      <c r="H3" s="700"/>
      <c r="I3" s="701"/>
      <c r="J3" s="700"/>
      <c r="K3" s="695"/>
    </row>
    <row r="4" spans="1:11" x14ac:dyDescent="0.25">
      <c r="A4" s="694" t="s">
        <v>933</v>
      </c>
      <c r="B4" s="1009" t="str">
        <f>'COVER SHEET'!F4</f>
        <v>CHST 02-01</v>
      </c>
      <c r="C4" s="1009"/>
      <c r="D4" s="1010" t="s">
        <v>934</v>
      </c>
      <c r="E4" s="1010"/>
      <c r="F4" s="702"/>
      <c r="G4" s="703"/>
      <c r="H4" s="694" t="s">
        <v>935</v>
      </c>
      <c r="I4" s="694"/>
      <c r="J4" s="694" t="s">
        <v>936</v>
      </c>
      <c r="K4" s="694"/>
    </row>
    <row r="5" spans="1:11" x14ac:dyDescent="0.25">
      <c r="A5" s="694" t="s">
        <v>937</v>
      </c>
      <c r="B5" s="1009"/>
      <c r="C5" s="1009"/>
      <c r="D5" s="1010" t="s">
        <v>938</v>
      </c>
      <c r="E5" s="1010"/>
      <c r="F5" s="698" t="str">
        <f>'COVER SHEET'!F2:G2</f>
        <v>CHAD ROBERTSON</v>
      </c>
      <c r="G5" s="699"/>
      <c r="H5" s="704"/>
      <c r="I5" s="694"/>
      <c r="J5" s="695"/>
      <c r="K5" s="695"/>
    </row>
    <row r="6" spans="1:11" x14ac:dyDescent="0.25">
      <c r="A6" s="694" t="s">
        <v>939</v>
      </c>
      <c r="B6" s="1011"/>
      <c r="C6" s="1011"/>
      <c r="D6" s="1010" t="s">
        <v>940</v>
      </c>
      <c r="E6" s="1010"/>
      <c r="F6" s="705"/>
      <c r="G6" s="706"/>
      <c r="H6" s="707"/>
      <c r="I6" s="701"/>
      <c r="J6" s="707"/>
      <c r="K6" s="695"/>
    </row>
    <row r="7" spans="1:11" x14ac:dyDescent="0.25">
      <c r="A7" s="695"/>
      <c r="B7" s="695"/>
      <c r="C7" s="695"/>
      <c r="D7" s="695"/>
      <c r="E7" s="695"/>
      <c r="F7" s="695"/>
      <c r="G7" s="695"/>
      <c r="H7" s="704" t="s">
        <v>941</v>
      </c>
      <c r="I7" s="694"/>
      <c r="J7" s="694" t="s">
        <v>936</v>
      </c>
      <c r="K7" s="695"/>
    </row>
    <row r="8" spans="1:11" x14ac:dyDescent="0.25">
      <c r="A8" s="708" t="s">
        <v>942</v>
      </c>
      <c r="B8" s="709"/>
      <c r="C8" s="709" t="s">
        <v>943</v>
      </c>
      <c r="D8" s="709" t="s">
        <v>944</v>
      </c>
      <c r="E8" s="709"/>
      <c r="F8" s="709"/>
      <c r="G8" s="708"/>
      <c r="H8" s="708" t="s">
        <v>945</v>
      </c>
      <c r="I8" s="708" t="s">
        <v>946</v>
      </c>
      <c r="J8" s="709" t="s">
        <v>947</v>
      </c>
      <c r="K8" s="710" t="s">
        <v>948</v>
      </c>
    </row>
    <row r="9" spans="1:11" x14ac:dyDescent="0.25">
      <c r="A9" s="711" t="s">
        <v>949</v>
      </c>
      <c r="B9" s="712" t="s">
        <v>947</v>
      </c>
      <c r="C9" s="712" t="s">
        <v>947</v>
      </c>
      <c r="D9" s="712" t="s">
        <v>950</v>
      </c>
      <c r="E9" s="712" t="s">
        <v>951</v>
      </c>
      <c r="F9" s="712" t="s">
        <v>952</v>
      </c>
      <c r="G9" s="711" t="s">
        <v>11</v>
      </c>
      <c r="H9" s="711" t="s">
        <v>11</v>
      </c>
      <c r="I9" s="713" t="s">
        <v>953</v>
      </c>
      <c r="J9" s="712" t="s">
        <v>954</v>
      </c>
      <c r="K9" s="714" t="s">
        <v>950</v>
      </c>
    </row>
    <row r="10" spans="1:11" x14ac:dyDescent="0.25">
      <c r="A10" s="715" t="str" cm="1">
        <f t="array" ref="A10:H21">_xlfn._xlws.FILTER(MATERIAL!A6:H341,(MATERIAL!B6:B341&lt;&gt;"")*(MATERIAL!B6:B341&lt;&gt;0)*(MATERIAL!B6:B341&lt;&gt;"-"))</f>
        <v>O.FBR.BURD</v>
      </c>
      <c r="B10" s="716">
        <v>7927</v>
      </c>
      <c r="C10" s="717">
        <v>0</v>
      </c>
      <c r="D10" s="717">
        <v>0</v>
      </c>
      <c r="E10" s="718" t="str">
        <v>FIBGEN48ARMR</v>
      </c>
      <c r="F10" s="718" t="str">
        <v>048 Loose Tube PN D-048-LA-8W-F12NS; 048ZUC-T4122D20; AT3CEH2YT-048</v>
      </c>
      <c r="G10" s="719">
        <v>0.31</v>
      </c>
      <c r="H10" s="720">
        <v>2457.37</v>
      </c>
      <c r="I10" s="721"/>
      <c r="J10" s="722"/>
      <c r="K10" s="721"/>
    </row>
    <row r="11" spans="1:11" x14ac:dyDescent="0.25">
      <c r="A11" s="715" t="str">
        <v>O.FBR.BURD</v>
      </c>
      <c r="B11" s="716">
        <v>3394</v>
      </c>
      <c r="C11" s="717">
        <v>0</v>
      </c>
      <c r="D11" s="717">
        <v>0</v>
      </c>
      <c r="E11" s="718" t="str">
        <v>FIBGEN96ARMR</v>
      </c>
      <c r="F11" s="718" t="str">
        <v>096 Loose Tube PN D-096-LA-8W-F12NS; 096ZUC-T4122D20; AT3CEH2YT-096</v>
      </c>
      <c r="G11" s="719">
        <v>0.62</v>
      </c>
      <c r="H11" s="720">
        <v>2104.2800000000002</v>
      </c>
      <c r="I11" s="721"/>
      <c r="J11" s="722"/>
      <c r="K11" s="721"/>
    </row>
    <row r="12" spans="1:11" x14ac:dyDescent="0.25">
      <c r="A12" s="715" t="str">
        <v>O.FBR.BURD</v>
      </c>
      <c r="B12" s="716">
        <v>5998</v>
      </c>
      <c r="C12" s="717">
        <v>0</v>
      </c>
      <c r="D12" s="717">
        <v>0</v>
      </c>
      <c r="E12" s="718" t="str">
        <v>FIBGEN144RIB</v>
      </c>
      <c r="F12" s="718" t="str">
        <v>144 Ribbon FIber PN 144EC5-14100D53</v>
      </c>
      <c r="G12" s="719">
        <v>0.98</v>
      </c>
      <c r="H12" s="720">
        <v>5878.04</v>
      </c>
      <c r="I12" s="721"/>
      <c r="J12" s="722"/>
      <c r="K12" s="721"/>
    </row>
    <row r="13" spans="1:11" x14ac:dyDescent="0.25">
      <c r="A13" s="715" t="str">
        <v>O.FBR.BURD</v>
      </c>
      <c r="B13" s="716">
        <v>27</v>
      </c>
      <c r="C13" s="717">
        <v>0</v>
      </c>
      <c r="D13" s="717">
        <v>0</v>
      </c>
      <c r="E13" s="718" t="str">
        <v>SPLMLTERMBOX</v>
      </c>
      <c r="F13" s="718" t="str">
        <v>MULTILINK TERM BOX 12"X20"X8" RNB-12208-1SL-C-PG-Y-S</v>
      </c>
      <c r="G13" s="719">
        <v>166.09</v>
      </c>
      <c r="H13" s="720">
        <v>4484.43</v>
      </c>
      <c r="I13" s="721"/>
      <c r="J13" s="722"/>
      <c r="K13" s="721"/>
    </row>
    <row r="14" spans="1:11" x14ac:dyDescent="0.25">
      <c r="A14" s="715" t="str">
        <v>O.CONDUIT</v>
      </c>
      <c r="B14" s="716">
        <v>14636</v>
      </c>
      <c r="C14" s="717">
        <v>0</v>
      </c>
      <c r="D14" s="717">
        <v>0</v>
      </c>
      <c r="E14" s="718" t="str">
        <v>INDGEN125</v>
      </c>
      <c r="F14" s="718" t="str">
        <v>INNERDUCT 1.25" ARNCO SDR 13.5</v>
      </c>
      <c r="G14" s="719">
        <v>0.28999999999999998</v>
      </c>
      <c r="H14" s="720">
        <v>4244.4399999999996</v>
      </c>
      <c r="I14" s="721"/>
      <c r="J14" s="722"/>
      <c r="K14" s="721"/>
    </row>
    <row r="15" spans="1:11" x14ac:dyDescent="0.25">
      <c r="A15" s="715" t="str">
        <v>O.CONDUIT</v>
      </c>
      <c r="B15" s="716">
        <v>22</v>
      </c>
      <c r="C15" s="717">
        <v>0</v>
      </c>
      <c r="D15" s="717">
        <v>0</v>
      </c>
      <c r="E15" s="718" t="str">
        <v>SPLROUTEMARKER</v>
      </c>
      <c r="F15" s="718" t="str">
        <v>FIBER ROUTE MARKER SIGN</v>
      </c>
      <c r="G15" s="719">
        <v>13.97</v>
      </c>
      <c r="H15" s="720">
        <v>307.34000000000003</v>
      </c>
      <c r="I15" s="721"/>
      <c r="J15" s="722"/>
      <c r="K15" s="721"/>
    </row>
    <row r="16" spans="1:11" x14ac:dyDescent="0.25">
      <c r="A16" s="715" t="str">
        <v>O.CONDUIT</v>
      </c>
      <c r="B16" s="716">
        <v>13</v>
      </c>
      <c r="C16" s="717">
        <v>0</v>
      </c>
      <c r="D16" s="717">
        <v>0</v>
      </c>
      <c r="E16" s="718" t="str">
        <v>PBXGENDRPBX</v>
      </c>
      <c r="F16" s="718" t="str">
        <v>NON-DOT/NON-TIER 22 - FLOWER POT 11"X11"X12" DROP BOX  PN SGLB01211261 AU101512P00N-XX;   100007163; SGLB-0</v>
      </c>
      <c r="G16" s="719">
        <v>19</v>
      </c>
      <c r="H16" s="720">
        <v>247</v>
      </c>
      <c r="I16" s="721"/>
      <c r="J16" s="722"/>
      <c r="K16" s="721"/>
    </row>
    <row r="17" spans="1:11" x14ac:dyDescent="0.25">
      <c r="A17" s="715" t="str">
        <v>O.CONDUIT</v>
      </c>
      <c r="B17" s="716">
        <v>16</v>
      </c>
      <c r="C17" s="717">
        <v>0</v>
      </c>
      <c r="D17" s="717">
        <v>0</v>
      </c>
      <c r="E17" s="718" t="str">
        <v>PBXGEN13X24X18</v>
      </c>
      <c r="F17" s="718" t="str">
        <v>TIER 22 (SPLT) 13"x24"x18" DEEP BULK VAULT SHIELD TIER 22 (33 750LB TEST LOAD) SELF-LOCK HEX-HEAD SECURITY LUMOS CUSTOM LOGO  PN  BULKU1324180066261</v>
      </c>
      <c r="G17" s="719">
        <v>191.4</v>
      </c>
      <c r="H17" s="720">
        <v>3062.4</v>
      </c>
      <c r="I17" s="721"/>
      <c r="J17" s="722"/>
      <c r="K17" s="721"/>
    </row>
    <row r="18" spans="1:11" x14ac:dyDescent="0.25">
      <c r="A18" s="715" t="str">
        <v>O.CONDUIT</v>
      </c>
      <c r="B18" s="716">
        <v>18</v>
      </c>
      <c r="C18" s="717">
        <v>0</v>
      </c>
      <c r="D18" s="717">
        <v>0</v>
      </c>
      <c r="E18" s="718" t="str">
        <v>PBXGEN17X30X24</v>
      </c>
      <c r="F18" s="718" t="str">
        <v>TIER 22 (SM) 17"X30" 24" DEEP BULK VAULT SHIELD TIER 22 (33 750LB TEST LOAD) 1-PIECE LID SELF-LOCK HEX-HEAD SECURITY LUMOS CUSTOM LOGO PN  BULKU1730240066261</v>
      </c>
      <c r="G18" s="719">
        <v>317</v>
      </c>
      <c r="H18" s="720">
        <v>5706</v>
      </c>
      <c r="I18" s="721"/>
      <c r="J18" s="722"/>
      <c r="K18" s="721"/>
    </row>
    <row r="19" spans="1:11" x14ac:dyDescent="0.25">
      <c r="A19" s="715" t="str">
        <v>O.CONDUIT</v>
      </c>
      <c r="B19" s="716">
        <v>5</v>
      </c>
      <c r="C19" s="717">
        <v>0</v>
      </c>
      <c r="D19" s="717">
        <v>0</v>
      </c>
      <c r="E19" s="718" t="str">
        <v>PBXGEN24X36X24</v>
      </c>
      <c r="F19" s="718" t="str">
        <v>TIER 22 (MED) 24"X36" 24" DEEP BULK VAULT SHIELD TIER 22 (33 750LB TEST LOAD) 1-PIECE LID SELF-LOCK HEX SECURITY. LUMOS CUSTOM LOGO PN BULKU2436240066261</v>
      </c>
      <c r="G19" s="719">
        <v>429.74</v>
      </c>
      <c r="H19" s="720">
        <v>2148.6999999999998</v>
      </c>
      <c r="I19" s="721"/>
      <c r="J19" s="722"/>
      <c r="K19" s="721"/>
    </row>
    <row r="20" spans="1:11" x14ac:dyDescent="0.25">
      <c r="A20" s="715" t="str">
        <v>O.FBR.BURD</v>
      </c>
      <c r="B20" s="716">
        <v>3</v>
      </c>
      <c r="C20" s="717">
        <v>0</v>
      </c>
      <c r="D20" s="717">
        <v>0</v>
      </c>
      <c r="E20" s="718" t="str">
        <v>SPLCHNG5NPRI</v>
      </c>
      <c r="F20" s="718" t="str">
        <v>Primary Splitter Location-G5NS TerminalGreen Hornet Fiber Splice Closure - Terminal Base, G5N- 5"x11", Two (2) Splice Trays, Two (2) 2x8 Splitters bare leads only,  No Grommets, No Brackets, No Ground G5NSTA2ES0NN0NNN</v>
      </c>
      <c r="G20" s="719">
        <v>190.32</v>
      </c>
      <c r="H20" s="720">
        <v>570.96</v>
      </c>
      <c r="I20" s="721"/>
      <c r="J20" s="722"/>
      <c r="K20" s="721"/>
    </row>
    <row r="21" spans="1:11" x14ac:dyDescent="0.25">
      <c r="A21" s="715" t="str">
        <v>O.FBR.BURD</v>
      </c>
      <c r="B21" s="716">
        <v>24</v>
      </c>
      <c r="C21" s="717">
        <v>0</v>
      </c>
      <c r="D21" s="717">
        <v>0</v>
      </c>
      <c r="E21" s="718" t="str">
        <v>SPLCHNG5NSEC</v>
      </c>
      <c r="F21" s="718" t="str">
        <v>Secondary Splitter Location"Drop Terminal"Green Hornet Fiber Splice Closure, G5N- 5"x11", Splice Trays (3), SC/APC Bulkhead with 16 Ports, Two (2) 1x4 Splitters with SC/APC Connectors,  No Grommets, No Brackets, No Ground G5NSTA2BA0NN0NNN</v>
      </c>
      <c r="G21" s="719">
        <v>211.83</v>
      </c>
      <c r="H21" s="720">
        <v>5083.92</v>
      </c>
      <c r="I21" s="721"/>
      <c r="J21" s="722"/>
      <c r="K21" s="721"/>
    </row>
    <row r="22" spans="1:11" x14ac:dyDescent="0.25">
      <c r="A22" s="715"/>
      <c r="B22" s="716"/>
      <c r="C22" s="717"/>
      <c r="D22" s="717"/>
      <c r="E22" s="718"/>
      <c r="F22" s="718"/>
      <c r="G22" s="719"/>
      <c r="H22" s="720"/>
      <c r="I22" s="721"/>
      <c r="J22" s="722"/>
      <c r="K22" s="721"/>
    </row>
    <row r="23" spans="1:11" x14ac:dyDescent="0.25">
      <c r="A23" s="715"/>
      <c r="B23" s="716"/>
      <c r="C23" s="717"/>
      <c r="D23" s="717"/>
      <c r="E23" s="718"/>
      <c r="F23" s="718"/>
      <c r="G23" s="719"/>
      <c r="H23" s="720"/>
      <c r="I23" s="721"/>
      <c r="J23" s="722"/>
      <c r="K23" s="721"/>
    </row>
    <row r="24" spans="1:11" x14ac:dyDescent="0.25">
      <c r="A24" s="715"/>
      <c r="B24" s="716"/>
      <c r="C24" s="717"/>
      <c r="D24" s="717"/>
      <c r="E24" s="718"/>
      <c r="F24" s="718"/>
      <c r="G24" s="719"/>
      <c r="H24" s="720"/>
      <c r="I24" s="721"/>
      <c r="J24" s="722"/>
      <c r="K24" s="721"/>
    </row>
    <row r="25" spans="1:11" x14ac:dyDescent="0.25">
      <c r="A25" s="715"/>
      <c r="B25" s="716"/>
      <c r="C25" s="717"/>
      <c r="D25" s="717"/>
      <c r="E25" s="718"/>
      <c r="F25" s="718"/>
      <c r="G25" s="719"/>
      <c r="H25" s="720"/>
      <c r="I25" s="721"/>
      <c r="J25" s="722"/>
      <c r="K25" s="721"/>
    </row>
    <row r="26" spans="1:11" x14ac:dyDescent="0.25">
      <c r="A26" s="715"/>
      <c r="B26" s="716"/>
      <c r="C26" s="717"/>
      <c r="D26" s="717"/>
      <c r="E26" s="718"/>
      <c r="F26" s="718"/>
      <c r="G26" s="719"/>
      <c r="H26" s="720"/>
      <c r="I26" s="721"/>
      <c r="J26" s="722"/>
      <c r="K26" s="721"/>
    </row>
    <row r="27" spans="1:11" x14ac:dyDescent="0.25">
      <c r="A27" s="715"/>
      <c r="B27" s="716"/>
      <c r="C27" s="717"/>
      <c r="D27" s="717"/>
      <c r="E27" s="718"/>
      <c r="F27" s="718"/>
      <c r="G27" s="719"/>
      <c r="H27" s="720"/>
      <c r="I27" s="721"/>
      <c r="J27" s="722"/>
      <c r="K27" s="721"/>
    </row>
    <row r="28" spans="1:11" x14ac:dyDescent="0.25">
      <c r="A28" s="715"/>
      <c r="B28" s="716"/>
      <c r="C28" s="717"/>
      <c r="D28" s="717"/>
      <c r="E28" s="718"/>
      <c r="F28" s="718"/>
      <c r="G28" s="719"/>
      <c r="H28" s="720"/>
      <c r="I28" s="721"/>
      <c r="J28" s="722"/>
      <c r="K28" s="721"/>
    </row>
    <row r="29" spans="1:11" x14ac:dyDescent="0.25">
      <c r="A29" s="715"/>
      <c r="B29" s="716"/>
      <c r="C29" s="717"/>
      <c r="D29" s="717"/>
      <c r="E29" s="718"/>
      <c r="F29" s="718"/>
      <c r="G29" s="719"/>
      <c r="H29" s="720"/>
      <c r="I29" s="721"/>
      <c r="J29" s="722"/>
      <c r="K29" s="721"/>
    </row>
    <row r="30" spans="1:11" x14ac:dyDescent="0.25">
      <c r="A30" s="715"/>
      <c r="B30" s="716"/>
      <c r="C30" s="717"/>
      <c r="D30" s="717"/>
      <c r="E30" s="718"/>
      <c r="F30" s="718"/>
      <c r="G30" s="719"/>
      <c r="H30" s="720"/>
      <c r="I30" s="721"/>
      <c r="J30" s="722"/>
      <c r="K30" s="721"/>
    </row>
    <row r="31" spans="1:11" x14ac:dyDescent="0.25">
      <c r="A31" s="715"/>
      <c r="B31" s="716"/>
      <c r="C31" s="717"/>
      <c r="D31" s="717"/>
      <c r="E31" s="718"/>
      <c r="F31" s="718"/>
      <c r="G31" s="719"/>
      <c r="H31" s="720"/>
      <c r="I31" s="721"/>
      <c r="J31" s="722"/>
      <c r="K31" s="721"/>
    </row>
    <row r="32" spans="1:11" x14ac:dyDescent="0.25">
      <c r="A32" s="715"/>
      <c r="B32" s="716"/>
      <c r="C32" s="717"/>
      <c r="D32" s="717"/>
      <c r="E32" s="718"/>
      <c r="F32" s="718"/>
      <c r="G32" s="719"/>
      <c r="H32" s="720"/>
      <c r="I32" s="721"/>
      <c r="J32" s="722"/>
      <c r="K32" s="721"/>
    </row>
    <row r="33" spans="1:11" x14ac:dyDescent="0.25">
      <c r="A33" s="715"/>
      <c r="B33" s="716"/>
      <c r="C33" s="717"/>
      <c r="D33" s="717"/>
      <c r="E33" s="718"/>
      <c r="F33" s="718"/>
      <c r="G33" s="719"/>
      <c r="H33" s="720"/>
      <c r="I33" s="721"/>
      <c r="J33" s="722"/>
      <c r="K33" s="721"/>
    </row>
    <row r="34" spans="1:11" x14ac:dyDescent="0.25">
      <c r="A34" s="715"/>
      <c r="B34" s="716"/>
      <c r="C34" s="717"/>
      <c r="D34" s="717"/>
      <c r="E34" s="718"/>
      <c r="F34" s="718"/>
      <c r="G34" s="719"/>
      <c r="H34" s="720"/>
      <c r="I34" s="721"/>
      <c r="J34" s="722"/>
      <c r="K34" s="721"/>
    </row>
    <row r="35" spans="1:11" x14ac:dyDescent="0.25">
      <c r="A35" s="715"/>
      <c r="B35" s="716"/>
      <c r="C35" s="717"/>
      <c r="D35" s="717"/>
      <c r="E35" s="718"/>
      <c r="F35" s="718"/>
      <c r="G35" s="719"/>
      <c r="H35" s="720"/>
      <c r="I35" s="721"/>
      <c r="J35" s="722"/>
      <c r="K35" s="721"/>
    </row>
    <row r="36" spans="1:11" x14ac:dyDescent="0.25">
      <c r="A36" s="715"/>
      <c r="B36" s="716"/>
      <c r="C36" s="717"/>
      <c r="D36" s="717"/>
      <c r="E36" s="718"/>
      <c r="F36" s="718"/>
      <c r="G36" s="719"/>
      <c r="H36" s="720"/>
      <c r="I36" s="721"/>
      <c r="J36" s="722"/>
      <c r="K36" s="721"/>
    </row>
    <row r="37" spans="1:11" x14ac:dyDescent="0.25">
      <c r="A37" s="715"/>
      <c r="B37" s="716"/>
      <c r="C37" s="717"/>
      <c r="D37" s="717"/>
      <c r="E37" s="718"/>
      <c r="F37" s="718"/>
      <c r="G37" s="719"/>
      <c r="H37" s="720"/>
      <c r="I37" s="721"/>
      <c r="J37" s="722"/>
      <c r="K37" s="721"/>
    </row>
    <row r="38" spans="1:11" x14ac:dyDescent="0.25">
      <c r="A38" s="715"/>
      <c r="B38" s="716"/>
      <c r="C38" s="717"/>
      <c r="D38" s="717"/>
      <c r="E38" s="718"/>
      <c r="F38" s="718"/>
      <c r="G38" s="719"/>
      <c r="H38" s="720"/>
      <c r="I38" s="721"/>
      <c r="J38" s="722"/>
      <c r="K38" s="721"/>
    </row>
    <row r="39" spans="1:11" x14ac:dyDescent="0.25">
      <c r="A39" s="715"/>
      <c r="B39" s="716"/>
      <c r="C39" s="717"/>
      <c r="D39" s="717"/>
      <c r="E39" s="718"/>
      <c r="F39" s="718"/>
      <c r="G39" s="719"/>
      <c r="H39" s="720"/>
      <c r="I39" s="721"/>
      <c r="J39" s="722"/>
      <c r="K39" s="721"/>
    </row>
    <row r="40" spans="1:11" x14ac:dyDescent="0.25">
      <c r="A40" s="715"/>
      <c r="B40" s="716"/>
      <c r="C40" s="717"/>
      <c r="D40" s="717"/>
      <c r="E40" s="718"/>
      <c r="F40" s="718"/>
      <c r="G40" s="719"/>
      <c r="H40" s="720"/>
      <c r="I40" s="721"/>
      <c r="J40" s="722"/>
      <c r="K40" s="721"/>
    </row>
    <row r="41" spans="1:11" x14ac:dyDescent="0.25">
      <c r="A41" s="715"/>
      <c r="B41" s="716"/>
      <c r="C41" s="717"/>
      <c r="D41" s="717"/>
      <c r="E41" s="718"/>
      <c r="F41" s="718"/>
      <c r="G41" s="719"/>
      <c r="H41" s="720"/>
      <c r="I41" s="721"/>
      <c r="J41" s="722"/>
      <c r="K41" s="721"/>
    </row>
    <row r="42" spans="1:11" x14ac:dyDescent="0.25">
      <c r="A42" s="715"/>
      <c r="B42" s="716"/>
      <c r="C42" s="717"/>
      <c r="D42" s="717"/>
      <c r="E42" s="718"/>
      <c r="F42" s="718"/>
      <c r="G42" s="719"/>
      <c r="H42" s="720"/>
      <c r="I42" s="721"/>
      <c r="J42" s="722"/>
      <c r="K42" s="721"/>
    </row>
    <row r="43" spans="1:11" x14ac:dyDescent="0.25">
      <c r="A43" s="715"/>
      <c r="B43" s="716"/>
      <c r="C43" s="717"/>
      <c r="D43" s="717"/>
      <c r="E43" s="718"/>
      <c r="F43" s="718"/>
      <c r="G43" s="719"/>
      <c r="H43" s="720"/>
      <c r="I43" s="721"/>
      <c r="J43" s="722"/>
      <c r="K43" s="721"/>
    </row>
    <row r="44" spans="1:11" s="192" customFormat="1" x14ac:dyDescent="0.25">
      <c r="A44" s="715"/>
      <c r="B44" s="716"/>
      <c r="C44" s="716"/>
      <c r="D44" s="716"/>
      <c r="E44" s="719"/>
      <c r="F44" s="719"/>
      <c r="G44" s="719"/>
      <c r="H44" s="723"/>
      <c r="I44" s="724"/>
      <c r="J44" s="719"/>
      <c r="K44" s="724"/>
    </row>
    <row r="45" spans="1:11" x14ac:dyDescent="0.25">
      <c r="A45" s="715"/>
      <c r="B45" s="716"/>
      <c r="C45" s="717"/>
      <c r="D45" s="717"/>
      <c r="E45" s="718"/>
      <c r="F45" s="718"/>
      <c r="G45" s="719"/>
      <c r="H45" s="720"/>
      <c r="I45" s="721"/>
      <c r="J45" s="722"/>
      <c r="K45" s="721"/>
    </row>
    <row r="46" spans="1:11" x14ac:dyDescent="0.25">
      <c r="A46" s="715"/>
      <c r="B46" s="716"/>
      <c r="C46" s="717"/>
      <c r="D46" s="717"/>
      <c r="E46" s="718"/>
      <c r="F46" s="718"/>
      <c r="G46" s="719"/>
      <c r="H46" s="720"/>
      <c r="I46" s="721"/>
      <c r="J46" s="722"/>
      <c r="K46" s="721"/>
    </row>
    <row r="47" spans="1:11" x14ac:dyDescent="0.25">
      <c r="A47" s="715"/>
      <c r="B47" s="716"/>
      <c r="C47" s="716"/>
      <c r="D47" s="716"/>
      <c r="E47" s="718"/>
      <c r="F47" s="722"/>
      <c r="G47" s="719"/>
      <c r="H47" s="725"/>
      <c r="I47" s="721"/>
      <c r="J47" s="722"/>
      <c r="K47" s="721"/>
    </row>
    <row r="48" spans="1:11" x14ac:dyDescent="0.25">
      <c r="A48" s="715"/>
      <c r="B48" s="716"/>
      <c r="C48" s="716"/>
      <c r="D48" s="716"/>
      <c r="E48" s="718"/>
      <c r="F48" s="722"/>
      <c r="G48" s="719"/>
      <c r="H48" s="725"/>
      <c r="I48" s="721"/>
      <c r="J48" s="722"/>
      <c r="K48" s="721"/>
    </row>
    <row r="49" spans="1:11" x14ac:dyDescent="0.25">
      <c r="A49" s="715"/>
      <c r="B49" s="716"/>
      <c r="C49" s="716"/>
      <c r="D49" s="716"/>
      <c r="E49" s="718"/>
      <c r="F49" s="722"/>
      <c r="G49" s="719"/>
      <c r="H49" s="725"/>
      <c r="I49" s="721"/>
      <c r="J49" s="722"/>
      <c r="K49" s="721"/>
    </row>
    <row r="50" spans="1:11" x14ac:dyDescent="0.25">
      <c r="A50" s="722"/>
      <c r="B50" s="719"/>
      <c r="C50" s="722"/>
      <c r="D50" s="722"/>
      <c r="E50" s="718"/>
      <c r="F50" s="722"/>
      <c r="G50" s="719"/>
      <c r="H50" s="725"/>
      <c r="I50" s="721"/>
      <c r="J50" s="722"/>
      <c r="K50" s="721"/>
    </row>
    <row r="51" spans="1:11" x14ac:dyDescent="0.25">
      <c r="A51" s="715"/>
      <c r="B51" s="716"/>
      <c r="C51" s="717"/>
      <c r="D51" s="717"/>
      <c r="E51" s="718"/>
      <c r="F51" s="718"/>
      <c r="G51" s="719"/>
      <c r="H51" s="720"/>
      <c r="I51" s="721"/>
      <c r="J51" s="722"/>
      <c r="K51" s="721"/>
    </row>
    <row r="52" spans="1:11" s="192" customFormat="1" x14ac:dyDescent="0.25">
      <c r="A52" s="715"/>
      <c r="B52" s="716"/>
      <c r="C52" s="716"/>
      <c r="D52" s="716"/>
      <c r="E52" s="719"/>
      <c r="F52" s="719"/>
      <c r="G52" s="719"/>
      <c r="H52" s="723"/>
      <c r="I52" s="724"/>
      <c r="J52" s="719"/>
      <c r="K52" s="724"/>
    </row>
    <row r="53" spans="1:11" x14ac:dyDescent="0.25">
      <c r="A53" s="715"/>
      <c r="B53" s="716"/>
      <c r="C53" s="717"/>
      <c r="D53" s="717"/>
      <c r="E53" s="718"/>
      <c r="F53" s="718"/>
      <c r="G53" s="719"/>
      <c r="H53" s="720"/>
      <c r="I53" s="721"/>
      <c r="J53" s="722"/>
      <c r="K53" s="721"/>
    </row>
    <row r="54" spans="1:11" x14ac:dyDescent="0.25">
      <c r="A54" s="715"/>
      <c r="B54" s="716"/>
      <c r="C54" s="717"/>
      <c r="D54" s="717"/>
      <c r="E54" s="718"/>
      <c r="F54" s="718"/>
      <c r="G54" s="719"/>
      <c r="H54" s="720"/>
      <c r="I54" s="721"/>
      <c r="J54" s="722"/>
      <c r="K54" s="721"/>
    </row>
    <row r="55" spans="1:11" x14ac:dyDescent="0.25">
      <c r="A55" s="715"/>
      <c r="B55" s="716"/>
      <c r="C55" s="717"/>
      <c r="D55" s="717"/>
      <c r="E55" s="718"/>
      <c r="F55" s="718"/>
      <c r="G55" s="719"/>
      <c r="H55" s="720"/>
      <c r="I55" s="721"/>
      <c r="J55" s="722"/>
      <c r="K55" s="721"/>
    </row>
    <row r="56" spans="1:11" x14ac:dyDescent="0.25">
      <c r="A56" s="715"/>
      <c r="B56" s="716"/>
      <c r="C56" s="717"/>
      <c r="D56" s="717"/>
      <c r="E56" s="718"/>
      <c r="F56" s="718"/>
      <c r="G56" s="719"/>
      <c r="H56" s="720"/>
      <c r="I56" s="721"/>
      <c r="J56" s="722"/>
      <c r="K56" s="721"/>
    </row>
    <row r="57" spans="1:11" x14ac:dyDescent="0.25">
      <c r="A57" s="715"/>
      <c r="B57" s="716"/>
      <c r="C57" s="717"/>
      <c r="D57" s="717"/>
      <c r="E57" s="718"/>
      <c r="F57" s="718"/>
      <c r="G57" s="719"/>
      <c r="H57" s="720"/>
      <c r="I57" s="721"/>
      <c r="J57" s="722"/>
      <c r="K57" s="721"/>
    </row>
    <row r="58" spans="1:11" x14ac:dyDescent="0.25">
      <c r="A58" s="715"/>
      <c r="B58" s="716"/>
      <c r="C58" s="717"/>
      <c r="D58" s="717"/>
      <c r="E58" s="718"/>
      <c r="F58" s="718"/>
      <c r="G58" s="719"/>
      <c r="H58" s="720"/>
      <c r="I58" s="721"/>
      <c r="J58" s="722"/>
      <c r="K58" s="721"/>
    </row>
    <row r="59" spans="1:11" x14ac:dyDescent="0.25">
      <c r="A59" s="715"/>
      <c r="B59" s="716"/>
      <c r="C59" s="716"/>
      <c r="D59" s="716"/>
      <c r="E59" s="718"/>
      <c r="F59" s="722"/>
      <c r="G59" s="719"/>
      <c r="H59" s="725"/>
      <c r="I59" s="721"/>
      <c r="J59" s="722"/>
      <c r="K59" s="721"/>
    </row>
    <row r="60" spans="1:11" x14ac:dyDescent="0.25">
      <c r="A60" s="715"/>
      <c r="B60" s="716"/>
      <c r="C60" s="716"/>
      <c r="D60" s="716"/>
      <c r="E60" s="718"/>
      <c r="F60" s="722"/>
      <c r="G60" s="719"/>
      <c r="H60" s="725"/>
      <c r="I60" s="721"/>
      <c r="J60" s="722"/>
      <c r="K60" s="721"/>
    </row>
    <row r="61" spans="1:11" x14ac:dyDescent="0.25">
      <c r="A61" s="715"/>
      <c r="B61" s="716"/>
      <c r="C61" s="716"/>
      <c r="D61" s="716"/>
      <c r="E61" s="718"/>
      <c r="F61" s="722"/>
      <c r="G61" s="719"/>
      <c r="H61" s="725"/>
      <c r="I61" s="721"/>
      <c r="J61" s="722"/>
      <c r="K61" s="721"/>
    </row>
    <row r="62" spans="1:11" x14ac:dyDescent="0.25">
      <c r="A62" s="715"/>
      <c r="B62" s="716"/>
      <c r="C62" s="716"/>
      <c r="D62" s="716"/>
      <c r="E62" s="718"/>
      <c r="F62" s="722"/>
      <c r="G62" s="719"/>
      <c r="H62" s="725"/>
      <c r="I62" s="721"/>
      <c r="J62" s="722"/>
      <c r="K62" s="721"/>
    </row>
    <row r="63" spans="1:11" x14ac:dyDescent="0.25">
      <c r="A63" s="715"/>
      <c r="B63" s="716"/>
      <c r="C63" s="716"/>
      <c r="D63" s="716"/>
      <c r="E63" s="718"/>
      <c r="F63" s="722"/>
      <c r="G63" s="719"/>
      <c r="H63" s="725"/>
      <c r="I63" s="721"/>
      <c r="J63" s="722"/>
      <c r="K63" s="721"/>
    </row>
    <row r="64" spans="1:11" x14ac:dyDescent="0.25">
      <c r="A64" s="719"/>
      <c r="B64" s="719"/>
      <c r="C64" s="722"/>
      <c r="D64" s="722"/>
      <c r="E64" s="718"/>
      <c r="F64" s="722"/>
      <c r="G64" s="719"/>
      <c r="H64" s="725"/>
      <c r="I64" s="721"/>
      <c r="J64" s="722"/>
      <c r="K64" s="721"/>
    </row>
    <row r="65" spans="1:11" x14ac:dyDescent="0.25">
      <c r="A65" s="716"/>
      <c r="B65" s="716"/>
      <c r="C65" s="716"/>
      <c r="D65" s="716"/>
      <c r="E65" s="718"/>
      <c r="F65" s="722"/>
      <c r="G65" s="719"/>
      <c r="H65" s="725"/>
      <c r="I65" s="721"/>
      <c r="J65" s="722"/>
      <c r="K65" s="721"/>
    </row>
    <row r="66" spans="1:11" x14ac:dyDescent="0.25">
      <c r="A66" s="716"/>
      <c r="B66" s="716"/>
      <c r="C66" s="716"/>
      <c r="D66" s="716"/>
      <c r="E66" s="718"/>
      <c r="F66" s="722"/>
      <c r="G66" s="719"/>
      <c r="H66" s="725"/>
      <c r="I66" s="721"/>
      <c r="J66" s="722"/>
      <c r="K66" s="721"/>
    </row>
    <row r="67" spans="1:11" x14ac:dyDescent="0.25">
      <c r="A67" s="719"/>
      <c r="B67" s="719"/>
      <c r="C67" s="722"/>
      <c r="D67" s="722"/>
      <c r="E67" s="718"/>
      <c r="F67" s="722"/>
      <c r="G67" s="719"/>
      <c r="H67" s="725"/>
      <c r="I67" s="721"/>
      <c r="J67" s="722"/>
      <c r="K67" s="721"/>
    </row>
    <row r="68" spans="1:11" x14ac:dyDescent="0.25">
      <c r="A68" s="719"/>
      <c r="B68" s="719"/>
      <c r="C68" s="722"/>
      <c r="D68" s="722"/>
      <c r="E68" s="718"/>
      <c r="F68" s="722"/>
      <c r="G68" s="719"/>
      <c r="H68" s="725"/>
      <c r="I68" s="721"/>
      <c r="J68" s="722"/>
      <c r="K68" s="721"/>
    </row>
    <row r="69" spans="1:11" x14ac:dyDescent="0.25">
      <c r="A69" s="719"/>
      <c r="B69" s="719"/>
      <c r="C69" s="722"/>
      <c r="D69" s="722"/>
      <c r="E69" s="718"/>
      <c r="F69" s="726"/>
      <c r="G69" s="722"/>
      <c r="H69" s="725"/>
      <c r="I69" s="727"/>
      <c r="J69" s="728"/>
      <c r="K69" s="727"/>
    </row>
    <row r="70" spans="1:11" x14ac:dyDescent="0.25">
      <c r="A70" s="701"/>
      <c r="B70" s="701"/>
      <c r="C70" s="701"/>
      <c r="D70" s="701"/>
      <c r="E70" s="701"/>
      <c r="F70" s="729" t="s">
        <v>955</v>
      </c>
      <c r="G70" s="730"/>
      <c r="H70" s="731">
        <f>SUM(H10:H69)</f>
        <v>36294.879999999997</v>
      </c>
      <c r="I70" s="732" t="s">
        <v>956</v>
      </c>
      <c r="J70" s="1012"/>
      <c r="K70" s="1013"/>
    </row>
    <row r="71" spans="1:11" x14ac:dyDescent="0.25">
      <c r="A71" s="701"/>
      <c r="B71" s="701"/>
      <c r="C71" s="701"/>
      <c r="D71" s="701"/>
      <c r="E71" s="701"/>
      <c r="F71" s="729" t="s">
        <v>957</v>
      </c>
      <c r="G71" s="733"/>
      <c r="H71" s="731">
        <f>H70*(MATERIAL!H1+MATERIAL!H2)</f>
        <v>5444.232</v>
      </c>
      <c r="I71" s="734"/>
      <c r="J71" s="1014"/>
      <c r="K71" s="1015"/>
    </row>
    <row r="72" spans="1:11" x14ac:dyDescent="0.25">
      <c r="A72" s="701"/>
      <c r="B72" s="701"/>
      <c r="C72" s="701"/>
      <c r="D72" s="701"/>
      <c r="E72" s="701"/>
      <c r="F72" s="735" t="s">
        <v>958</v>
      </c>
      <c r="G72" s="736"/>
      <c r="H72" s="731">
        <f>H70+H71</f>
        <v>41739.111999999994</v>
      </c>
      <c r="I72" s="737"/>
      <c r="J72" s="1016"/>
      <c r="K72" s="1017"/>
    </row>
    <row r="73" spans="1:11" x14ac:dyDescent="0.25">
      <c r="A73" s="69"/>
      <c r="B73" s="69"/>
      <c r="C73" s="69"/>
      <c r="D73" s="69"/>
      <c r="E73" s="69"/>
      <c r="F73" s="69"/>
      <c r="G73" s="69"/>
      <c r="H73" s="69"/>
      <c r="I73" s="701"/>
      <c r="J73" s="738"/>
      <c r="K73" s="701"/>
    </row>
    <row r="74" spans="1:11" x14ac:dyDescent="0.25">
      <c r="A74" s="739" t="s">
        <v>959</v>
      </c>
      <c r="B74" s="739" t="s">
        <v>960</v>
      </c>
      <c r="C74" s="739" t="s">
        <v>961</v>
      </c>
      <c r="D74" s="739"/>
      <c r="E74" s="739" t="s">
        <v>951</v>
      </c>
      <c r="F74" s="740" t="s">
        <v>962</v>
      </c>
      <c r="G74" s="741"/>
      <c r="H74" s="741"/>
      <c r="I74" s="742"/>
      <c r="J74" s="743"/>
      <c r="K74" s="744"/>
    </row>
    <row r="75" spans="1:11" x14ac:dyDescent="0.25">
      <c r="A75" s="745"/>
      <c r="B75" s="721"/>
      <c r="C75" s="745"/>
      <c r="D75" s="745"/>
      <c r="E75" s="721"/>
      <c r="F75" s="721"/>
      <c r="G75" s="746"/>
      <c r="H75" s="746"/>
      <c r="I75" s="746"/>
      <c r="J75" s="747"/>
      <c r="K75" s="721"/>
    </row>
    <row r="76" spans="1:11" x14ac:dyDescent="0.25">
      <c r="A76" s="734"/>
      <c r="B76" s="748"/>
      <c r="C76" s="734"/>
      <c r="D76" s="734"/>
      <c r="E76" s="748"/>
      <c r="F76" s="748"/>
      <c r="G76" s="701"/>
      <c r="H76" s="701"/>
      <c r="I76" s="701"/>
      <c r="J76" s="749"/>
      <c r="K76" s="721"/>
    </row>
    <row r="77" spans="1:11" x14ac:dyDescent="0.25">
      <c r="A77" s="745"/>
      <c r="B77" s="721"/>
      <c r="C77" s="745"/>
      <c r="D77" s="745"/>
      <c r="E77" s="721"/>
      <c r="F77" s="721"/>
      <c r="G77" s="746"/>
      <c r="H77" s="746"/>
      <c r="I77" s="746"/>
      <c r="J77" s="747"/>
      <c r="K77" s="721"/>
    </row>
    <row r="78" spans="1:11" x14ac:dyDescent="0.25">
      <c r="A78" s="734"/>
      <c r="B78" s="748"/>
      <c r="C78" s="734"/>
      <c r="D78" s="734"/>
      <c r="E78" s="748"/>
      <c r="F78" s="748"/>
      <c r="G78" s="701"/>
      <c r="H78" s="701"/>
      <c r="I78" s="701"/>
      <c r="J78" s="749"/>
      <c r="K78" s="721"/>
    </row>
    <row r="79" spans="1:11" x14ac:dyDescent="0.25">
      <c r="A79" s="745"/>
      <c r="B79" s="721"/>
      <c r="C79" s="745"/>
      <c r="D79" s="745"/>
      <c r="E79" s="721"/>
      <c r="F79" s="721"/>
      <c r="G79" s="746"/>
      <c r="H79" s="746"/>
      <c r="I79" s="746"/>
      <c r="J79" s="747"/>
      <c r="K79" s="721"/>
    </row>
  </sheetData>
  <mergeCells count="11">
    <mergeCell ref="A1:K1"/>
    <mergeCell ref="B2:C2"/>
    <mergeCell ref="B3:C3"/>
    <mergeCell ref="D3:E3"/>
    <mergeCell ref="B4:C4"/>
    <mergeCell ref="D4:E4"/>
    <mergeCell ref="B5:C5"/>
    <mergeCell ref="D5:E5"/>
    <mergeCell ref="B6:C6"/>
    <mergeCell ref="D6:E6"/>
    <mergeCell ref="J70:K72"/>
  </mergeCells>
  <dataValidations count="1">
    <dataValidation type="list" allowBlank="1" showInputMessage="1" showErrorMessage="1" sqref="F4" xr:uid="{00000000-0002-0000-0800-000000000000}">
      <formula1>$M$4:$M$7</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78C8C-69F4-4E98-9464-AD8FE5095528}">
  <sheetPr codeName="Sheet11"/>
  <dimension ref="A1:O196"/>
  <sheetViews>
    <sheetView zoomScale="85" zoomScaleNormal="85" workbookViewId="0">
      <pane xSplit="4" ySplit="4" topLeftCell="E29" activePane="bottomRight" state="frozen"/>
      <selection pane="topRight" activeCell="E1" sqref="E1"/>
      <selection pane="bottomLeft" activeCell="A3" sqref="A3"/>
      <selection pane="bottomRight" activeCell="G29" sqref="G29"/>
    </sheetView>
  </sheetViews>
  <sheetFormatPr defaultRowHeight="15" x14ac:dyDescent="0.25"/>
  <cols>
    <col min="1" max="1" width="5.28515625" customWidth="1"/>
    <col min="2" max="2" width="6" customWidth="1"/>
    <col min="3" max="3" width="8.140625" customWidth="1"/>
    <col min="4" max="4" width="8.5703125" customWidth="1"/>
    <col min="5" max="5" width="28.5703125" style="910" customWidth="1"/>
    <col min="6" max="6" width="27.140625" style="192" customWidth="1"/>
    <col min="7" max="14" width="41.5703125" customWidth="1"/>
    <col min="15" max="15" width="24.7109375" customWidth="1"/>
    <col min="16" max="18" width="25" customWidth="1"/>
    <col min="19" max="19" width="27.5703125" customWidth="1"/>
    <col min="20" max="20" width="23.85546875" customWidth="1"/>
    <col min="21" max="21" width="24.42578125" customWidth="1"/>
    <col min="22" max="23" width="24" customWidth="1"/>
  </cols>
  <sheetData>
    <row r="1" spans="1:15" ht="15" customHeight="1" x14ac:dyDescent="0.25">
      <c r="A1" s="1072" t="s">
        <v>963</v>
      </c>
      <c r="B1" s="1073"/>
      <c r="C1" s="1073"/>
      <c r="D1" s="1073"/>
      <c r="E1" s="1074"/>
      <c r="F1" s="1075"/>
      <c r="G1" s="1073"/>
      <c r="H1" s="1073"/>
      <c r="I1" s="1073"/>
      <c r="J1" s="1073"/>
      <c r="K1" s="1073"/>
      <c r="L1" s="1073"/>
      <c r="M1" s="1073"/>
      <c r="N1" s="1073"/>
    </row>
    <row r="2" spans="1:15" ht="15" customHeight="1" x14ac:dyDescent="0.25">
      <c r="A2" s="1076"/>
      <c r="B2" s="1076"/>
      <c r="C2" s="1076"/>
      <c r="D2" s="1076"/>
      <c r="E2" s="1076"/>
      <c r="F2" s="1076"/>
      <c r="G2" s="1076"/>
      <c r="H2" s="1076"/>
      <c r="I2" s="1076"/>
      <c r="J2" s="1076"/>
      <c r="K2" s="1076"/>
      <c r="L2" s="1076"/>
      <c r="M2" s="1076"/>
      <c r="N2" s="1076"/>
    </row>
    <row r="3" spans="1:15" ht="15" customHeight="1" x14ac:dyDescent="0.25">
      <c r="A3" s="1077" t="s">
        <v>964</v>
      </c>
      <c r="B3" s="1078"/>
      <c r="C3" s="1078"/>
      <c r="D3" s="1079"/>
      <c r="E3" s="1080" t="s">
        <v>979</v>
      </c>
      <c r="F3" s="1080" t="s">
        <v>1023</v>
      </c>
      <c r="G3" s="1068" t="s">
        <v>965</v>
      </c>
      <c r="H3" s="1068" t="s">
        <v>966</v>
      </c>
      <c r="I3" s="1068" t="s">
        <v>967</v>
      </c>
      <c r="J3" s="1068" t="s">
        <v>968</v>
      </c>
      <c r="K3" s="1068" t="s">
        <v>969</v>
      </c>
      <c r="L3" s="1068" t="s">
        <v>970</v>
      </c>
      <c r="M3" s="1068" t="s">
        <v>971</v>
      </c>
      <c r="N3" s="1068" t="s">
        <v>972</v>
      </c>
      <c r="O3" s="1081"/>
    </row>
    <row r="4" spans="1:15" ht="15" customHeight="1" x14ac:dyDescent="0.25">
      <c r="A4" s="1082"/>
      <c r="B4" s="1076"/>
      <c r="C4" s="1076"/>
      <c r="D4" s="1083"/>
      <c r="E4" s="1069"/>
      <c r="F4" s="1069"/>
      <c r="G4" s="1069"/>
      <c r="H4" s="1069"/>
      <c r="I4" s="1069"/>
      <c r="J4" s="1069"/>
      <c r="K4" s="1069"/>
      <c r="L4" s="1069"/>
      <c r="M4" s="1069"/>
      <c r="N4" s="1069"/>
      <c r="O4" s="1081"/>
    </row>
    <row r="5" spans="1:15" x14ac:dyDescent="0.25">
      <c r="A5" s="845">
        <v>1</v>
      </c>
      <c r="B5" s="1084"/>
      <c r="C5" s="1084"/>
      <c r="D5" s="1085"/>
      <c r="E5" s="1086"/>
      <c r="F5" s="514"/>
      <c r="G5" s="514"/>
      <c r="H5" s="514"/>
      <c r="I5" s="514"/>
      <c r="J5" s="514"/>
      <c r="K5" s="514"/>
      <c r="L5" s="514"/>
      <c r="M5" s="514"/>
      <c r="N5" s="514"/>
    </row>
    <row r="6" spans="1:15" x14ac:dyDescent="0.25">
      <c r="A6" s="845">
        <v>2</v>
      </c>
      <c r="B6" s="1084"/>
      <c r="C6" s="1087"/>
      <c r="D6" s="1085"/>
      <c r="E6" s="1086"/>
      <c r="F6" s="514"/>
      <c r="G6" s="514"/>
      <c r="H6" s="514"/>
      <c r="I6" s="514"/>
      <c r="J6" s="514"/>
      <c r="K6" s="514"/>
      <c r="L6" s="514"/>
      <c r="M6" s="514"/>
      <c r="N6" s="514"/>
    </row>
    <row r="7" spans="1:15" x14ac:dyDescent="0.25">
      <c r="A7" s="845">
        <v>3</v>
      </c>
      <c r="B7" s="1084"/>
      <c r="C7" s="1088"/>
      <c r="D7" s="1085"/>
      <c r="E7" s="1086"/>
      <c r="F7" s="514"/>
      <c r="G7" s="514"/>
      <c r="H7" s="514"/>
      <c r="I7" s="514"/>
      <c r="J7" s="514"/>
      <c r="K7" s="514"/>
      <c r="L7" s="514"/>
      <c r="M7" s="514"/>
      <c r="N7" s="514"/>
    </row>
    <row r="8" spans="1:15" x14ac:dyDescent="0.25">
      <c r="A8" s="845">
        <v>4</v>
      </c>
      <c r="B8" s="1084"/>
      <c r="C8" s="1089"/>
      <c r="D8" s="1085"/>
      <c r="E8" s="1086"/>
      <c r="F8" s="514"/>
      <c r="G8" s="514"/>
      <c r="H8" s="514"/>
      <c r="I8" s="514"/>
      <c r="J8" s="514"/>
      <c r="K8" s="514"/>
      <c r="L8" s="514"/>
      <c r="M8" s="514"/>
      <c r="N8" s="514"/>
    </row>
    <row r="9" spans="1:15" x14ac:dyDescent="0.25">
      <c r="A9" s="845">
        <v>5</v>
      </c>
      <c r="B9" s="1084"/>
      <c r="C9" s="1090"/>
      <c r="D9" s="1085"/>
      <c r="E9" s="1086"/>
      <c r="F9" s="514"/>
      <c r="G9" s="514"/>
      <c r="H9" s="514"/>
      <c r="I9" s="514"/>
      <c r="J9" s="514"/>
      <c r="K9" s="514"/>
      <c r="L9" s="514"/>
      <c r="M9" s="514"/>
      <c r="N9" s="514"/>
    </row>
    <row r="10" spans="1:15" x14ac:dyDescent="0.25">
      <c r="A10" s="845">
        <v>6</v>
      </c>
      <c r="B10" s="1084"/>
      <c r="C10" s="1091"/>
      <c r="D10" s="1085"/>
      <c r="E10" s="1086"/>
      <c r="F10" s="514"/>
      <c r="G10" s="514"/>
      <c r="H10" s="514"/>
      <c r="I10" s="514"/>
      <c r="J10" s="514"/>
      <c r="K10" s="514"/>
      <c r="L10" s="514"/>
      <c r="M10" s="514"/>
      <c r="N10" s="514"/>
    </row>
    <row r="11" spans="1:15" x14ac:dyDescent="0.25">
      <c r="A11" s="845">
        <v>7</v>
      </c>
      <c r="B11" s="1084"/>
      <c r="C11" s="1092"/>
      <c r="D11" s="1085"/>
      <c r="E11" s="1086"/>
      <c r="F11" s="514"/>
      <c r="G11" s="514"/>
      <c r="H11" s="514"/>
      <c r="I11" s="514"/>
      <c r="J11" s="514"/>
      <c r="K11" s="514"/>
      <c r="L11" s="514"/>
      <c r="M11" s="514"/>
      <c r="N11" s="514"/>
    </row>
    <row r="12" spans="1:15" x14ac:dyDescent="0.25">
      <c r="A12" s="845">
        <v>8</v>
      </c>
      <c r="B12" s="1084"/>
      <c r="C12" s="1093"/>
      <c r="D12" s="1085"/>
      <c r="E12" s="1086"/>
      <c r="F12" s="514"/>
      <c r="G12" s="514"/>
      <c r="H12" s="514"/>
      <c r="I12" s="514"/>
      <c r="J12" s="514"/>
      <c r="K12" s="514"/>
      <c r="L12" s="514"/>
      <c r="M12" s="514"/>
      <c r="N12" s="514"/>
    </row>
    <row r="13" spans="1:15" x14ac:dyDescent="0.25">
      <c r="A13" s="845">
        <v>9</v>
      </c>
      <c r="B13" s="1084"/>
      <c r="C13" s="1094"/>
      <c r="D13" s="1085"/>
      <c r="E13" s="1086"/>
      <c r="F13" s="514"/>
      <c r="G13" s="514"/>
      <c r="H13" s="514"/>
      <c r="I13" s="514"/>
      <c r="J13" s="514"/>
      <c r="K13" s="514"/>
      <c r="L13" s="514"/>
      <c r="M13" s="514"/>
      <c r="N13" s="514"/>
    </row>
    <row r="14" spans="1:15" x14ac:dyDescent="0.25">
      <c r="A14" s="845">
        <v>10</v>
      </c>
      <c r="B14" s="1084"/>
      <c r="C14" s="1095"/>
      <c r="D14" s="1085"/>
      <c r="E14" s="1086"/>
      <c r="F14" s="514"/>
      <c r="G14" s="514"/>
      <c r="H14" s="514"/>
      <c r="I14" s="514"/>
      <c r="J14" s="514"/>
      <c r="K14" s="514"/>
      <c r="L14" s="514"/>
      <c r="M14" s="514"/>
      <c r="N14" s="514"/>
    </row>
    <row r="15" spans="1:15" x14ac:dyDescent="0.25">
      <c r="A15" s="845">
        <v>11</v>
      </c>
      <c r="B15" s="1084"/>
      <c r="C15" s="1096"/>
      <c r="D15" s="1085"/>
      <c r="E15" s="1086"/>
      <c r="F15" s="514"/>
      <c r="G15" s="514"/>
      <c r="H15" s="514"/>
      <c r="I15" s="514"/>
      <c r="J15" s="514"/>
      <c r="K15" s="514"/>
      <c r="L15" s="514"/>
      <c r="M15" s="514"/>
      <c r="N15" s="514"/>
    </row>
    <row r="16" spans="1:15" x14ac:dyDescent="0.25">
      <c r="A16" s="845">
        <v>12</v>
      </c>
      <c r="B16" s="1084"/>
      <c r="C16" s="1097"/>
      <c r="D16" s="1085"/>
      <c r="E16" s="1086"/>
      <c r="F16" s="514"/>
      <c r="G16" s="846"/>
      <c r="H16" s="846"/>
      <c r="I16" s="846"/>
      <c r="J16" s="846"/>
      <c r="K16" s="846"/>
      <c r="L16" s="846"/>
      <c r="M16" s="846"/>
      <c r="N16" s="846"/>
    </row>
    <row r="17" spans="1:14" x14ac:dyDescent="0.25">
      <c r="A17" s="845">
        <v>13</v>
      </c>
      <c r="B17" s="1087"/>
      <c r="C17" s="1084"/>
      <c r="D17" s="1085"/>
      <c r="E17" s="1086"/>
      <c r="F17" s="514"/>
      <c r="G17" s="846"/>
      <c r="H17" s="846"/>
      <c r="I17" s="846"/>
      <c r="J17" s="846"/>
      <c r="K17" s="846"/>
      <c r="L17" s="846"/>
      <c r="M17" s="846"/>
      <c r="N17" s="846"/>
    </row>
    <row r="18" spans="1:14" x14ac:dyDescent="0.25">
      <c r="A18" s="845">
        <v>14</v>
      </c>
      <c r="B18" s="1087"/>
      <c r="C18" s="1087"/>
      <c r="D18" s="1085"/>
      <c r="E18" s="1086"/>
      <c r="F18" s="514"/>
      <c r="G18" s="846"/>
      <c r="H18" s="846"/>
      <c r="I18" s="846"/>
      <c r="J18" s="846"/>
      <c r="K18" s="846"/>
      <c r="L18" s="846"/>
      <c r="M18" s="846"/>
      <c r="N18" s="846"/>
    </row>
    <row r="19" spans="1:14" x14ac:dyDescent="0.25">
      <c r="A19" s="845">
        <v>15</v>
      </c>
      <c r="B19" s="1087"/>
      <c r="C19" s="1088"/>
      <c r="D19" s="1085"/>
      <c r="E19" s="1086"/>
      <c r="F19" s="514"/>
      <c r="G19" s="846"/>
      <c r="H19" s="846"/>
      <c r="I19" s="846"/>
      <c r="J19" s="846"/>
      <c r="K19" s="846"/>
      <c r="L19" s="846"/>
      <c r="M19" s="846"/>
      <c r="N19" s="846"/>
    </row>
    <row r="20" spans="1:14" x14ac:dyDescent="0.25">
      <c r="A20" s="845">
        <v>16</v>
      </c>
      <c r="B20" s="1087"/>
      <c r="C20" s="1089"/>
      <c r="D20" s="1085"/>
      <c r="E20" s="1086"/>
      <c r="F20" s="514"/>
      <c r="G20" s="846"/>
      <c r="H20" s="846"/>
      <c r="I20" s="846"/>
      <c r="J20" s="846"/>
      <c r="K20" s="846"/>
      <c r="L20" s="846"/>
      <c r="M20" s="846"/>
      <c r="N20" s="846"/>
    </row>
    <row r="21" spans="1:14" x14ac:dyDescent="0.25">
      <c r="A21" s="845">
        <v>17</v>
      </c>
      <c r="B21" s="1087"/>
      <c r="C21" s="1090"/>
      <c r="D21" s="1085"/>
      <c r="E21" s="1086"/>
      <c r="F21" s="514"/>
      <c r="G21" s="846"/>
      <c r="H21" s="846"/>
      <c r="I21" s="846"/>
      <c r="J21" s="846"/>
      <c r="K21" s="846"/>
      <c r="L21" s="846"/>
      <c r="M21" s="846"/>
      <c r="N21" s="846"/>
    </row>
    <row r="22" spans="1:14" x14ac:dyDescent="0.25">
      <c r="A22" s="845">
        <v>18</v>
      </c>
      <c r="B22" s="1087"/>
      <c r="C22" s="1091"/>
      <c r="D22" s="1085"/>
      <c r="E22" s="1086"/>
      <c r="F22" s="514"/>
      <c r="G22" s="846"/>
      <c r="H22" s="846"/>
      <c r="I22" s="846"/>
      <c r="J22" s="846"/>
      <c r="K22" s="846"/>
      <c r="L22" s="846"/>
      <c r="M22" s="846"/>
      <c r="N22" s="846"/>
    </row>
    <row r="23" spans="1:14" x14ac:dyDescent="0.25">
      <c r="A23" s="845">
        <v>19</v>
      </c>
      <c r="B23" s="1087"/>
      <c r="C23" s="1092"/>
      <c r="D23" s="1085"/>
      <c r="E23" s="1086"/>
      <c r="F23" s="514"/>
      <c r="G23" s="846"/>
      <c r="H23" s="846"/>
      <c r="I23" s="846"/>
      <c r="J23" s="846"/>
      <c r="K23" s="846"/>
      <c r="L23" s="846"/>
      <c r="M23" s="846"/>
      <c r="N23" s="846"/>
    </row>
    <row r="24" spans="1:14" x14ac:dyDescent="0.25">
      <c r="A24" s="845">
        <v>20</v>
      </c>
      <c r="B24" s="1087"/>
      <c r="C24" s="1093"/>
      <c r="D24" s="1085"/>
      <c r="E24" s="1086"/>
      <c r="F24" s="514"/>
      <c r="G24" s="846"/>
      <c r="H24" s="846"/>
      <c r="I24" s="846"/>
      <c r="J24" s="846"/>
      <c r="K24" s="846"/>
      <c r="L24" s="846"/>
      <c r="M24" s="846"/>
      <c r="N24" s="846"/>
    </row>
    <row r="25" spans="1:14" x14ac:dyDescent="0.25">
      <c r="A25" s="845">
        <v>21</v>
      </c>
      <c r="B25" s="1087"/>
      <c r="C25" s="1094"/>
      <c r="D25" s="1085"/>
      <c r="E25" s="1086"/>
      <c r="F25" s="514"/>
      <c r="G25" s="846"/>
      <c r="H25" s="846"/>
      <c r="I25" s="846"/>
      <c r="J25" s="846"/>
      <c r="K25" s="846"/>
      <c r="L25" s="846"/>
      <c r="M25" s="846"/>
      <c r="N25" s="846"/>
    </row>
    <row r="26" spans="1:14" x14ac:dyDescent="0.25">
      <c r="A26" s="845">
        <v>22</v>
      </c>
      <c r="B26" s="1087"/>
      <c r="C26" s="1095"/>
      <c r="D26" s="1085"/>
      <c r="E26" s="1086"/>
      <c r="F26" s="514"/>
      <c r="G26" s="846"/>
      <c r="H26" s="846"/>
      <c r="I26" s="846"/>
      <c r="J26" s="846"/>
      <c r="K26" s="846"/>
      <c r="L26" s="846"/>
      <c r="M26" s="846"/>
      <c r="N26" s="846"/>
    </row>
    <row r="27" spans="1:14" x14ac:dyDescent="0.25">
      <c r="A27" s="845">
        <v>23</v>
      </c>
      <c r="B27" s="1087"/>
      <c r="C27" s="1096"/>
      <c r="D27" s="1085"/>
      <c r="E27" s="1086"/>
      <c r="F27" s="514"/>
      <c r="G27" s="846"/>
      <c r="H27" s="846"/>
      <c r="I27" s="846"/>
      <c r="J27" s="846"/>
      <c r="K27" s="846"/>
      <c r="L27" s="846"/>
      <c r="M27" s="846"/>
      <c r="N27" s="846"/>
    </row>
    <row r="28" spans="1:14" x14ac:dyDescent="0.25">
      <c r="A28" s="845">
        <v>24</v>
      </c>
      <c r="B28" s="1087"/>
      <c r="C28" s="1097"/>
      <c r="D28" s="1085"/>
      <c r="E28" s="1086"/>
      <c r="F28" s="514"/>
      <c r="G28" s="846"/>
      <c r="H28" s="846"/>
      <c r="I28" s="846"/>
      <c r="J28" s="846"/>
      <c r="K28" s="846"/>
      <c r="L28" s="846"/>
      <c r="M28" s="846"/>
      <c r="N28" s="846"/>
    </row>
    <row r="29" spans="1:14" x14ac:dyDescent="0.25">
      <c r="A29" s="845">
        <v>25</v>
      </c>
      <c r="B29" s="1088"/>
      <c r="C29" s="1084"/>
      <c r="D29" s="1085"/>
      <c r="E29" s="1086"/>
      <c r="F29" s="514"/>
      <c r="G29" s="846"/>
      <c r="H29" s="846"/>
      <c r="I29" s="846"/>
      <c r="J29" s="846"/>
      <c r="K29" s="846"/>
      <c r="L29" s="846"/>
      <c r="M29" s="846"/>
      <c r="N29" s="846"/>
    </row>
    <row r="30" spans="1:14" x14ac:dyDescent="0.25">
      <c r="A30" s="845">
        <v>26</v>
      </c>
      <c r="B30" s="1088"/>
      <c r="C30" s="1087"/>
      <c r="D30" s="1085"/>
      <c r="E30" s="1086"/>
      <c r="F30" s="514"/>
      <c r="G30" s="846"/>
      <c r="H30" s="846"/>
      <c r="I30" s="846"/>
      <c r="J30" s="846"/>
      <c r="K30" s="846"/>
      <c r="L30" s="846"/>
      <c r="M30" s="846"/>
      <c r="N30" s="846"/>
    </row>
    <row r="31" spans="1:14" x14ac:dyDescent="0.25">
      <c r="A31" s="845">
        <v>27</v>
      </c>
      <c r="B31" s="1088"/>
      <c r="C31" s="1088"/>
      <c r="D31" s="1085"/>
      <c r="E31" s="1086"/>
      <c r="F31" s="514"/>
      <c r="G31" s="846"/>
      <c r="H31" s="846"/>
      <c r="I31" s="846"/>
      <c r="J31" s="846"/>
      <c r="K31" s="846"/>
      <c r="L31" s="846"/>
      <c r="M31" s="846"/>
      <c r="N31" s="846"/>
    </row>
    <row r="32" spans="1:14" x14ac:dyDescent="0.25">
      <c r="A32" s="845">
        <v>28</v>
      </c>
      <c r="B32" s="1088"/>
      <c r="C32" s="1089"/>
      <c r="D32" s="1085"/>
      <c r="E32" s="1086"/>
      <c r="F32" s="514"/>
      <c r="G32" s="846"/>
      <c r="H32" s="846"/>
      <c r="I32" s="846"/>
      <c r="J32" s="846"/>
      <c r="K32" s="846"/>
      <c r="L32" s="846"/>
      <c r="M32" s="846"/>
      <c r="N32" s="846"/>
    </row>
    <row r="33" spans="1:14" x14ac:dyDescent="0.25">
      <c r="A33" s="845">
        <v>29</v>
      </c>
      <c r="B33" s="1088"/>
      <c r="C33" s="1090"/>
      <c r="D33" s="1085"/>
      <c r="E33" s="1086"/>
      <c r="F33" s="514"/>
      <c r="G33" s="846"/>
      <c r="H33" s="846"/>
      <c r="I33" s="846"/>
      <c r="J33" s="846"/>
      <c r="K33" s="846"/>
      <c r="L33" s="846"/>
      <c r="M33" s="846"/>
      <c r="N33" s="846"/>
    </row>
    <row r="34" spans="1:14" x14ac:dyDescent="0.25">
      <c r="A34" s="845">
        <v>30</v>
      </c>
      <c r="B34" s="1088"/>
      <c r="C34" s="1091"/>
      <c r="D34" s="1085"/>
      <c r="E34" s="1086"/>
      <c r="F34" s="514"/>
      <c r="G34" s="846"/>
      <c r="H34" s="846"/>
      <c r="I34" s="846"/>
      <c r="J34" s="846"/>
      <c r="K34" s="846"/>
      <c r="L34" s="846"/>
      <c r="M34" s="846"/>
      <c r="N34" s="846"/>
    </row>
    <row r="35" spans="1:14" x14ac:dyDescent="0.25">
      <c r="A35" s="845">
        <v>31</v>
      </c>
      <c r="B35" s="1088"/>
      <c r="C35" s="1092"/>
      <c r="D35" s="1085"/>
      <c r="E35" s="1086"/>
      <c r="F35" s="514"/>
      <c r="G35" s="846"/>
      <c r="H35" s="846"/>
      <c r="I35" s="846"/>
      <c r="J35" s="846"/>
      <c r="K35" s="846"/>
      <c r="L35" s="846"/>
      <c r="M35" s="846"/>
      <c r="N35" s="846"/>
    </row>
    <row r="36" spans="1:14" x14ac:dyDescent="0.25">
      <c r="A36" s="845">
        <v>32</v>
      </c>
      <c r="B36" s="1088"/>
      <c r="C36" s="1093"/>
      <c r="D36" s="1085"/>
      <c r="E36" s="1086"/>
      <c r="F36" s="514"/>
      <c r="G36" s="846"/>
      <c r="H36" s="846"/>
      <c r="I36" s="846"/>
      <c r="J36" s="846"/>
      <c r="K36" s="846"/>
      <c r="L36" s="846"/>
      <c r="M36" s="846"/>
      <c r="N36" s="846"/>
    </row>
    <row r="37" spans="1:14" x14ac:dyDescent="0.25">
      <c r="A37" s="845">
        <v>33</v>
      </c>
      <c r="B37" s="1088"/>
      <c r="C37" s="1094"/>
      <c r="D37" s="1085"/>
      <c r="E37" s="1086"/>
      <c r="F37" s="514"/>
      <c r="G37" s="846"/>
      <c r="H37" s="846"/>
      <c r="I37" s="846"/>
      <c r="J37" s="846"/>
      <c r="K37" s="846"/>
      <c r="L37" s="846"/>
      <c r="M37" s="846"/>
      <c r="N37" s="846"/>
    </row>
    <row r="38" spans="1:14" x14ac:dyDescent="0.25">
      <c r="A38" s="845">
        <v>34</v>
      </c>
      <c r="B38" s="1088"/>
      <c r="C38" s="1095"/>
      <c r="D38" s="1085"/>
      <c r="E38" s="1086"/>
      <c r="F38" s="514"/>
      <c r="G38" s="846"/>
      <c r="H38" s="846"/>
      <c r="I38" s="846"/>
      <c r="J38" s="846"/>
      <c r="K38" s="846"/>
      <c r="L38" s="846"/>
      <c r="M38" s="846"/>
      <c r="N38" s="846"/>
    </row>
    <row r="39" spans="1:14" x14ac:dyDescent="0.25">
      <c r="A39" s="845">
        <v>35</v>
      </c>
      <c r="B39" s="1088"/>
      <c r="C39" s="1096"/>
      <c r="D39" s="1085"/>
      <c r="E39" s="1086"/>
      <c r="F39" s="514"/>
      <c r="G39" s="846"/>
      <c r="H39" s="846"/>
      <c r="I39" s="846"/>
      <c r="J39" s="846"/>
      <c r="K39" s="846"/>
      <c r="L39" s="846"/>
      <c r="M39" s="846"/>
      <c r="N39" s="846"/>
    </row>
    <row r="40" spans="1:14" x14ac:dyDescent="0.25">
      <c r="A40" s="845">
        <v>36</v>
      </c>
      <c r="B40" s="1088"/>
      <c r="C40" s="1097"/>
      <c r="D40" s="1085"/>
      <c r="E40" s="1086"/>
      <c r="F40" s="514"/>
      <c r="G40" s="846"/>
      <c r="H40" s="846"/>
      <c r="I40" s="846"/>
      <c r="J40" s="846"/>
      <c r="K40" s="846"/>
      <c r="L40" s="846"/>
      <c r="M40" s="846"/>
      <c r="N40" s="846"/>
    </row>
    <row r="41" spans="1:14" x14ac:dyDescent="0.25">
      <c r="A41" s="845">
        <v>37</v>
      </c>
      <c r="B41" s="1089"/>
      <c r="C41" s="1084"/>
      <c r="D41" s="1085"/>
      <c r="E41" s="1086"/>
      <c r="F41" s="514"/>
      <c r="G41" s="846"/>
      <c r="H41" s="846"/>
      <c r="I41" s="846"/>
      <c r="J41" s="846"/>
      <c r="K41" s="846"/>
      <c r="L41" s="846"/>
      <c r="M41" s="846"/>
      <c r="N41" s="846"/>
    </row>
    <row r="42" spans="1:14" x14ac:dyDescent="0.25">
      <c r="A42" s="845">
        <v>38</v>
      </c>
      <c r="B42" s="1089"/>
      <c r="C42" s="1087"/>
      <c r="D42" s="1085"/>
      <c r="E42" s="1086"/>
      <c r="F42" s="514"/>
      <c r="G42" s="846"/>
      <c r="H42" s="846"/>
      <c r="I42" s="846"/>
      <c r="J42" s="846"/>
      <c r="K42" s="846"/>
      <c r="L42" s="846"/>
      <c r="M42" s="846"/>
      <c r="N42" s="846"/>
    </row>
    <row r="43" spans="1:14" x14ac:dyDescent="0.25">
      <c r="A43" s="845">
        <v>39</v>
      </c>
      <c r="B43" s="1089"/>
      <c r="C43" s="1088"/>
      <c r="D43" s="1085"/>
      <c r="E43" s="1086"/>
      <c r="F43" s="514"/>
      <c r="G43" s="846"/>
      <c r="H43" s="846"/>
      <c r="I43" s="846"/>
      <c r="J43" s="846"/>
      <c r="K43" s="846"/>
      <c r="L43" s="846"/>
      <c r="M43" s="846"/>
      <c r="N43" s="846"/>
    </row>
    <row r="44" spans="1:14" x14ac:dyDescent="0.25">
      <c r="A44" s="845">
        <v>40</v>
      </c>
      <c r="B44" s="1089"/>
      <c r="C44" s="1089"/>
      <c r="D44" s="1085"/>
      <c r="E44" s="1086"/>
      <c r="F44" s="514"/>
      <c r="G44" s="846"/>
      <c r="H44" s="846"/>
      <c r="I44" s="846"/>
      <c r="J44" s="846"/>
      <c r="K44" s="846"/>
      <c r="L44" s="846"/>
      <c r="M44" s="846"/>
      <c r="N44" s="846"/>
    </row>
    <row r="45" spans="1:14" x14ac:dyDescent="0.25">
      <c r="A45" s="845">
        <v>41</v>
      </c>
      <c r="B45" s="1089"/>
      <c r="C45" s="1090"/>
      <c r="D45" s="1085"/>
      <c r="E45" s="1086"/>
      <c r="F45" s="514"/>
      <c r="G45" s="846"/>
      <c r="H45" s="846"/>
      <c r="I45" s="846"/>
      <c r="J45" s="846"/>
      <c r="K45" s="846"/>
      <c r="L45" s="846"/>
      <c r="M45" s="846"/>
      <c r="N45" s="846"/>
    </row>
    <row r="46" spans="1:14" x14ac:dyDescent="0.25">
      <c r="A46" s="845">
        <v>42</v>
      </c>
      <c r="B46" s="1089"/>
      <c r="C46" s="1091"/>
      <c r="D46" s="1085">
        <v>42</v>
      </c>
      <c r="E46" s="1086" t="s">
        <v>1110</v>
      </c>
      <c r="F46" s="514" t="s">
        <v>1252</v>
      </c>
      <c r="G46" s="846" t="s">
        <v>1253</v>
      </c>
      <c r="H46" s="846" t="s">
        <v>1254</v>
      </c>
      <c r="I46" s="846" t="s">
        <v>1255</v>
      </c>
      <c r="J46" s="846" t="s">
        <v>1256</v>
      </c>
      <c r="K46" s="846" t="s">
        <v>1257</v>
      </c>
      <c r="L46" s="846" t="s">
        <v>1258</v>
      </c>
      <c r="M46" s="846" t="s">
        <v>1259</v>
      </c>
      <c r="N46" s="846" t="s">
        <v>1260</v>
      </c>
    </row>
    <row r="47" spans="1:14" x14ac:dyDescent="0.25">
      <c r="A47" s="845">
        <v>43</v>
      </c>
      <c r="B47" s="1089"/>
      <c r="C47" s="1092"/>
      <c r="D47" s="1085"/>
      <c r="E47" s="1086"/>
      <c r="F47" s="514"/>
      <c r="G47" s="846"/>
      <c r="H47" s="846"/>
      <c r="I47" s="846"/>
      <c r="J47" s="846"/>
      <c r="K47" s="846"/>
      <c r="L47" s="846"/>
      <c r="M47" s="846"/>
      <c r="N47" s="846"/>
    </row>
    <row r="48" spans="1:14" x14ac:dyDescent="0.25">
      <c r="A48" s="845">
        <v>44</v>
      </c>
      <c r="B48" s="1089"/>
      <c r="C48" s="1093"/>
      <c r="D48" s="1085"/>
      <c r="E48" s="1086"/>
      <c r="F48" s="514"/>
      <c r="G48" s="846"/>
      <c r="H48" s="846"/>
      <c r="I48" s="846"/>
      <c r="J48" s="846"/>
      <c r="K48" s="846"/>
      <c r="L48" s="846"/>
      <c r="M48" s="846"/>
      <c r="N48" s="846"/>
    </row>
    <row r="49" spans="1:14" x14ac:dyDescent="0.25">
      <c r="A49" s="845">
        <v>45</v>
      </c>
      <c r="B49" s="1089"/>
      <c r="C49" s="1094"/>
      <c r="D49" s="1085"/>
      <c r="E49" s="1086"/>
      <c r="F49" s="514"/>
      <c r="G49" s="846"/>
      <c r="H49" s="846"/>
      <c r="I49" s="846"/>
      <c r="J49" s="846"/>
      <c r="K49" s="846"/>
      <c r="L49" s="846"/>
      <c r="M49" s="846"/>
      <c r="N49" s="846"/>
    </row>
    <row r="50" spans="1:14" x14ac:dyDescent="0.25">
      <c r="A50" s="845">
        <v>46</v>
      </c>
      <c r="B50" s="1089"/>
      <c r="C50" s="1095"/>
      <c r="D50" s="1085"/>
      <c r="E50" s="1086"/>
      <c r="F50" s="514"/>
      <c r="G50" s="846"/>
      <c r="H50" s="846"/>
      <c r="I50" s="846"/>
      <c r="J50" s="846"/>
      <c r="K50" s="846"/>
      <c r="L50" s="846"/>
      <c r="M50" s="846"/>
      <c r="N50" s="846"/>
    </row>
    <row r="51" spans="1:14" x14ac:dyDescent="0.25">
      <c r="A51" s="845">
        <v>47</v>
      </c>
      <c r="B51" s="1089"/>
      <c r="C51" s="1096"/>
      <c r="D51" s="1085"/>
      <c r="E51" s="1086"/>
      <c r="F51" s="514"/>
      <c r="G51" s="846"/>
      <c r="H51" s="846"/>
      <c r="I51" s="846"/>
      <c r="J51" s="846"/>
      <c r="K51" s="846"/>
      <c r="L51" s="846"/>
      <c r="M51" s="846"/>
      <c r="N51" s="846"/>
    </row>
    <row r="52" spans="1:14" x14ac:dyDescent="0.25">
      <c r="A52" s="845">
        <v>48</v>
      </c>
      <c r="B52" s="1089"/>
      <c r="C52" s="1097"/>
      <c r="D52" s="1085"/>
      <c r="E52" s="1086"/>
      <c r="F52" s="514"/>
      <c r="G52" s="846"/>
      <c r="H52" s="846"/>
      <c r="I52" s="846"/>
      <c r="J52" s="846"/>
      <c r="K52" s="846"/>
      <c r="L52" s="846"/>
      <c r="M52" s="846"/>
      <c r="N52" s="846"/>
    </row>
    <row r="53" spans="1:14" x14ac:dyDescent="0.25">
      <c r="A53" s="845">
        <v>49</v>
      </c>
      <c r="B53" s="1098"/>
      <c r="C53" s="1084"/>
      <c r="D53" s="1085"/>
      <c r="E53" s="1086"/>
      <c r="F53" s="514"/>
      <c r="G53" s="846"/>
      <c r="H53" s="846"/>
      <c r="I53" s="846"/>
      <c r="J53" s="846"/>
      <c r="K53" s="846"/>
      <c r="L53" s="846"/>
      <c r="M53" s="846"/>
      <c r="N53" s="846"/>
    </row>
    <row r="54" spans="1:14" x14ac:dyDescent="0.25">
      <c r="A54" s="845">
        <v>50</v>
      </c>
      <c r="B54" s="1098"/>
      <c r="C54" s="1087"/>
      <c r="D54" s="1085"/>
      <c r="E54" s="1086"/>
      <c r="F54" s="514"/>
      <c r="G54" s="846"/>
      <c r="H54" s="846"/>
      <c r="I54" s="846"/>
      <c r="J54" s="846"/>
      <c r="K54" s="846"/>
      <c r="L54" s="846"/>
      <c r="M54" s="846"/>
      <c r="N54" s="846"/>
    </row>
    <row r="55" spans="1:14" x14ac:dyDescent="0.25">
      <c r="A55" s="845">
        <v>51</v>
      </c>
      <c r="B55" s="1098"/>
      <c r="C55" s="1088"/>
      <c r="D55" s="1085"/>
      <c r="E55" s="1086"/>
      <c r="F55" s="514"/>
      <c r="G55" s="846"/>
      <c r="H55" s="846"/>
      <c r="I55" s="846"/>
      <c r="J55" s="846"/>
      <c r="K55" s="846"/>
      <c r="L55" s="846"/>
      <c r="M55" s="846"/>
      <c r="N55" s="846"/>
    </row>
    <row r="56" spans="1:14" x14ac:dyDescent="0.25">
      <c r="A56" s="845">
        <v>52</v>
      </c>
      <c r="B56" s="1098"/>
      <c r="C56" s="1089"/>
      <c r="D56" s="1085"/>
      <c r="E56" s="1086"/>
      <c r="F56" s="514"/>
      <c r="G56" s="846"/>
      <c r="H56" s="846"/>
      <c r="I56" s="846"/>
      <c r="J56" s="846"/>
      <c r="K56" s="846"/>
      <c r="L56" s="846"/>
      <c r="M56" s="846"/>
      <c r="N56" s="846"/>
    </row>
    <row r="57" spans="1:14" x14ac:dyDescent="0.25">
      <c r="A57" s="845">
        <v>53</v>
      </c>
      <c r="B57" s="1098"/>
      <c r="C57" s="1090"/>
      <c r="D57" s="1085"/>
      <c r="E57" s="1086"/>
      <c r="F57" s="514"/>
      <c r="G57" s="846"/>
      <c r="H57" s="846"/>
      <c r="I57" s="846"/>
      <c r="J57" s="846"/>
      <c r="K57" s="846"/>
      <c r="L57" s="846"/>
      <c r="M57" s="846"/>
      <c r="N57" s="846"/>
    </row>
    <row r="58" spans="1:14" x14ac:dyDescent="0.25">
      <c r="A58" s="845">
        <v>54</v>
      </c>
      <c r="B58" s="1098"/>
      <c r="C58" s="1091"/>
      <c r="D58" s="1085"/>
      <c r="E58" s="1086"/>
      <c r="F58" s="514"/>
      <c r="G58" s="846"/>
      <c r="H58" s="846"/>
      <c r="I58" s="846"/>
      <c r="J58" s="846"/>
      <c r="K58" s="846"/>
      <c r="L58" s="846"/>
      <c r="M58" s="846"/>
      <c r="N58" s="846"/>
    </row>
    <row r="59" spans="1:14" x14ac:dyDescent="0.25">
      <c r="A59" s="845">
        <v>55</v>
      </c>
      <c r="B59" s="1098"/>
      <c r="C59" s="1092"/>
      <c r="D59" s="1085"/>
      <c r="E59" s="1086"/>
      <c r="F59" s="514"/>
      <c r="G59" s="846"/>
      <c r="H59" s="846"/>
      <c r="I59" s="846"/>
      <c r="J59" s="846"/>
      <c r="K59" s="846"/>
      <c r="L59" s="846"/>
      <c r="M59" s="846"/>
      <c r="N59" s="846"/>
    </row>
    <row r="60" spans="1:14" x14ac:dyDescent="0.25">
      <c r="A60" s="845">
        <v>56</v>
      </c>
      <c r="B60" s="1098"/>
      <c r="C60" s="1093"/>
      <c r="D60" s="1085"/>
      <c r="E60" s="1086"/>
      <c r="F60" s="514"/>
      <c r="G60" s="846"/>
      <c r="H60" s="846"/>
      <c r="I60" s="846"/>
      <c r="J60" s="846"/>
      <c r="K60" s="846"/>
      <c r="L60" s="846"/>
      <c r="M60" s="846"/>
      <c r="N60" s="846"/>
    </row>
    <row r="61" spans="1:14" x14ac:dyDescent="0.25">
      <c r="A61" s="845">
        <v>57</v>
      </c>
      <c r="B61" s="1098"/>
      <c r="C61" s="1094"/>
      <c r="D61" s="1085"/>
      <c r="E61" s="1086"/>
      <c r="F61" s="514"/>
      <c r="G61" s="846"/>
      <c r="H61" s="846"/>
      <c r="I61" s="846"/>
      <c r="J61" s="846"/>
      <c r="K61" s="846"/>
      <c r="L61" s="846"/>
      <c r="M61" s="846"/>
      <c r="N61" s="846"/>
    </row>
    <row r="62" spans="1:14" x14ac:dyDescent="0.25">
      <c r="A62" s="845">
        <v>58</v>
      </c>
      <c r="B62" s="1098"/>
      <c r="C62" s="1095"/>
      <c r="D62" s="1085"/>
      <c r="E62" s="1086"/>
      <c r="F62" s="514"/>
      <c r="G62" s="846"/>
      <c r="H62" s="846"/>
      <c r="I62" s="846"/>
      <c r="J62" s="846"/>
      <c r="K62" s="846"/>
      <c r="L62" s="846"/>
      <c r="M62" s="846"/>
      <c r="N62" s="846"/>
    </row>
    <row r="63" spans="1:14" x14ac:dyDescent="0.25">
      <c r="A63" s="845">
        <v>59</v>
      </c>
      <c r="B63" s="1098"/>
      <c r="C63" s="1096"/>
      <c r="D63" s="1085"/>
      <c r="E63" s="1086"/>
      <c r="F63" s="514"/>
      <c r="G63" s="846"/>
      <c r="H63" s="846"/>
      <c r="I63" s="846"/>
      <c r="J63" s="846"/>
      <c r="K63" s="846"/>
      <c r="L63" s="846"/>
      <c r="M63" s="846"/>
      <c r="N63" s="846"/>
    </row>
    <row r="64" spans="1:14" x14ac:dyDescent="0.25">
      <c r="A64" s="845">
        <v>60</v>
      </c>
      <c r="B64" s="1098"/>
      <c r="C64" s="1097"/>
      <c r="D64" s="1085"/>
      <c r="E64" s="514"/>
      <c r="F64" s="514"/>
      <c r="G64" s="514"/>
      <c r="H64" s="514"/>
      <c r="I64" s="514"/>
      <c r="J64" s="514"/>
      <c r="K64" s="514"/>
      <c r="L64" s="514"/>
      <c r="M64" s="514"/>
      <c r="N64" s="514"/>
    </row>
    <row r="65" spans="1:14" x14ac:dyDescent="0.25">
      <c r="A65" s="845">
        <v>61</v>
      </c>
      <c r="B65" s="1099"/>
      <c r="C65" s="1084"/>
      <c r="D65" s="1085"/>
      <c r="E65" s="514"/>
      <c r="F65" s="514"/>
      <c r="G65" s="514"/>
      <c r="H65" s="514"/>
      <c r="I65" s="514"/>
      <c r="J65" s="514"/>
      <c r="K65" s="514"/>
      <c r="L65" s="514"/>
      <c r="M65" s="514"/>
      <c r="N65" s="514"/>
    </row>
    <row r="66" spans="1:14" x14ac:dyDescent="0.25">
      <c r="A66" s="845">
        <v>62</v>
      </c>
      <c r="B66" s="1099"/>
      <c r="C66" s="1087"/>
      <c r="D66" s="1085"/>
      <c r="E66" s="514"/>
      <c r="F66" s="514"/>
      <c r="G66" s="514"/>
      <c r="H66" s="514"/>
      <c r="I66" s="514"/>
      <c r="J66" s="514"/>
      <c r="K66" s="514"/>
      <c r="L66" s="514"/>
      <c r="M66" s="514"/>
      <c r="N66" s="514"/>
    </row>
    <row r="67" spans="1:14" x14ac:dyDescent="0.25">
      <c r="A67" s="845">
        <v>63</v>
      </c>
      <c r="B67" s="1099"/>
      <c r="C67" s="1088"/>
      <c r="D67" s="1085"/>
      <c r="E67" s="514"/>
      <c r="F67" s="514"/>
      <c r="G67" s="514"/>
      <c r="H67" s="514"/>
      <c r="I67" s="514"/>
      <c r="J67" s="514"/>
      <c r="K67" s="514"/>
      <c r="L67" s="514"/>
      <c r="M67" s="514"/>
      <c r="N67" s="514"/>
    </row>
    <row r="68" spans="1:14" x14ac:dyDescent="0.25">
      <c r="A68" s="845">
        <v>64</v>
      </c>
      <c r="B68" s="1099"/>
      <c r="C68" s="1089"/>
      <c r="D68" s="1085"/>
      <c r="E68" s="514"/>
      <c r="F68" s="514"/>
      <c r="G68" s="514"/>
      <c r="H68" s="514"/>
      <c r="I68" s="514"/>
      <c r="J68" s="514"/>
      <c r="K68" s="514"/>
      <c r="L68" s="514"/>
      <c r="M68" s="514"/>
      <c r="N68" s="514"/>
    </row>
    <row r="69" spans="1:14" x14ac:dyDescent="0.25">
      <c r="A69" s="845">
        <v>65</v>
      </c>
      <c r="B69" s="1099"/>
      <c r="C69" s="1090"/>
      <c r="D69" s="1085"/>
      <c r="E69" s="514"/>
      <c r="F69" s="514"/>
      <c r="G69" s="514"/>
      <c r="H69" s="514"/>
      <c r="I69" s="514"/>
      <c r="J69" s="514"/>
      <c r="K69" s="514"/>
      <c r="L69" s="514"/>
      <c r="M69" s="514"/>
      <c r="N69" s="514"/>
    </row>
    <row r="70" spans="1:14" x14ac:dyDescent="0.25">
      <c r="A70" s="845">
        <v>66</v>
      </c>
      <c r="B70" s="1099"/>
      <c r="C70" s="1091"/>
      <c r="D70" s="1085"/>
      <c r="E70" s="514"/>
      <c r="F70" s="514"/>
      <c r="G70" s="514"/>
      <c r="H70" s="514"/>
      <c r="I70" s="514"/>
      <c r="J70" s="514"/>
      <c r="K70" s="514"/>
      <c r="L70" s="514"/>
      <c r="M70" s="514"/>
      <c r="N70" s="514"/>
    </row>
    <row r="71" spans="1:14" x14ac:dyDescent="0.25">
      <c r="A71" s="845">
        <v>67</v>
      </c>
      <c r="B71" s="1099"/>
      <c r="C71" s="1092"/>
      <c r="D71" s="1085"/>
      <c r="E71" s="514"/>
      <c r="F71" s="514"/>
      <c r="G71" s="514"/>
      <c r="H71" s="514"/>
      <c r="I71" s="514"/>
      <c r="J71" s="514"/>
      <c r="K71" s="514"/>
      <c r="L71" s="514"/>
      <c r="M71" s="514"/>
      <c r="N71" s="514"/>
    </row>
    <row r="72" spans="1:14" x14ac:dyDescent="0.25">
      <c r="A72" s="845">
        <v>68</v>
      </c>
      <c r="B72" s="1099"/>
      <c r="C72" s="1093"/>
      <c r="D72" s="1085"/>
      <c r="E72" s="1086"/>
      <c r="F72" s="514"/>
      <c r="G72" s="1086"/>
      <c r="H72" s="1086"/>
      <c r="I72" s="1086"/>
      <c r="J72" s="1086"/>
      <c r="K72" s="1086"/>
      <c r="L72" s="1086"/>
      <c r="M72" s="1086"/>
      <c r="N72" s="1086"/>
    </row>
    <row r="73" spans="1:14" x14ac:dyDescent="0.25">
      <c r="A73" s="845">
        <v>69</v>
      </c>
      <c r="B73" s="1099"/>
      <c r="C73" s="1094"/>
      <c r="D73" s="1085"/>
      <c r="E73" s="1086"/>
      <c r="F73" s="514"/>
      <c r="G73" s="1086"/>
      <c r="H73" s="1086"/>
      <c r="I73" s="1086"/>
      <c r="J73" s="1086"/>
      <c r="K73" s="1086"/>
      <c r="L73" s="1086"/>
      <c r="M73" s="1086"/>
      <c r="N73" s="1086"/>
    </row>
    <row r="74" spans="1:14" x14ac:dyDescent="0.25">
      <c r="A74" s="845">
        <v>70</v>
      </c>
      <c r="B74" s="1099"/>
      <c r="C74" s="1095"/>
      <c r="D74" s="1085"/>
      <c r="E74" s="1086"/>
      <c r="F74" s="514"/>
      <c r="G74" s="1086"/>
      <c r="H74" s="1086"/>
      <c r="I74" s="1086"/>
      <c r="J74" s="1086"/>
      <c r="K74" s="1086"/>
      <c r="L74" s="1086"/>
      <c r="M74" s="1086"/>
      <c r="N74" s="1086"/>
    </row>
    <row r="75" spans="1:14" x14ac:dyDescent="0.25">
      <c r="A75" s="845">
        <v>71</v>
      </c>
      <c r="B75" s="1099"/>
      <c r="C75" s="1096"/>
      <c r="D75" s="1085"/>
      <c r="E75" s="1086"/>
      <c r="F75" s="514"/>
      <c r="G75" s="1086"/>
      <c r="H75" s="1086"/>
      <c r="I75" s="1086"/>
      <c r="J75" s="1086"/>
      <c r="K75" s="1086"/>
      <c r="L75" s="1086"/>
      <c r="M75" s="1086"/>
      <c r="N75" s="1086"/>
    </row>
    <row r="76" spans="1:14" x14ac:dyDescent="0.25">
      <c r="A76" s="845">
        <v>72</v>
      </c>
      <c r="B76" s="1099"/>
      <c r="C76" s="1097"/>
      <c r="D76" s="1085"/>
      <c r="E76" s="1086"/>
      <c r="F76" s="514"/>
      <c r="G76" s="1086"/>
      <c r="H76" s="1086"/>
      <c r="I76" s="1086"/>
      <c r="J76" s="1086"/>
      <c r="K76" s="1086"/>
      <c r="L76" s="1086"/>
      <c r="M76" s="1086"/>
      <c r="N76" s="1086"/>
    </row>
    <row r="77" spans="1:14" x14ac:dyDescent="0.25">
      <c r="A77" s="845">
        <v>73</v>
      </c>
      <c r="B77" s="1100"/>
      <c r="C77" s="1084"/>
      <c r="D77" s="1101"/>
      <c r="E77" s="1102"/>
      <c r="F77" s="514"/>
      <c r="G77" s="514"/>
      <c r="H77" s="514"/>
      <c r="I77" s="514"/>
      <c r="J77" s="514"/>
      <c r="K77" s="514"/>
      <c r="L77" s="514"/>
      <c r="M77" s="514"/>
      <c r="N77" s="514"/>
    </row>
    <row r="78" spans="1:14" x14ac:dyDescent="0.25">
      <c r="A78" s="845">
        <v>74</v>
      </c>
      <c r="B78" s="1100"/>
      <c r="C78" s="1087"/>
      <c r="D78" s="1101"/>
      <c r="E78" s="1102"/>
      <c r="F78" s="514"/>
      <c r="G78" s="514"/>
      <c r="H78" s="514"/>
      <c r="I78" s="514"/>
      <c r="J78" s="514"/>
      <c r="K78" s="514"/>
      <c r="L78" s="514"/>
      <c r="M78" s="514"/>
      <c r="N78" s="514"/>
    </row>
    <row r="79" spans="1:14" x14ac:dyDescent="0.25">
      <c r="A79" s="845">
        <v>75</v>
      </c>
      <c r="B79" s="1100"/>
      <c r="C79" s="1088"/>
      <c r="D79" s="1101"/>
      <c r="E79" s="1102"/>
      <c r="F79" s="514"/>
      <c r="G79" s="514"/>
      <c r="H79" s="514"/>
      <c r="I79" s="514"/>
      <c r="J79" s="514"/>
      <c r="K79" s="514"/>
      <c r="L79" s="514"/>
      <c r="M79" s="514"/>
      <c r="N79" s="514"/>
    </row>
    <row r="80" spans="1:14" x14ac:dyDescent="0.25">
      <c r="A80" s="845">
        <v>76</v>
      </c>
      <c r="B80" s="1100"/>
      <c r="C80" s="1089"/>
      <c r="D80" s="1101"/>
      <c r="E80" s="1102"/>
      <c r="F80" s="514"/>
      <c r="G80" s="514"/>
      <c r="H80" s="514"/>
      <c r="I80" s="514"/>
      <c r="J80" s="514"/>
      <c r="K80" s="514"/>
      <c r="L80" s="514"/>
      <c r="M80" s="514"/>
      <c r="N80" s="514"/>
    </row>
    <row r="81" spans="1:14" x14ac:dyDescent="0.25">
      <c r="A81" s="845">
        <v>77</v>
      </c>
      <c r="B81" s="1100"/>
      <c r="C81" s="1090"/>
      <c r="D81" s="1101"/>
      <c r="E81" s="1102"/>
      <c r="F81" s="514"/>
      <c r="G81" s="514"/>
      <c r="H81" s="514"/>
      <c r="I81" s="514"/>
      <c r="J81" s="514"/>
      <c r="K81" s="514"/>
      <c r="L81" s="514"/>
      <c r="M81" s="514"/>
      <c r="N81" s="514"/>
    </row>
    <row r="82" spans="1:14" x14ac:dyDescent="0.25">
      <c r="A82" s="845">
        <v>78</v>
      </c>
      <c r="B82" s="1100"/>
      <c r="C82" s="1091"/>
      <c r="D82" s="1101"/>
      <c r="E82" s="1102"/>
      <c r="F82" s="514"/>
      <c r="G82" s="514"/>
      <c r="H82" s="514"/>
      <c r="I82" s="514"/>
      <c r="J82" s="514"/>
      <c r="K82" s="514"/>
      <c r="L82" s="514"/>
      <c r="M82" s="514"/>
      <c r="N82" s="514"/>
    </row>
    <row r="83" spans="1:14" x14ac:dyDescent="0.25">
      <c r="A83" s="845">
        <v>79</v>
      </c>
      <c r="B83" s="1100"/>
      <c r="C83" s="1092"/>
      <c r="D83" s="1101"/>
      <c r="E83" s="1102"/>
      <c r="F83" s="514"/>
      <c r="G83" s="514"/>
      <c r="H83" s="514"/>
      <c r="I83" s="514"/>
      <c r="J83" s="514"/>
      <c r="K83" s="514"/>
      <c r="L83" s="514"/>
      <c r="M83" s="514"/>
      <c r="N83" s="514"/>
    </row>
    <row r="84" spans="1:14" x14ac:dyDescent="0.25">
      <c r="A84" s="845">
        <v>80</v>
      </c>
      <c r="B84" s="1100"/>
      <c r="C84" s="1093"/>
      <c r="D84" s="1101"/>
      <c r="E84" s="1102"/>
      <c r="F84" s="514"/>
      <c r="G84" s="514"/>
      <c r="H84" s="514"/>
      <c r="I84" s="514"/>
      <c r="J84" s="514"/>
      <c r="K84" s="514"/>
      <c r="L84" s="514"/>
      <c r="M84" s="514"/>
      <c r="N84" s="514"/>
    </row>
    <row r="85" spans="1:14" x14ac:dyDescent="0.25">
      <c r="A85" s="845">
        <v>81</v>
      </c>
      <c r="B85" s="1100"/>
      <c r="C85" s="1094"/>
      <c r="D85" s="1101"/>
      <c r="E85" s="1102"/>
      <c r="F85" s="514"/>
      <c r="G85" s="514"/>
      <c r="H85" s="514"/>
      <c r="I85" s="514"/>
      <c r="J85" s="514"/>
      <c r="K85" s="514"/>
      <c r="L85" s="514"/>
      <c r="M85" s="514"/>
      <c r="N85" s="514"/>
    </row>
    <row r="86" spans="1:14" x14ac:dyDescent="0.25">
      <c r="A86" s="845">
        <v>82</v>
      </c>
      <c r="B86" s="1100"/>
      <c r="C86" s="1095"/>
      <c r="D86" s="1101"/>
      <c r="E86" s="1102"/>
      <c r="F86" s="514"/>
      <c r="G86" s="514"/>
      <c r="H86" s="514"/>
      <c r="I86" s="514"/>
      <c r="J86" s="514"/>
      <c r="K86" s="514"/>
      <c r="L86" s="514"/>
      <c r="M86" s="514"/>
      <c r="N86" s="514"/>
    </row>
    <row r="87" spans="1:14" x14ac:dyDescent="0.25">
      <c r="A87" s="845">
        <v>83</v>
      </c>
      <c r="B87" s="1100"/>
      <c r="C87" s="1096"/>
      <c r="D87" s="1101"/>
      <c r="E87" s="1102"/>
      <c r="F87" s="514"/>
      <c r="G87" s="514"/>
      <c r="H87" s="514"/>
      <c r="I87" s="514"/>
      <c r="J87" s="514"/>
      <c r="K87" s="514"/>
      <c r="L87" s="514"/>
      <c r="M87" s="514"/>
      <c r="N87" s="514"/>
    </row>
    <row r="88" spans="1:14" x14ac:dyDescent="0.25">
      <c r="A88" s="845">
        <v>84</v>
      </c>
      <c r="B88" s="1100"/>
      <c r="C88" s="1097"/>
      <c r="D88" s="1101"/>
      <c r="E88" s="1102"/>
      <c r="F88" s="514"/>
      <c r="G88" s="514"/>
      <c r="H88" s="514"/>
      <c r="I88" s="514"/>
      <c r="J88" s="514"/>
      <c r="K88" s="514"/>
      <c r="L88" s="514"/>
      <c r="M88" s="514"/>
      <c r="N88" s="514"/>
    </row>
    <row r="89" spans="1:14" x14ac:dyDescent="0.25">
      <c r="A89" s="845">
        <v>85</v>
      </c>
      <c r="B89" s="1103"/>
      <c r="C89" s="1084"/>
      <c r="D89" s="1101"/>
      <c r="E89" s="1102"/>
      <c r="F89" s="514"/>
      <c r="G89" s="514"/>
      <c r="H89" s="514"/>
      <c r="I89" s="514"/>
      <c r="J89" s="514"/>
      <c r="K89" s="514"/>
      <c r="L89" s="514"/>
      <c r="M89" s="514"/>
      <c r="N89" s="514"/>
    </row>
    <row r="90" spans="1:14" x14ac:dyDescent="0.25">
      <c r="A90" s="845">
        <v>86</v>
      </c>
      <c r="B90" s="1103"/>
      <c r="C90" s="1087"/>
      <c r="D90" s="1101"/>
      <c r="E90" s="1102"/>
      <c r="F90" s="514"/>
      <c r="G90" s="514"/>
      <c r="H90" s="514"/>
      <c r="I90" s="514"/>
      <c r="J90" s="514"/>
      <c r="K90" s="514"/>
      <c r="L90" s="514"/>
      <c r="M90" s="514"/>
      <c r="N90" s="514"/>
    </row>
    <row r="91" spans="1:14" x14ac:dyDescent="0.25">
      <c r="A91" s="845">
        <v>87</v>
      </c>
      <c r="B91" s="1103"/>
      <c r="C91" s="1088"/>
      <c r="D91" s="1101"/>
      <c r="E91" s="1102"/>
      <c r="F91" s="514"/>
      <c r="G91" s="514"/>
      <c r="H91" s="514"/>
      <c r="I91" s="514"/>
      <c r="J91" s="514"/>
      <c r="K91" s="514"/>
      <c r="L91" s="514"/>
      <c r="M91" s="514"/>
      <c r="N91" s="514"/>
    </row>
    <row r="92" spans="1:14" x14ac:dyDescent="0.25">
      <c r="A92" s="845">
        <v>88</v>
      </c>
      <c r="B92" s="1103"/>
      <c r="C92" s="1089"/>
      <c r="D92" s="1101"/>
      <c r="E92" s="1102"/>
      <c r="F92" s="514"/>
      <c r="G92" s="514"/>
      <c r="H92" s="514"/>
      <c r="I92" s="514"/>
      <c r="J92" s="514"/>
      <c r="K92" s="514"/>
      <c r="L92" s="514"/>
      <c r="M92" s="514"/>
      <c r="N92" s="514"/>
    </row>
    <row r="93" spans="1:14" x14ac:dyDescent="0.25">
      <c r="A93" s="845">
        <v>89</v>
      </c>
      <c r="B93" s="1103"/>
      <c r="C93" s="1090"/>
      <c r="D93" s="1101"/>
      <c r="E93" s="1102"/>
      <c r="F93" s="514"/>
      <c r="G93" s="514"/>
      <c r="H93" s="514"/>
      <c r="I93" s="514"/>
      <c r="J93" s="514"/>
      <c r="K93" s="514"/>
      <c r="L93" s="514"/>
      <c r="M93" s="514"/>
      <c r="N93" s="514"/>
    </row>
    <row r="94" spans="1:14" x14ac:dyDescent="0.25">
      <c r="A94" s="845">
        <v>90</v>
      </c>
      <c r="B94" s="1103"/>
      <c r="C94" s="1091"/>
      <c r="D94" s="1101"/>
      <c r="E94" s="1102"/>
      <c r="F94" s="514"/>
      <c r="G94" s="514"/>
      <c r="H94" s="514"/>
      <c r="I94" s="514"/>
      <c r="J94" s="514"/>
      <c r="K94" s="514"/>
      <c r="L94" s="514"/>
      <c r="M94" s="514"/>
      <c r="N94" s="514"/>
    </row>
    <row r="95" spans="1:14" x14ac:dyDescent="0.25">
      <c r="A95" s="845">
        <v>91</v>
      </c>
      <c r="B95" s="1103"/>
      <c r="C95" s="1092"/>
      <c r="D95" s="909"/>
      <c r="E95" s="514"/>
      <c r="F95" s="514"/>
      <c r="G95" s="514"/>
      <c r="H95" s="514"/>
      <c r="I95" s="514"/>
      <c r="J95" s="514"/>
      <c r="K95" s="514"/>
      <c r="L95" s="514"/>
      <c r="M95" s="514"/>
      <c r="N95" s="514"/>
    </row>
    <row r="96" spans="1:14" x14ac:dyDescent="0.25">
      <c r="A96" s="845">
        <v>92</v>
      </c>
      <c r="B96" s="1103"/>
      <c r="C96" s="1093"/>
      <c r="D96" s="909"/>
      <c r="E96" s="514"/>
      <c r="F96" s="514"/>
      <c r="G96" s="514"/>
      <c r="H96" s="514"/>
      <c r="I96" s="514"/>
      <c r="J96" s="514"/>
      <c r="K96" s="514"/>
      <c r="L96" s="514"/>
      <c r="M96" s="514"/>
      <c r="N96" s="514"/>
    </row>
    <row r="97" spans="1:14" x14ac:dyDescent="0.25">
      <c r="A97" s="845">
        <v>93</v>
      </c>
      <c r="B97" s="1103"/>
      <c r="C97" s="1094"/>
      <c r="D97" s="909"/>
      <c r="E97" s="514"/>
      <c r="F97" s="514"/>
      <c r="G97" s="514"/>
      <c r="H97" s="514"/>
      <c r="I97" s="514"/>
      <c r="J97" s="514"/>
      <c r="K97" s="514"/>
      <c r="L97" s="514"/>
      <c r="M97" s="514"/>
      <c r="N97" s="514"/>
    </row>
    <row r="98" spans="1:14" x14ac:dyDescent="0.25">
      <c r="A98" s="845">
        <v>94</v>
      </c>
      <c r="B98" s="1103"/>
      <c r="C98" s="1095"/>
      <c r="D98" s="909"/>
      <c r="E98" s="514"/>
      <c r="F98" s="514"/>
      <c r="G98" s="514"/>
      <c r="H98" s="514"/>
      <c r="I98" s="514"/>
      <c r="J98" s="514"/>
      <c r="K98" s="514"/>
      <c r="L98" s="514"/>
      <c r="M98" s="514"/>
      <c r="N98" s="514"/>
    </row>
    <row r="99" spans="1:14" x14ac:dyDescent="0.25">
      <c r="A99" s="845">
        <v>95</v>
      </c>
      <c r="B99" s="1103"/>
      <c r="C99" s="1096"/>
      <c r="D99" s="909"/>
      <c r="E99" s="514"/>
      <c r="F99" s="514"/>
      <c r="G99" s="514"/>
      <c r="H99" s="514"/>
      <c r="I99" s="514"/>
      <c r="J99" s="514"/>
      <c r="K99" s="514"/>
      <c r="L99" s="514"/>
      <c r="M99" s="514"/>
      <c r="N99" s="514"/>
    </row>
    <row r="100" spans="1:14" x14ac:dyDescent="0.25">
      <c r="A100" s="845">
        <v>96</v>
      </c>
      <c r="B100" s="1103"/>
      <c r="C100" s="1097"/>
      <c r="D100" s="909"/>
      <c r="E100" s="514"/>
      <c r="F100" s="514"/>
      <c r="G100" s="514"/>
      <c r="H100" s="514"/>
      <c r="I100" s="514"/>
      <c r="J100" s="514"/>
      <c r="K100" s="514"/>
      <c r="L100" s="514"/>
      <c r="M100" s="514"/>
      <c r="N100" s="514"/>
    </row>
    <row r="101" spans="1:14" x14ac:dyDescent="0.25">
      <c r="A101" s="845">
        <v>97</v>
      </c>
      <c r="B101" s="1084"/>
      <c r="C101" s="1084"/>
      <c r="D101" s="1104"/>
      <c r="E101" s="1105"/>
      <c r="F101" s="1066"/>
      <c r="G101" s="1066"/>
      <c r="H101" s="1066"/>
      <c r="I101" s="1066"/>
      <c r="J101" s="1066"/>
      <c r="K101" s="1066"/>
      <c r="L101" s="1066"/>
      <c r="M101" s="1066"/>
      <c r="N101" s="1066"/>
    </row>
    <row r="102" spans="1:14" x14ac:dyDescent="0.25">
      <c r="A102" s="845">
        <v>98</v>
      </c>
      <c r="B102" s="1084"/>
      <c r="C102" s="1084"/>
      <c r="D102" s="1104"/>
      <c r="E102" s="1105"/>
      <c r="F102" s="1066"/>
      <c r="G102" s="1066"/>
      <c r="H102" s="1066"/>
      <c r="I102" s="1066"/>
      <c r="J102" s="1066"/>
      <c r="K102" s="1066"/>
      <c r="L102" s="1066"/>
      <c r="M102" s="1066"/>
      <c r="N102" s="1066"/>
    </row>
    <row r="103" spans="1:14" x14ac:dyDescent="0.25">
      <c r="A103" s="845">
        <v>99</v>
      </c>
      <c r="B103" s="1084"/>
      <c r="C103" s="1084"/>
      <c r="D103" s="1104"/>
      <c r="E103" s="1105"/>
      <c r="F103" s="1066"/>
      <c r="G103" s="1066"/>
      <c r="H103" s="1066"/>
      <c r="I103" s="1066"/>
      <c r="J103" s="1066"/>
      <c r="K103" s="1066"/>
      <c r="L103" s="1066"/>
      <c r="M103" s="1066"/>
      <c r="N103" s="1066"/>
    </row>
    <row r="104" spans="1:14" x14ac:dyDescent="0.25">
      <c r="A104" s="845">
        <v>100</v>
      </c>
      <c r="B104" s="1084"/>
      <c r="C104" s="1084"/>
      <c r="D104" s="1104"/>
      <c r="E104" s="1105"/>
      <c r="F104" s="1066"/>
      <c r="G104" s="1066"/>
      <c r="H104" s="1066"/>
      <c r="I104" s="1066"/>
      <c r="J104" s="1066"/>
      <c r="K104" s="1066"/>
      <c r="L104" s="1066"/>
      <c r="M104" s="1066"/>
      <c r="N104" s="1066"/>
    </row>
    <row r="105" spans="1:14" x14ac:dyDescent="0.25">
      <c r="A105" s="845">
        <v>101</v>
      </c>
      <c r="B105" s="1084"/>
      <c r="C105" s="1084"/>
      <c r="D105" s="1104"/>
      <c r="E105" s="1105"/>
      <c r="F105" s="1066"/>
      <c r="G105" s="1066"/>
      <c r="H105" s="1066"/>
      <c r="I105" s="1066"/>
      <c r="J105" s="1066"/>
      <c r="K105" s="1066"/>
      <c r="L105" s="1066"/>
      <c r="M105" s="1066"/>
      <c r="N105" s="1066"/>
    </row>
    <row r="106" spans="1:14" x14ac:dyDescent="0.25">
      <c r="A106" s="845">
        <v>102</v>
      </c>
      <c r="B106" s="1084"/>
      <c r="C106" s="1084"/>
      <c r="D106" s="1104"/>
      <c r="E106" s="1105"/>
      <c r="F106" s="1066"/>
      <c r="G106" s="1066"/>
      <c r="H106" s="1066"/>
      <c r="I106" s="1066"/>
      <c r="J106" s="1066"/>
      <c r="K106" s="1066"/>
      <c r="L106" s="1066"/>
      <c r="M106" s="1066"/>
      <c r="N106" s="1066"/>
    </row>
    <row r="107" spans="1:14" x14ac:dyDescent="0.25">
      <c r="A107" s="845">
        <v>103</v>
      </c>
      <c r="B107" s="1084"/>
      <c r="C107" s="1084"/>
      <c r="D107" s="1104"/>
      <c r="E107" s="1105"/>
      <c r="F107" s="1066"/>
      <c r="G107" s="1066"/>
      <c r="H107" s="1066"/>
      <c r="I107" s="1066"/>
      <c r="J107" s="1066"/>
      <c r="K107" s="1066"/>
      <c r="L107" s="1066"/>
      <c r="M107" s="1066"/>
      <c r="N107" s="1066"/>
    </row>
    <row r="108" spans="1:14" x14ac:dyDescent="0.25">
      <c r="A108" s="845">
        <v>104</v>
      </c>
      <c r="B108" s="1084"/>
      <c r="C108" s="1084"/>
      <c r="D108" s="1104"/>
      <c r="E108" s="1105"/>
      <c r="F108" s="1066"/>
      <c r="G108" s="1066"/>
      <c r="H108" s="1066"/>
      <c r="I108" s="1066"/>
      <c r="J108" s="1066"/>
      <c r="K108" s="1066"/>
      <c r="L108" s="1066"/>
      <c r="M108" s="1066"/>
      <c r="N108" s="1066"/>
    </row>
    <row r="109" spans="1:14" x14ac:dyDescent="0.25">
      <c r="A109" s="845">
        <v>105</v>
      </c>
      <c r="B109" s="1084"/>
      <c r="C109" s="1084"/>
      <c r="D109" s="1104"/>
      <c r="E109" s="1105"/>
      <c r="F109" s="1066"/>
      <c r="G109" s="1066"/>
      <c r="H109" s="1066"/>
      <c r="I109" s="1066"/>
      <c r="J109" s="1066"/>
      <c r="K109" s="1066"/>
      <c r="L109" s="1066"/>
      <c r="M109" s="1066"/>
      <c r="N109" s="1066"/>
    </row>
    <row r="110" spans="1:14" x14ac:dyDescent="0.25">
      <c r="A110" s="845">
        <v>106</v>
      </c>
      <c r="B110" s="1084"/>
      <c r="C110" s="1084"/>
      <c r="D110" s="1104"/>
      <c r="E110" s="1105"/>
      <c r="F110" s="1066"/>
      <c r="G110" s="1066"/>
      <c r="H110" s="1066"/>
      <c r="I110" s="1066"/>
      <c r="J110" s="1066"/>
      <c r="K110" s="1066"/>
      <c r="L110" s="1066"/>
      <c r="M110" s="1066"/>
      <c r="N110" s="1066"/>
    </row>
    <row r="111" spans="1:14" x14ac:dyDescent="0.25">
      <c r="A111" s="845">
        <v>107</v>
      </c>
      <c r="B111" s="1084"/>
      <c r="C111" s="1084"/>
      <c r="D111" s="1104"/>
      <c r="E111" s="1105"/>
      <c r="F111" s="1066"/>
      <c r="G111" s="1066"/>
      <c r="H111" s="1066"/>
      <c r="I111" s="1066"/>
      <c r="J111" s="1066"/>
      <c r="K111" s="1066"/>
      <c r="L111" s="1066"/>
      <c r="M111" s="1066"/>
      <c r="N111" s="1066"/>
    </row>
    <row r="112" spans="1:14" x14ac:dyDescent="0.25">
      <c r="A112" s="845">
        <v>108</v>
      </c>
      <c r="B112" s="1084"/>
      <c r="C112" s="1084"/>
      <c r="D112" s="1104"/>
      <c r="E112" s="1105"/>
      <c r="F112" s="1066"/>
      <c r="G112" s="1066"/>
      <c r="H112" s="1066"/>
      <c r="I112" s="1066"/>
      <c r="J112" s="1066"/>
      <c r="K112" s="1066"/>
      <c r="L112" s="1066"/>
      <c r="M112" s="1066"/>
      <c r="N112" s="1066"/>
    </row>
    <row r="113" spans="1:14" x14ac:dyDescent="0.25">
      <c r="A113" s="845">
        <v>109</v>
      </c>
      <c r="B113" s="1084"/>
      <c r="C113" s="1084"/>
      <c r="D113" s="1104"/>
      <c r="E113" s="1105"/>
      <c r="F113" s="1066"/>
      <c r="G113" s="1066"/>
      <c r="H113" s="1066"/>
      <c r="I113" s="1066"/>
      <c r="J113" s="1066"/>
      <c r="K113" s="1066"/>
      <c r="L113" s="1066"/>
      <c r="M113" s="1066"/>
      <c r="N113" s="1066"/>
    </row>
    <row r="114" spans="1:14" x14ac:dyDescent="0.25">
      <c r="A114" s="845">
        <v>110</v>
      </c>
      <c r="B114" s="1084"/>
      <c r="C114" s="1084"/>
      <c r="D114" s="1104"/>
      <c r="E114" s="1105"/>
      <c r="F114" s="1066"/>
      <c r="G114" s="1066"/>
      <c r="H114" s="1066"/>
      <c r="I114" s="1066"/>
      <c r="J114" s="1066"/>
      <c r="K114" s="1066"/>
      <c r="L114" s="1066"/>
      <c r="M114" s="1066"/>
      <c r="N114" s="1066"/>
    </row>
    <row r="115" spans="1:14" x14ac:dyDescent="0.25">
      <c r="A115" s="845">
        <v>111</v>
      </c>
      <c r="B115" s="1084"/>
      <c r="C115" s="1084"/>
      <c r="D115" s="1104"/>
      <c r="E115" s="1105"/>
      <c r="F115" s="1066"/>
      <c r="G115" s="1066"/>
      <c r="H115" s="1066"/>
      <c r="I115" s="1066"/>
      <c r="J115" s="1066"/>
      <c r="K115" s="1066"/>
      <c r="L115" s="1066"/>
      <c r="M115" s="1066"/>
      <c r="N115" s="1066"/>
    </row>
    <row r="116" spans="1:14" x14ac:dyDescent="0.25">
      <c r="A116" s="845">
        <v>112</v>
      </c>
      <c r="B116" s="1084"/>
      <c r="C116" s="1084"/>
      <c r="D116" s="1104"/>
      <c r="E116" s="1105"/>
      <c r="F116" s="1066"/>
      <c r="G116" s="1066"/>
      <c r="H116" s="1066"/>
      <c r="I116" s="1066"/>
      <c r="J116" s="1066"/>
      <c r="K116" s="1066"/>
      <c r="L116" s="1066"/>
      <c r="M116" s="1066"/>
      <c r="N116" s="1066"/>
    </row>
    <row r="117" spans="1:14" x14ac:dyDescent="0.25">
      <c r="A117" s="845">
        <v>113</v>
      </c>
      <c r="B117" s="1084"/>
      <c r="C117" s="1084"/>
      <c r="D117" s="1104"/>
      <c r="E117" s="1105"/>
      <c r="F117" s="1066"/>
      <c r="G117" s="1066"/>
      <c r="H117" s="1066"/>
      <c r="I117" s="1066"/>
      <c r="J117" s="1066"/>
      <c r="K117" s="1066"/>
      <c r="L117" s="1066"/>
      <c r="M117" s="1066"/>
      <c r="N117" s="1066"/>
    </row>
    <row r="118" spans="1:14" x14ac:dyDescent="0.25">
      <c r="A118" s="845">
        <v>114</v>
      </c>
      <c r="B118" s="1084"/>
      <c r="C118" s="1084"/>
      <c r="D118" s="1104"/>
      <c r="E118" s="1105"/>
      <c r="F118" s="1066"/>
      <c r="G118" s="1066"/>
      <c r="H118" s="1066"/>
      <c r="I118" s="1066"/>
      <c r="J118" s="1066"/>
      <c r="K118" s="1066"/>
      <c r="L118" s="1066"/>
      <c r="M118" s="1066"/>
      <c r="N118" s="1066"/>
    </row>
    <row r="119" spans="1:14" x14ac:dyDescent="0.25">
      <c r="A119" s="845">
        <v>115</v>
      </c>
      <c r="B119" s="1084"/>
      <c r="C119" s="1084"/>
      <c r="D119" s="1104"/>
      <c r="E119" s="1105"/>
      <c r="F119" s="1066"/>
      <c r="G119" s="1066"/>
      <c r="H119" s="1066"/>
      <c r="I119" s="1066"/>
      <c r="J119" s="1066"/>
      <c r="K119" s="1066"/>
      <c r="L119" s="1066"/>
      <c r="M119" s="1066"/>
      <c r="N119" s="1066"/>
    </row>
    <row r="120" spans="1:14" x14ac:dyDescent="0.25">
      <c r="A120" s="845">
        <v>116</v>
      </c>
      <c r="B120" s="1084"/>
      <c r="C120" s="1084"/>
      <c r="D120" s="1104"/>
      <c r="E120" s="1105"/>
      <c r="F120" s="1066"/>
      <c r="G120" s="1066"/>
      <c r="H120" s="1066"/>
      <c r="I120" s="1066"/>
      <c r="J120" s="1066"/>
      <c r="K120" s="1066"/>
      <c r="L120" s="1066"/>
      <c r="M120" s="1066"/>
      <c r="N120" s="1066"/>
    </row>
    <row r="121" spans="1:14" x14ac:dyDescent="0.25">
      <c r="A121" s="845">
        <v>117</v>
      </c>
      <c r="B121" s="1084"/>
      <c r="C121" s="1084"/>
      <c r="D121" s="1104"/>
      <c r="E121" s="1105"/>
      <c r="F121" s="1066"/>
      <c r="G121" s="1066"/>
      <c r="H121" s="1066"/>
      <c r="I121" s="1066"/>
      <c r="J121" s="1066"/>
      <c r="K121" s="1066"/>
      <c r="L121" s="1066"/>
      <c r="M121" s="1066"/>
      <c r="N121" s="1066"/>
    </row>
    <row r="122" spans="1:14" x14ac:dyDescent="0.25">
      <c r="A122" s="845">
        <v>118</v>
      </c>
      <c r="B122" s="1084"/>
      <c r="C122" s="1084"/>
      <c r="D122" s="1104"/>
      <c r="E122" s="1105"/>
      <c r="F122" s="1066"/>
      <c r="G122" s="1066"/>
      <c r="H122" s="1066"/>
      <c r="I122" s="1066"/>
      <c r="J122" s="1066"/>
      <c r="K122" s="1066"/>
      <c r="L122" s="1066"/>
      <c r="M122" s="1066"/>
      <c r="N122" s="1066"/>
    </row>
    <row r="123" spans="1:14" x14ac:dyDescent="0.25">
      <c r="A123" s="845">
        <v>119</v>
      </c>
      <c r="B123" s="1084"/>
      <c r="C123" s="1084"/>
      <c r="D123" s="1104"/>
      <c r="E123" s="1105"/>
      <c r="F123" s="1066"/>
      <c r="G123" s="1066"/>
      <c r="H123" s="1066"/>
      <c r="I123" s="1066"/>
      <c r="J123" s="1066"/>
      <c r="K123" s="1066"/>
      <c r="L123" s="1066"/>
      <c r="M123" s="1066"/>
      <c r="N123" s="1066"/>
    </row>
    <row r="124" spans="1:14" x14ac:dyDescent="0.25">
      <c r="A124" s="845">
        <v>120</v>
      </c>
      <c r="B124" s="1084"/>
      <c r="C124" s="1084"/>
      <c r="D124" s="1104"/>
      <c r="E124" s="1105"/>
      <c r="F124" s="1066"/>
      <c r="G124" s="1066"/>
      <c r="H124" s="1066"/>
      <c r="I124" s="1066"/>
      <c r="J124" s="1066"/>
      <c r="K124" s="1066"/>
      <c r="L124" s="1066"/>
      <c r="M124" s="1066"/>
      <c r="N124" s="1066"/>
    </row>
    <row r="125" spans="1:14" x14ac:dyDescent="0.25">
      <c r="A125" s="845">
        <v>121</v>
      </c>
      <c r="B125" s="1084"/>
      <c r="C125" s="1084"/>
      <c r="D125" s="1104"/>
      <c r="E125" s="1105"/>
      <c r="F125" s="1066"/>
      <c r="G125" s="1066"/>
      <c r="H125" s="1066"/>
      <c r="I125" s="1066"/>
      <c r="J125" s="1066"/>
      <c r="K125" s="1066"/>
      <c r="L125" s="1066"/>
      <c r="M125" s="1066"/>
      <c r="N125" s="1066"/>
    </row>
    <row r="126" spans="1:14" x14ac:dyDescent="0.25">
      <c r="A126" s="845">
        <v>122</v>
      </c>
      <c r="B126" s="1084"/>
      <c r="C126" s="1084"/>
      <c r="D126" s="1104"/>
      <c r="E126" s="1105"/>
      <c r="F126" s="1066"/>
      <c r="G126" s="1066"/>
      <c r="H126" s="1066"/>
      <c r="I126" s="1066"/>
      <c r="J126" s="1066"/>
      <c r="K126" s="1066"/>
      <c r="L126" s="1066"/>
      <c r="M126" s="1066"/>
      <c r="N126" s="1066"/>
    </row>
    <row r="127" spans="1:14" x14ac:dyDescent="0.25">
      <c r="A127" s="845">
        <v>123</v>
      </c>
      <c r="B127" s="1084"/>
      <c r="C127" s="1084"/>
      <c r="D127" s="1104"/>
      <c r="E127" s="1105"/>
      <c r="F127" s="1066"/>
      <c r="G127" s="1066"/>
      <c r="H127" s="1066"/>
      <c r="I127" s="1066"/>
      <c r="J127" s="1066"/>
      <c r="K127" s="1066"/>
      <c r="L127" s="1066"/>
      <c r="M127" s="1066"/>
      <c r="N127" s="1066"/>
    </row>
    <row r="128" spans="1:14" x14ac:dyDescent="0.25">
      <c r="A128" s="845">
        <v>124</v>
      </c>
      <c r="B128" s="1084"/>
      <c r="C128" s="1084"/>
      <c r="D128" s="1104"/>
      <c r="E128" s="1105"/>
      <c r="F128" s="1066"/>
      <c r="G128" s="1066"/>
      <c r="H128" s="1066"/>
      <c r="I128" s="1066"/>
      <c r="J128" s="1066"/>
      <c r="K128" s="1066"/>
      <c r="L128" s="1066"/>
      <c r="M128" s="1066"/>
      <c r="N128" s="1066"/>
    </row>
    <row r="129" spans="1:14" x14ac:dyDescent="0.25">
      <c r="A129" s="845">
        <v>125</v>
      </c>
      <c r="B129" s="1084"/>
      <c r="C129" s="1084"/>
      <c r="D129" s="1104"/>
      <c r="E129" s="1105"/>
      <c r="F129" s="1066"/>
      <c r="G129" s="1066"/>
      <c r="H129" s="1066"/>
      <c r="I129" s="1066"/>
      <c r="J129" s="1066"/>
      <c r="K129" s="1066"/>
      <c r="L129" s="1066"/>
      <c r="M129" s="1066"/>
      <c r="N129" s="1066"/>
    </row>
    <row r="130" spans="1:14" x14ac:dyDescent="0.25">
      <c r="A130" s="845">
        <v>126</v>
      </c>
      <c r="B130" s="1084"/>
      <c r="C130" s="1084"/>
      <c r="D130" s="1104"/>
      <c r="E130" s="1105"/>
      <c r="F130" s="1066"/>
      <c r="G130" s="1066"/>
      <c r="H130" s="1066"/>
      <c r="I130" s="1066"/>
      <c r="J130" s="1066"/>
      <c r="K130" s="1066"/>
      <c r="L130" s="1066"/>
      <c r="M130" s="1066"/>
      <c r="N130" s="1066"/>
    </row>
    <row r="131" spans="1:14" x14ac:dyDescent="0.25">
      <c r="A131" s="845">
        <v>127</v>
      </c>
      <c r="B131" s="1084"/>
      <c r="C131" s="1084"/>
      <c r="D131" s="1104"/>
      <c r="E131" s="1105"/>
      <c r="F131" s="1066"/>
      <c r="G131" s="1066"/>
      <c r="H131" s="1066"/>
      <c r="I131" s="1066"/>
      <c r="J131" s="1066"/>
      <c r="K131" s="1066"/>
      <c r="L131" s="1066"/>
      <c r="M131" s="1066"/>
      <c r="N131" s="1066"/>
    </row>
    <row r="132" spans="1:14" x14ac:dyDescent="0.25">
      <c r="A132" s="845">
        <v>128</v>
      </c>
      <c r="B132" s="1084"/>
      <c r="C132" s="1084"/>
      <c r="D132" s="1104"/>
      <c r="E132" s="1105"/>
      <c r="F132" s="1066"/>
      <c r="G132" s="1066"/>
      <c r="H132" s="1066"/>
      <c r="I132" s="1066"/>
      <c r="J132" s="1066"/>
      <c r="K132" s="1066"/>
      <c r="L132" s="1066"/>
      <c r="M132" s="1066"/>
      <c r="N132" s="1066"/>
    </row>
    <row r="133" spans="1:14" x14ac:dyDescent="0.25">
      <c r="A133" s="845">
        <v>129</v>
      </c>
      <c r="B133" s="1084"/>
      <c r="C133" s="1084"/>
      <c r="D133" s="1104"/>
      <c r="E133" s="1105"/>
      <c r="F133" s="1066"/>
      <c r="G133" s="1066"/>
      <c r="H133" s="1066"/>
      <c r="I133" s="1066"/>
      <c r="J133" s="1066"/>
      <c r="K133" s="1066"/>
      <c r="L133" s="1066"/>
      <c r="M133" s="1066"/>
      <c r="N133" s="1066"/>
    </row>
    <row r="134" spans="1:14" x14ac:dyDescent="0.25">
      <c r="A134" s="845">
        <v>130</v>
      </c>
      <c r="B134" s="1084"/>
      <c r="C134" s="1084"/>
      <c r="D134" s="1104"/>
      <c r="E134" s="1105"/>
      <c r="F134" s="1066"/>
      <c r="G134" s="1066"/>
      <c r="H134" s="1066"/>
      <c r="I134" s="1066"/>
      <c r="J134" s="1066"/>
      <c r="K134" s="1066"/>
      <c r="L134" s="1066"/>
      <c r="M134" s="1066"/>
      <c r="N134" s="1066"/>
    </row>
    <row r="135" spans="1:14" x14ac:dyDescent="0.25">
      <c r="A135" s="845">
        <v>131</v>
      </c>
      <c r="B135" s="1084"/>
      <c r="C135" s="1084"/>
      <c r="D135" s="1104"/>
      <c r="E135" s="1105"/>
      <c r="F135" s="1066"/>
      <c r="G135" s="1066"/>
      <c r="H135" s="1066"/>
      <c r="I135" s="1066"/>
      <c r="J135" s="1066"/>
      <c r="K135" s="1066"/>
      <c r="L135" s="1066"/>
      <c r="M135" s="1066"/>
      <c r="N135" s="1066"/>
    </row>
    <row r="136" spans="1:14" x14ac:dyDescent="0.25">
      <c r="A136" s="845">
        <v>132</v>
      </c>
      <c r="B136" s="1084"/>
      <c r="C136" s="1084"/>
      <c r="D136" s="1104"/>
      <c r="E136" s="1105"/>
      <c r="F136" s="1066"/>
      <c r="G136" s="1066"/>
      <c r="H136" s="1066"/>
      <c r="I136" s="1066"/>
      <c r="J136" s="1066"/>
      <c r="K136" s="1066"/>
      <c r="L136" s="1066"/>
      <c r="M136" s="1066"/>
      <c r="N136" s="1066"/>
    </row>
    <row r="137" spans="1:14" x14ac:dyDescent="0.25">
      <c r="A137" s="845">
        <v>133</v>
      </c>
      <c r="B137" s="1084"/>
      <c r="C137" s="1084"/>
      <c r="D137" s="1104"/>
      <c r="E137" s="1105"/>
      <c r="F137" s="1066"/>
      <c r="G137" s="1066"/>
      <c r="H137" s="1066"/>
      <c r="I137" s="1066"/>
      <c r="J137" s="1066"/>
      <c r="K137" s="1066"/>
      <c r="L137" s="1066"/>
      <c r="M137" s="1066"/>
      <c r="N137" s="1066"/>
    </row>
    <row r="138" spans="1:14" x14ac:dyDescent="0.25">
      <c r="A138" s="845">
        <v>134</v>
      </c>
      <c r="B138" s="1084"/>
      <c r="C138" s="1084"/>
      <c r="D138" s="1104"/>
      <c r="E138" s="1105"/>
      <c r="F138" s="1066"/>
      <c r="G138" s="1066"/>
      <c r="H138" s="1066"/>
      <c r="I138" s="1066"/>
      <c r="J138" s="1066"/>
      <c r="K138" s="1066"/>
      <c r="L138" s="1066"/>
      <c r="M138" s="1066"/>
      <c r="N138" s="1066"/>
    </row>
    <row r="139" spans="1:14" x14ac:dyDescent="0.25">
      <c r="A139" s="845">
        <v>135</v>
      </c>
      <c r="B139" s="1084"/>
      <c r="C139" s="1084"/>
      <c r="D139" s="1104"/>
      <c r="E139" s="1105"/>
      <c r="F139" s="1066"/>
      <c r="G139" s="1066"/>
      <c r="H139" s="1066"/>
      <c r="I139" s="1066"/>
      <c r="J139" s="1066"/>
      <c r="K139" s="1066"/>
      <c r="L139" s="1066"/>
      <c r="M139" s="1066"/>
      <c r="N139" s="1066"/>
    </row>
    <row r="140" spans="1:14" x14ac:dyDescent="0.25">
      <c r="A140" s="845">
        <v>136</v>
      </c>
      <c r="B140" s="1084"/>
      <c r="C140" s="1084"/>
      <c r="D140" s="1104"/>
      <c r="E140" s="1105"/>
      <c r="F140" s="1066"/>
      <c r="G140" s="1066"/>
      <c r="H140" s="1066"/>
      <c r="I140" s="1066"/>
      <c r="J140" s="1066"/>
      <c r="K140" s="1066"/>
      <c r="L140" s="1066"/>
      <c r="M140" s="1066"/>
      <c r="N140" s="1066"/>
    </row>
    <row r="141" spans="1:14" x14ac:dyDescent="0.25">
      <c r="A141" s="845">
        <v>137</v>
      </c>
      <c r="B141" s="1084"/>
      <c r="C141" s="1084"/>
      <c r="D141" s="1104"/>
      <c r="E141" s="1105"/>
      <c r="F141" s="1066"/>
      <c r="G141" s="1066"/>
      <c r="H141" s="1066"/>
      <c r="I141" s="1066"/>
      <c r="J141" s="1066"/>
      <c r="K141" s="1066"/>
      <c r="L141" s="1066"/>
      <c r="M141" s="1066"/>
      <c r="N141" s="1066"/>
    </row>
    <row r="142" spans="1:14" x14ac:dyDescent="0.25">
      <c r="A142" s="845">
        <v>138</v>
      </c>
      <c r="B142" s="1084"/>
      <c r="C142" s="1084"/>
      <c r="D142" s="1104"/>
      <c r="E142" s="1105"/>
      <c r="F142" s="1066"/>
      <c r="G142" s="1066"/>
      <c r="H142" s="1066"/>
      <c r="I142" s="1066"/>
      <c r="J142" s="1066"/>
      <c r="K142" s="1066"/>
      <c r="L142" s="1066"/>
      <c r="M142" s="1066"/>
      <c r="N142" s="1066"/>
    </row>
    <row r="143" spans="1:14" x14ac:dyDescent="0.25">
      <c r="A143" s="845">
        <v>139</v>
      </c>
      <c r="B143" s="1084"/>
      <c r="C143" s="1084"/>
      <c r="D143" s="1104"/>
      <c r="E143" s="1105"/>
      <c r="F143" s="1066"/>
      <c r="G143" s="1066"/>
      <c r="H143" s="1066"/>
      <c r="I143" s="1066"/>
      <c r="J143" s="1066"/>
      <c r="K143" s="1066"/>
      <c r="L143" s="1066"/>
      <c r="M143" s="1066"/>
      <c r="N143" s="1066"/>
    </row>
    <row r="144" spans="1:14" x14ac:dyDescent="0.25">
      <c r="A144" s="845">
        <v>140</v>
      </c>
      <c r="B144" s="1084"/>
      <c r="C144" s="1084"/>
      <c r="D144" s="1104"/>
      <c r="E144" s="1105"/>
      <c r="F144" s="1066"/>
      <c r="G144" s="1066"/>
      <c r="H144" s="1066"/>
      <c r="I144" s="1066"/>
      <c r="J144" s="1066"/>
      <c r="K144" s="1066"/>
      <c r="L144" s="1066"/>
      <c r="M144" s="1066"/>
      <c r="N144" s="1066"/>
    </row>
    <row r="145" spans="1:14" x14ac:dyDescent="0.25">
      <c r="A145" s="845">
        <v>141</v>
      </c>
      <c r="B145" s="1084"/>
      <c r="C145" s="1084"/>
      <c r="D145" s="1104"/>
      <c r="E145" s="1105"/>
      <c r="F145" s="1066"/>
      <c r="G145" s="1066"/>
      <c r="H145" s="1066"/>
      <c r="I145" s="1066"/>
      <c r="J145" s="1066"/>
      <c r="K145" s="1066"/>
      <c r="L145" s="1066"/>
      <c r="M145" s="1066"/>
      <c r="N145" s="1066"/>
    </row>
    <row r="146" spans="1:14" x14ac:dyDescent="0.25">
      <c r="A146" s="845">
        <v>142</v>
      </c>
      <c r="B146" s="1084"/>
      <c r="C146" s="1084"/>
      <c r="D146" s="1104"/>
      <c r="E146" s="1105"/>
      <c r="F146" s="1066"/>
      <c r="G146" s="1066"/>
      <c r="H146" s="1066"/>
      <c r="I146" s="1066"/>
      <c r="J146" s="1066"/>
      <c r="K146" s="1066"/>
      <c r="L146" s="1066"/>
      <c r="M146" s="1066"/>
      <c r="N146" s="1066"/>
    </row>
    <row r="147" spans="1:14" x14ac:dyDescent="0.25">
      <c r="A147" s="845">
        <v>143</v>
      </c>
      <c r="B147" s="1084"/>
      <c r="C147" s="1084"/>
      <c r="D147" s="1104"/>
      <c r="E147" s="1105"/>
      <c r="F147" s="1066"/>
      <c r="G147" s="1066"/>
      <c r="H147" s="1066"/>
      <c r="I147" s="1066"/>
      <c r="J147" s="1066"/>
      <c r="K147" s="1066"/>
      <c r="L147" s="1066"/>
      <c r="M147" s="1066"/>
      <c r="N147" s="1066"/>
    </row>
    <row r="148" spans="1:14" x14ac:dyDescent="0.25">
      <c r="A148" s="845">
        <v>144</v>
      </c>
      <c r="B148" s="1084"/>
      <c r="C148" s="1084"/>
      <c r="D148" s="1104"/>
      <c r="E148" s="1105"/>
      <c r="F148" s="1066"/>
      <c r="G148" s="1066"/>
      <c r="H148" s="1066"/>
      <c r="I148" s="1066"/>
      <c r="J148" s="1066"/>
      <c r="K148" s="1066"/>
      <c r="L148" s="1066"/>
      <c r="M148" s="1066"/>
      <c r="N148" s="1066"/>
    </row>
    <row r="149" spans="1:14" x14ac:dyDescent="0.25">
      <c r="A149" s="845">
        <v>145</v>
      </c>
      <c r="B149" s="1084"/>
      <c r="C149" s="1084"/>
      <c r="D149" s="1104"/>
      <c r="E149" s="1105"/>
      <c r="F149" s="1066"/>
      <c r="G149" s="1066"/>
      <c r="H149" s="1066"/>
      <c r="I149" s="1066"/>
      <c r="J149" s="1066"/>
      <c r="K149" s="1066"/>
      <c r="L149" s="1066"/>
      <c r="M149" s="1066"/>
      <c r="N149" s="1066"/>
    </row>
    <row r="150" spans="1:14" x14ac:dyDescent="0.25">
      <c r="A150" s="845">
        <v>146</v>
      </c>
      <c r="B150" s="1084"/>
      <c r="C150" s="1084"/>
      <c r="D150" s="1104"/>
      <c r="E150" s="1105"/>
      <c r="F150" s="1066"/>
      <c r="G150" s="1066"/>
      <c r="H150" s="1066"/>
      <c r="I150" s="1066"/>
      <c r="J150" s="1066"/>
      <c r="K150" s="1066"/>
      <c r="L150" s="1066"/>
      <c r="M150" s="1066"/>
      <c r="N150" s="1066"/>
    </row>
    <row r="151" spans="1:14" x14ac:dyDescent="0.25">
      <c r="A151" s="845">
        <v>147</v>
      </c>
      <c r="B151" s="1084"/>
      <c r="C151" s="1084"/>
      <c r="D151" s="1104"/>
      <c r="E151" s="1105"/>
      <c r="F151" s="1066"/>
      <c r="G151" s="1066"/>
      <c r="H151" s="1066"/>
      <c r="I151" s="1066"/>
      <c r="J151" s="1066"/>
      <c r="K151" s="1066"/>
      <c r="L151" s="1066"/>
      <c r="M151" s="1066"/>
      <c r="N151" s="1066"/>
    </row>
    <row r="152" spans="1:14" x14ac:dyDescent="0.25">
      <c r="A152" s="845">
        <v>148</v>
      </c>
      <c r="B152" s="1084"/>
      <c r="C152" s="1084"/>
      <c r="D152" s="1104"/>
      <c r="E152" s="1105"/>
      <c r="F152" s="1066"/>
      <c r="G152" s="1066"/>
      <c r="H152" s="1066"/>
      <c r="I152" s="1066"/>
      <c r="J152" s="1066"/>
      <c r="K152" s="1066"/>
      <c r="L152" s="1066"/>
      <c r="M152" s="1066"/>
      <c r="N152" s="1066"/>
    </row>
    <row r="153" spans="1:14" x14ac:dyDescent="0.25">
      <c r="A153" s="845">
        <v>149</v>
      </c>
      <c r="B153" s="1084"/>
      <c r="C153" s="1084"/>
      <c r="D153" s="1104"/>
      <c r="E153" s="1105"/>
      <c r="F153" s="1066"/>
      <c r="G153" s="1066"/>
      <c r="H153" s="1066"/>
      <c r="I153" s="1066"/>
      <c r="J153" s="1066"/>
      <c r="K153" s="1066"/>
      <c r="L153" s="1066"/>
      <c r="M153" s="1066"/>
      <c r="N153" s="1066"/>
    </row>
    <row r="154" spans="1:14" x14ac:dyDescent="0.25">
      <c r="A154" s="845">
        <v>150</v>
      </c>
      <c r="B154" s="1084"/>
      <c r="C154" s="1084"/>
      <c r="D154" s="1104"/>
      <c r="E154" s="1105"/>
      <c r="F154" s="1066"/>
      <c r="G154" s="1066"/>
      <c r="H154" s="1066"/>
      <c r="I154" s="1066"/>
      <c r="J154" s="1066"/>
      <c r="K154" s="1066"/>
      <c r="L154" s="1066"/>
      <c r="M154" s="1066"/>
      <c r="N154" s="1066"/>
    </row>
    <row r="155" spans="1:14" x14ac:dyDescent="0.25">
      <c r="A155" s="845">
        <v>151</v>
      </c>
      <c r="B155" s="1084"/>
      <c r="C155" s="1084"/>
      <c r="D155" s="1104"/>
      <c r="E155" s="1105"/>
      <c r="F155" s="1066"/>
      <c r="G155" s="1066"/>
      <c r="H155" s="1066"/>
      <c r="I155" s="1066"/>
      <c r="J155" s="1066"/>
      <c r="K155" s="1066"/>
      <c r="L155" s="1066"/>
      <c r="M155" s="1066"/>
      <c r="N155" s="1066"/>
    </row>
    <row r="156" spans="1:14" x14ac:dyDescent="0.25">
      <c r="A156" s="845">
        <v>152</v>
      </c>
      <c r="B156" s="1084"/>
      <c r="C156" s="1084"/>
      <c r="D156" s="1104"/>
      <c r="E156" s="1105"/>
      <c r="F156" s="1066"/>
      <c r="G156" s="1066"/>
      <c r="H156" s="1066"/>
      <c r="I156" s="1066"/>
      <c r="J156" s="1066"/>
      <c r="K156" s="1066"/>
      <c r="L156" s="1066"/>
      <c r="M156" s="1066"/>
      <c r="N156" s="1066"/>
    </row>
    <row r="157" spans="1:14" x14ac:dyDescent="0.25">
      <c r="A157" s="845">
        <v>153</v>
      </c>
      <c r="B157" s="1084"/>
      <c r="C157" s="1084"/>
      <c r="D157" s="1104"/>
      <c r="E157" s="1105"/>
      <c r="F157" s="1066"/>
      <c r="G157" s="1066"/>
      <c r="H157" s="1066"/>
      <c r="I157" s="1066"/>
      <c r="J157" s="1066"/>
      <c r="K157" s="1066"/>
      <c r="L157" s="1066"/>
      <c r="M157" s="1066"/>
      <c r="N157" s="1066"/>
    </row>
    <row r="158" spans="1:14" x14ac:dyDescent="0.25">
      <c r="A158" s="845">
        <v>154</v>
      </c>
      <c r="B158" s="1084"/>
      <c r="C158" s="1084"/>
      <c r="D158" s="1104"/>
      <c r="E158" s="1105"/>
      <c r="F158" s="1066"/>
      <c r="G158" s="1066"/>
      <c r="H158" s="1066"/>
      <c r="I158" s="1066"/>
      <c r="J158" s="1066"/>
      <c r="K158" s="1066"/>
      <c r="L158" s="1066"/>
      <c r="M158" s="1066"/>
      <c r="N158" s="1066"/>
    </row>
    <row r="159" spans="1:14" x14ac:dyDescent="0.25">
      <c r="A159" s="845">
        <v>155</v>
      </c>
      <c r="B159" s="1084"/>
      <c r="C159" s="1084"/>
      <c r="D159" s="1104"/>
      <c r="E159" s="1105"/>
      <c r="F159" s="1066"/>
      <c r="G159" s="1066"/>
      <c r="H159" s="1066"/>
      <c r="I159" s="1066"/>
      <c r="J159" s="1066"/>
      <c r="K159" s="1066"/>
      <c r="L159" s="1066"/>
      <c r="M159" s="1066"/>
      <c r="N159" s="1066"/>
    </row>
    <row r="160" spans="1:14" x14ac:dyDescent="0.25">
      <c r="A160" s="845">
        <v>156</v>
      </c>
      <c r="B160" s="1084"/>
      <c r="C160" s="1084"/>
      <c r="D160" s="1104"/>
      <c r="E160" s="1105"/>
      <c r="F160" s="1066"/>
      <c r="G160" s="1066"/>
      <c r="H160" s="1066"/>
      <c r="I160" s="1066"/>
      <c r="J160" s="1066"/>
      <c r="K160" s="1066"/>
      <c r="L160" s="1066"/>
      <c r="M160" s="1066"/>
      <c r="N160" s="1066"/>
    </row>
    <row r="161" spans="1:14" x14ac:dyDescent="0.25">
      <c r="A161" s="845">
        <v>157</v>
      </c>
      <c r="B161" s="1084"/>
      <c r="C161" s="1084"/>
      <c r="D161" s="1104"/>
      <c r="E161" s="1105"/>
      <c r="F161" s="1066"/>
      <c r="G161" s="1066"/>
      <c r="H161" s="1066"/>
      <c r="I161" s="1066"/>
      <c r="J161" s="1066"/>
      <c r="K161" s="1066"/>
      <c r="L161" s="1066"/>
      <c r="M161" s="1066"/>
      <c r="N161" s="1066"/>
    </row>
    <row r="162" spans="1:14" x14ac:dyDescent="0.25">
      <c r="A162" s="845">
        <v>158</v>
      </c>
      <c r="B162" s="1084"/>
      <c r="C162" s="1084"/>
      <c r="D162" s="1104"/>
      <c r="E162" s="1105"/>
      <c r="F162" s="1066"/>
      <c r="G162" s="1066"/>
      <c r="H162" s="1066"/>
      <c r="I162" s="1066"/>
      <c r="J162" s="1066"/>
      <c r="K162" s="1066"/>
      <c r="L162" s="1066"/>
      <c r="M162" s="1066"/>
      <c r="N162" s="1066"/>
    </row>
    <row r="163" spans="1:14" x14ac:dyDescent="0.25">
      <c r="A163" s="845">
        <v>159</v>
      </c>
      <c r="B163" s="1084"/>
      <c r="C163" s="1084"/>
      <c r="D163" s="1104"/>
      <c r="E163" s="1105"/>
      <c r="F163" s="1066"/>
      <c r="G163" s="1066"/>
      <c r="H163" s="1066"/>
      <c r="I163" s="1066"/>
      <c r="J163" s="1066"/>
      <c r="K163" s="1066"/>
      <c r="L163" s="1066"/>
      <c r="M163" s="1066"/>
      <c r="N163" s="1066"/>
    </row>
    <row r="164" spans="1:14" x14ac:dyDescent="0.25">
      <c r="A164" s="845">
        <v>160</v>
      </c>
      <c r="B164" s="1084"/>
      <c r="C164" s="1084"/>
      <c r="D164" s="1104"/>
      <c r="E164" s="1105"/>
      <c r="F164" s="1066"/>
      <c r="G164" s="1066"/>
      <c r="H164" s="1066"/>
      <c r="I164" s="1066"/>
      <c r="J164" s="1066"/>
      <c r="K164" s="1066"/>
      <c r="L164" s="1066"/>
      <c r="M164" s="1066"/>
      <c r="N164" s="1066"/>
    </row>
    <row r="165" spans="1:14" x14ac:dyDescent="0.25">
      <c r="A165" s="845">
        <v>161</v>
      </c>
      <c r="B165" s="1084"/>
      <c r="C165" s="1084"/>
      <c r="D165" s="1104"/>
      <c r="E165" s="1105"/>
      <c r="F165" s="1066"/>
      <c r="G165" s="1066"/>
      <c r="H165" s="1066"/>
      <c r="I165" s="1066"/>
      <c r="J165" s="1066"/>
      <c r="K165" s="1066"/>
      <c r="L165" s="1066"/>
      <c r="M165" s="1066"/>
      <c r="N165" s="1066"/>
    </row>
    <row r="166" spans="1:14" x14ac:dyDescent="0.25">
      <c r="A166" s="845">
        <v>162</v>
      </c>
      <c r="B166" s="1084"/>
      <c r="C166" s="1084"/>
      <c r="D166" s="1104"/>
      <c r="E166" s="1105"/>
      <c r="F166" s="1066"/>
      <c r="G166" s="1066"/>
      <c r="H166" s="1066"/>
      <c r="I166" s="1066"/>
      <c r="J166" s="1066"/>
      <c r="K166" s="1066"/>
      <c r="L166" s="1066"/>
      <c r="M166" s="1066"/>
      <c r="N166" s="1066"/>
    </row>
    <row r="167" spans="1:14" x14ac:dyDescent="0.25">
      <c r="A167" s="845">
        <v>163</v>
      </c>
      <c r="B167" s="1084"/>
      <c r="C167" s="1084"/>
      <c r="D167" s="1104"/>
      <c r="E167" s="1105"/>
      <c r="F167" s="1066"/>
      <c r="G167" s="1066"/>
      <c r="H167" s="1066"/>
      <c r="I167" s="1066"/>
      <c r="J167" s="1066"/>
      <c r="K167" s="1066"/>
      <c r="L167" s="1066"/>
      <c r="M167" s="1066"/>
      <c r="N167" s="1066"/>
    </row>
    <row r="168" spans="1:14" x14ac:dyDescent="0.25">
      <c r="A168" s="845">
        <v>164</v>
      </c>
      <c r="B168" s="1084"/>
      <c r="C168" s="1084"/>
      <c r="D168" s="1104"/>
      <c r="E168" s="1105"/>
      <c r="F168" s="1066"/>
      <c r="G168" s="1066"/>
      <c r="H168" s="1066"/>
      <c r="I168" s="1066"/>
      <c r="J168" s="1066"/>
      <c r="K168" s="1066"/>
      <c r="L168" s="1066"/>
      <c r="M168" s="1066"/>
      <c r="N168" s="1066"/>
    </row>
    <row r="169" spans="1:14" x14ac:dyDescent="0.25">
      <c r="A169" s="845">
        <v>165</v>
      </c>
      <c r="B169" s="1084"/>
      <c r="C169" s="1084"/>
      <c r="D169" s="1104"/>
      <c r="E169" s="1105"/>
      <c r="F169" s="1066"/>
      <c r="G169" s="1066"/>
      <c r="H169" s="1066"/>
      <c r="I169" s="1066"/>
      <c r="J169" s="1066"/>
      <c r="K169" s="1066"/>
      <c r="L169" s="1066"/>
      <c r="M169" s="1066"/>
      <c r="N169" s="1066"/>
    </row>
    <row r="170" spans="1:14" x14ac:dyDescent="0.25">
      <c r="A170" s="845">
        <v>166</v>
      </c>
      <c r="B170" s="1084"/>
      <c r="C170" s="1084"/>
      <c r="D170" s="1104"/>
      <c r="E170" s="1105"/>
      <c r="F170" s="1066"/>
      <c r="G170" s="1066"/>
      <c r="H170" s="1066"/>
      <c r="I170" s="1066"/>
      <c r="J170" s="1066"/>
      <c r="K170" s="1066"/>
      <c r="L170" s="1066"/>
      <c r="M170" s="1066"/>
      <c r="N170" s="1066"/>
    </row>
    <row r="171" spans="1:14" x14ac:dyDescent="0.25">
      <c r="A171" s="845">
        <v>167</v>
      </c>
      <c r="B171" s="1084"/>
      <c r="C171" s="1084"/>
      <c r="D171" s="1104"/>
      <c r="E171" s="1105"/>
      <c r="F171" s="1066"/>
      <c r="G171" s="1066"/>
      <c r="H171" s="1066"/>
      <c r="I171" s="1066"/>
      <c r="J171" s="1066"/>
      <c r="K171" s="1066"/>
      <c r="L171" s="1066"/>
      <c r="M171" s="1066"/>
      <c r="N171" s="1066"/>
    </row>
    <row r="172" spans="1:14" x14ac:dyDescent="0.25">
      <c r="A172" s="845">
        <v>168</v>
      </c>
      <c r="B172" s="1084"/>
      <c r="C172" s="1084"/>
      <c r="D172" s="1104"/>
      <c r="E172" s="1105"/>
      <c r="F172" s="1066"/>
      <c r="G172" s="1066"/>
      <c r="H172" s="1066"/>
      <c r="I172" s="1066"/>
      <c r="J172" s="1066"/>
      <c r="K172" s="1066"/>
      <c r="L172" s="1066"/>
      <c r="M172" s="1066"/>
      <c r="N172" s="1066"/>
    </row>
    <row r="173" spans="1:14" x14ac:dyDescent="0.25">
      <c r="A173" s="845">
        <v>169</v>
      </c>
      <c r="B173" s="1084"/>
      <c r="C173" s="1084"/>
      <c r="D173" s="1104"/>
      <c r="E173" s="1105"/>
      <c r="F173" s="1066"/>
      <c r="G173" s="1066"/>
      <c r="H173" s="1066"/>
      <c r="I173" s="1066"/>
      <c r="J173" s="1066"/>
      <c r="K173" s="1066"/>
      <c r="L173" s="1066"/>
      <c r="M173" s="1066"/>
      <c r="N173" s="1066"/>
    </row>
    <row r="174" spans="1:14" x14ac:dyDescent="0.25">
      <c r="A174" s="845">
        <v>170</v>
      </c>
      <c r="B174" s="1084"/>
      <c r="C174" s="1084"/>
      <c r="D174" s="1104"/>
      <c r="E174" s="1105"/>
      <c r="F174" s="1066"/>
      <c r="G174" s="1066"/>
      <c r="H174" s="1066"/>
      <c r="I174" s="1066"/>
      <c r="J174" s="1066"/>
      <c r="K174" s="1066"/>
      <c r="L174" s="1066"/>
      <c r="M174" s="1066"/>
      <c r="N174" s="1066"/>
    </row>
    <row r="175" spans="1:14" x14ac:dyDescent="0.25">
      <c r="A175" s="845">
        <v>171</v>
      </c>
      <c r="B175" s="1084"/>
      <c r="C175" s="1084"/>
      <c r="D175" s="1104"/>
      <c r="E175" s="1105"/>
      <c r="F175" s="1066"/>
      <c r="G175" s="1066"/>
      <c r="H175" s="1066"/>
      <c r="I175" s="1066"/>
      <c r="J175" s="1066"/>
      <c r="K175" s="1066"/>
      <c r="L175" s="1066"/>
      <c r="M175" s="1066"/>
      <c r="N175" s="1066"/>
    </row>
    <row r="176" spans="1:14" x14ac:dyDescent="0.25">
      <c r="A176" s="845">
        <v>172</v>
      </c>
      <c r="B176" s="1084"/>
      <c r="C176" s="1084"/>
      <c r="D176" s="1104"/>
      <c r="E176" s="1105"/>
      <c r="F176" s="1066"/>
      <c r="G176" s="1066"/>
      <c r="H176" s="1066"/>
      <c r="I176" s="1066"/>
      <c r="J176" s="1066"/>
      <c r="K176" s="1066"/>
      <c r="L176" s="1066"/>
      <c r="M176" s="1066"/>
      <c r="N176" s="1066"/>
    </row>
    <row r="177" spans="1:14" x14ac:dyDescent="0.25">
      <c r="A177" s="845">
        <v>173</v>
      </c>
      <c r="B177" s="1084"/>
      <c r="C177" s="1084"/>
      <c r="D177" s="1104"/>
      <c r="E177" s="1105"/>
      <c r="F177" s="1066"/>
      <c r="G177" s="1066"/>
      <c r="H177" s="1066"/>
      <c r="I177" s="1066"/>
      <c r="J177" s="1066"/>
      <c r="K177" s="1066"/>
      <c r="L177" s="1066"/>
      <c r="M177" s="1066"/>
      <c r="N177" s="1066"/>
    </row>
    <row r="178" spans="1:14" x14ac:dyDescent="0.25">
      <c r="A178" s="845">
        <v>174</v>
      </c>
      <c r="B178" s="1084"/>
      <c r="C178" s="1084"/>
      <c r="D178" s="1104"/>
      <c r="E178" s="1105"/>
      <c r="F178" s="1066"/>
      <c r="G178" s="1066"/>
      <c r="H178" s="1066"/>
      <c r="I178" s="1066"/>
      <c r="J178" s="1066"/>
      <c r="K178" s="1066"/>
      <c r="L178" s="1066"/>
      <c r="M178" s="1066"/>
      <c r="N178" s="1066"/>
    </row>
    <row r="179" spans="1:14" x14ac:dyDescent="0.25">
      <c r="A179" s="845">
        <v>175</v>
      </c>
      <c r="B179" s="1084"/>
      <c r="C179" s="1084"/>
      <c r="D179" s="1104"/>
      <c r="E179" s="1105"/>
      <c r="F179" s="1066"/>
      <c r="G179" s="1066"/>
      <c r="H179" s="1066"/>
      <c r="I179" s="1066"/>
      <c r="J179" s="1066"/>
      <c r="K179" s="1066"/>
      <c r="L179" s="1066"/>
      <c r="M179" s="1066"/>
      <c r="N179" s="1066"/>
    </row>
    <row r="180" spans="1:14" x14ac:dyDescent="0.25">
      <c r="A180" s="845">
        <v>176</v>
      </c>
      <c r="B180" s="1084"/>
      <c r="C180" s="1084"/>
      <c r="D180" s="1104"/>
      <c r="E180" s="1105"/>
      <c r="F180" s="1066"/>
      <c r="G180" s="1066"/>
      <c r="H180" s="1066"/>
      <c r="I180" s="1066"/>
      <c r="J180" s="1066"/>
      <c r="K180" s="1066"/>
      <c r="L180" s="1066"/>
      <c r="M180" s="1066"/>
      <c r="N180" s="1066"/>
    </row>
    <row r="181" spans="1:14" x14ac:dyDescent="0.25">
      <c r="A181" s="845">
        <v>177</v>
      </c>
      <c r="B181" s="1084"/>
      <c r="C181" s="1084"/>
      <c r="D181" s="1104"/>
      <c r="E181" s="1105"/>
      <c r="F181" s="1066"/>
      <c r="G181" s="1066"/>
      <c r="H181" s="1066"/>
      <c r="I181" s="1066"/>
      <c r="J181" s="1066"/>
      <c r="K181" s="1066"/>
      <c r="L181" s="1066"/>
      <c r="M181" s="1066"/>
      <c r="N181" s="1066"/>
    </row>
    <row r="182" spans="1:14" x14ac:dyDescent="0.25">
      <c r="A182" s="845">
        <v>178</v>
      </c>
      <c r="B182" s="1084"/>
      <c r="C182" s="1084"/>
      <c r="D182" s="1104"/>
      <c r="E182" s="1105"/>
      <c r="F182" s="1066"/>
      <c r="G182" s="1066"/>
      <c r="H182" s="1066"/>
      <c r="I182" s="1066"/>
      <c r="J182" s="1066"/>
      <c r="K182" s="1066"/>
      <c r="L182" s="1066"/>
      <c r="M182" s="1066"/>
      <c r="N182" s="1066"/>
    </row>
    <row r="183" spans="1:14" x14ac:dyDescent="0.25">
      <c r="A183" s="845">
        <v>179</v>
      </c>
      <c r="B183" s="1084"/>
      <c r="C183" s="1084"/>
      <c r="D183" s="1104"/>
      <c r="E183" s="1105"/>
      <c r="F183" s="1066"/>
      <c r="G183" s="1066"/>
      <c r="H183" s="1066"/>
      <c r="I183" s="1066"/>
      <c r="J183" s="1066"/>
      <c r="K183" s="1066"/>
      <c r="L183" s="1066"/>
      <c r="M183" s="1066"/>
      <c r="N183" s="1066"/>
    </row>
    <row r="184" spans="1:14" x14ac:dyDescent="0.25">
      <c r="A184" s="845">
        <v>180</v>
      </c>
      <c r="B184" s="1084"/>
      <c r="C184" s="1084"/>
      <c r="D184" s="1104"/>
      <c r="E184" s="1105"/>
      <c r="F184" s="1066"/>
      <c r="G184" s="1066"/>
      <c r="H184" s="1066"/>
      <c r="I184" s="1066"/>
      <c r="J184" s="1066"/>
      <c r="K184" s="1066"/>
      <c r="L184" s="1066"/>
      <c r="M184" s="1066"/>
      <c r="N184" s="1066"/>
    </row>
    <row r="185" spans="1:14" x14ac:dyDescent="0.25">
      <c r="A185" s="845">
        <v>181</v>
      </c>
      <c r="B185" s="1084"/>
      <c r="C185" s="1084"/>
      <c r="D185" s="1104"/>
      <c r="E185" s="1105"/>
      <c r="F185" s="1066"/>
      <c r="G185" s="1066"/>
      <c r="H185" s="1066"/>
      <c r="I185" s="1066"/>
      <c r="J185" s="1066"/>
      <c r="K185" s="1066"/>
      <c r="L185" s="1066"/>
      <c r="M185" s="1066"/>
      <c r="N185" s="1066"/>
    </row>
    <row r="186" spans="1:14" x14ac:dyDescent="0.25">
      <c r="A186" s="845">
        <v>182</v>
      </c>
      <c r="B186" s="1084"/>
      <c r="C186" s="1084"/>
      <c r="D186" s="1104"/>
      <c r="E186" s="1105"/>
      <c r="F186" s="1066"/>
      <c r="G186" s="1066"/>
      <c r="H186" s="1066"/>
      <c r="I186" s="1066"/>
      <c r="J186" s="1066"/>
      <c r="K186" s="1066"/>
      <c r="L186" s="1066"/>
      <c r="M186" s="1066"/>
      <c r="N186" s="1066"/>
    </row>
    <row r="187" spans="1:14" x14ac:dyDescent="0.25">
      <c r="A187" s="845">
        <v>183</v>
      </c>
      <c r="B187" s="1084"/>
      <c r="C187" s="1084"/>
      <c r="D187" s="1104"/>
      <c r="E187" s="1105"/>
      <c r="F187" s="1066"/>
      <c r="G187" s="1066"/>
      <c r="H187" s="1066"/>
      <c r="I187" s="1066"/>
      <c r="J187" s="1066"/>
      <c r="K187" s="1066"/>
      <c r="L187" s="1066"/>
      <c r="M187" s="1066"/>
      <c r="N187" s="1066"/>
    </row>
    <row r="188" spans="1:14" x14ac:dyDescent="0.25">
      <c r="A188" s="845">
        <v>184</v>
      </c>
      <c r="B188" s="1084"/>
      <c r="C188" s="1084"/>
      <c r="D188" s="1104"/>
      <c r="E188" s="1105"/>
      <c r="F188" s="1066"/>
      <c r="G188" s="1066"/>
      <c r="H188" s="1066"/>
      <c r="I188" s="1066"/>
      <c r="J188" s="1066"/>
      <c r="K188" s="1066"/>
      <c r="L188" s="1066"/>
      <c r="M188" s="1066"/>
      <c r="N188" s="1066"/>
    </row>
    <row r="189" spans="1:14" x14ac:dyDescent="0.25">
      <c r="A189" s="845">
        <v>185</v>
      </c>
      <c r="B189" s="1084"/>
      <c r="C189" s="1084"/>
      <c r="D189" s="1104"/>
      <c r="E189" s="1105"/>
      <c r="F189" s="1066"/>
      <c r="G189" s="1066"/>
      <c r="H189" s="1066"/>
      <c r="I189" s="1066"/>
      <c r="J189" s="1066"/>
      <c r="K189" s="1066"/>
      <c r="L189" s="1066"/>
      <c r="M189" s="1066"/>
      <c r="N189" s="1066"/>
    </row>
    <row r="190" spans="1:14" x14ac:dyDescent="0.25">
      <c r="A190" s="845">
        <v>186</v>
      </c>
      <c r="B190" s="1084"/>
      <c r="C190" s="1084"/>
      <c r="D190" s="1104"/>
      <c r="E190" s="1105"/>
      <c r="F190" s="1066"/>
      <c r="G190" s="1066"/>
      <c r="H190" s="1066"/>
      <c r="I190" s="1066"/>
      <c r="J190" s="1066"/>
      <c r="K190" s="1066"/>
      <c r="L190" s="1066"/>
      <c r="M190" s="1066"/>
      <c r="N190" s="1066"/>
    </row>
    <row r="191" spans="1:14" x14ac:dyDescent="0.25">
      <c r="A191" s="845">
        <v>187</v>
      </c>
      <c r="B191" s="1084"/>
      <c r="C191" s="1084"/>
      <c r="D191" s="1104"/>
      <c r="E191" s="1105"/>
      <c r="F191" s="1066"/>
      <c r="G191" s="1066"/>
      <c r="H191" s="1066"/>
      <c r="I191" s="1066"/>
      <c r="J191" s="1066"/>
      <c r="K191" s="1066"/>
      <c r="L191" s="1066"/>
      <c r="M191" s="1066"/>
      <c r="N191" s="1066"/>
    </row>
    <row r="192" spans="1:14" x14ac:dyDescent="0.25">
      <c r="A192" s="845">
        <v>188</v>
      </c>
      <c r="B192" s="1084"/>
      <c r="C192" s="1084"/>
      <c r="D192" s="1104"/>
      <c r="E192" s="1105"/>
      <c r="F192" s="1066"/>
      <c r="G192" s="1066"/>
      <c r="H192" s="1066"/>
      <c r="I192" s="1066"/>
      <c r="J192" s="1066"/>
      <c r="K192" s="1066"/>
      <c r="L192" s="1066"/>
      <c r="M192" s="1066"/>
      <c r="N192" s="1066"/>
    </row>
    <row r="193" spans="1:14" x14ac:dyDescent="0.25">
      <c r="A193" s="845">
        <v>189</v>
      </c>
      <c r="B193" s="1084"/>
      <c r="C193" s="1084"/>
      <c r="D193" s="1104"/>
      <c r="E193" s="1105"/>
      <c r="F193" s="1066"/>
      <c r="G193" s="1066"/>
      <c r="H193" s="1066"/>
      <c r="I193" s="1066"/>
      <c r="J193" s="1066"/>
      <c r="K193" s="1066"/>
      <c r="L193" s="1066"/>
      <c r="M193" s="1066"/>
      <c r="N193" s="1066"/>
    </row>
    <row r="194" spans="1:14" x14ac:dyDescent="0.25">
      <c r="A194" s="845">
        <v>190</v>
      </c>
      <c r="B194" s="1084"/>
      <c r="C194" s="1084"/>
      <c r="D194" s="1104"/>
      <c r="E194" s="1105"/>
      <c r="F194" s="1066"/>
      <c r="G194" s="1066"/>
      <c r="H194" s="1066"/>
      <c r="I194" s="1066"/>
      <c r="J194" s="1066"/>
      <c r="K194" s="1066"/>
      <c r="L194" s="1066"/>
      <c r="M194" s="1066"/>
      <c r="N194" s="1066"/>
    </row>
    <row r="195" spans="1:14" x14ac:dyDescent="0.25">
      <c r="D195">
        <v>191</v>
      </c>
      <c r="E195" t="s">
        <v>1156</v>
      </c>
      <c r="F195" t="s">
        <v>1261</v>
      </c>
      <c r="G195" t="s">
        <v>1262</v>
      </c>
      <c r="H195" t="s">
        <v>1263</v>
      </c>
      <c r="I195" t="s">
        <v>1264</v>
      </c>
      <c r="J195" t="s">
        <v>1265</v>
      </c>
      <c r="K195" t="s">
        <v>1266</v>
      </c>
      <c r="L195" t="s">
        <v>1267</v>
      </c>
      <c r="M195" t="s">
        <v>1268</v>
      </c>
      <c r="N195" t="s">
        <v>1269</v>
      </c>
    </row>
    <row r="196" spans="1:14" x14ac:dyDescent="0.25">
      <c r="D196">
        <v>192</v>
      </c>
      <c r="E196" t="s">
        <v>1202</v>
      </c>
      <c r="F196" t="s">
        <v>1270</v>
      </c>
      <c r="G196" t="s">
        <v>1271</v>
      </c>
      <c r="H196" t="s">
        <v>1272</v>
      </c>
      <c r="I196" t="s">
        <v>1273</v>
      </c>
      <c r="J196" t="s">
        <v>1274</v>
      </c>
      <c r="K196" t="s">
        <v>1275</v>
      </c>
      <c r="L196" t="s">
        <v>1276</v>
      </c>
      <c r="M196" t="s">
        <v>1277</v>
      </c>
      <c r="N196" t="s">
        <v>1278</v>
      </c>
    </row>
  </sheetData>
  <mergeCells count="12">
    <mergeCell ref="N3:N4"/>
    <mergeCell ref="A1:N2"/>
    <mergeCell ref="A3:D4"/>
    <mergeCell ref="F3:F4"/>
    <mergeCell ref="G3:G4"/>
    <mergeCell ref="H3:H4"/>
    <mergeCell ref="I3:I4"/>
    <mergeCell ref="J3:J4"/>
    <mergeCell ref="K3:K4"/>
    <mergeCell ref="L3:L4"/>
    <mergeCell ref="M3:M4"/>
    <mergeCell ref="E3: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4073C-E8A5-47B9-A40A-11E67E477D4B}">
  <sheetPr codeName="Sheet12"/>
  <dimension ref="A1:H250"/>
  <sheetViews>
    <sheetView topLeftCell="A22" zoomScaleNormal="100" workbookViewId="0">
      <selection activeCell="F47" sqref="F47"/>
    </sheetView>
  </sheetViews>
  <sheetFormatPr defaultRowHeight="15" x14ac:dyDescent="0.25"/>
  <cols>
    <col min="1" max="1" width="22.85546875" bestFit="1" customWidth="1"/>
    <col min="2" max="2" width="9.5703125" bestFit="1" customWidth="1"/>
    <col min="3" max="3" width="27.140625" bestFit="1" customWidth="1"/>
    <col min="4" max="4" width="21.85546875" bestFit="1" customWidth="1"/>
    <col min="5" max="6" width="27.7109375" bestFit="1" customWidth="1"/>
    <col min="7" max="7" width="34.85546875" customWidth="1"/>
    <col min="8" max="8" width="27.7109375" bestFit="1" customWidth="1"/>
  </cols>
  <sheetData>
    <row r="1" spans="1:8" ht="15.6" customHeight="1" x14ac:dyDescent="0.25">
      <c r="A1" s="1061" t="s">
        <v>973</v>
      </c>
      <c r="B1" s="1061"/>
      <c r="C1" s="1062"/>
      <c r="D1" s="1062"/>
      <c r="E1" s="1062"/>
      <c r="F1" s="1062"/>
      <c r="G1" s="1063"/>
      <c r="H1" s="1063"/>
    </row>
    <row r="2" spans="1:8" x14ac:dyDescent="0.25">
      <c r="A2" s="847">
        <v>42</v>
      </c>
      <c r="B2" s="847"/>
      <c r="C2" s="1064"/>
      <c r="D2" s="1065"/>
      <c r="E2" s="1066">
        <v>42</v>
      </c>
      <c r="F2" s="1066" t="s">
        <v>1110</v>
      </c>
      <c r="G2" s="1063"/>
      <c r="H2" s="1063"/>
    </row>
    <row r="3" spans="1:8" ht="15" customHeight="1" x14ac:dyDescent="0.25">
      <c r="A3" s="1067" t="s">
        <v>1024</v>
      </c>
      <c r="B3" s="1067" t="s">
        <v>975</v>
      </c>
      <c r="C3" s="1067" t="s">
        <v>976</v>
      </c>
      <c r="D3" s="1067" t="s">
        <v>977</v>
      </c>
      <c r="E3" s="1068" t="s">
        <v>978</v>
      </c>
      <c r="F3" s="1068" t="s">
        <v>978</v>
      </c>
      <c r="G3" s="1068" t="s">
        <v>978</v>
      </c>
      <c r="H3" s="1068" t="s">
        <v>978</v>
      </c>
    </row>
    <row r="4" spans="1:8" ht="15" customHeight="1" x14ac:dyDescent="0.25">
      <c r="A4" s="1069"/>
      <c r="B4" s="1069"/>
      <c r="C4" s="1069"/>
      <c r="D4" s="1069"/>
      <c r="E4" s="1069"/>
      <c r="F4" s="1069"/>
      <c r="G4" s="1069"/>
      <c r="H4" s="1069"/>
    </row>
    <row r="5" spans="1:8" x14ac:dyDescent="0.25">
      <c r="A5" s="1066" t="s">
        <v>1111</v>
      </c>
      <c r="B5" s="1070" t="s">
        <v>1112</v>
      </c>
      <c r="C5" s="1066" t="s">
        <v>1113</v>
      </c>
      <c r="D5" s="1066" t="s">
        <v>1114</v>
      </c>
      <c r="E5" s="1066"/>
      <c r="F5" s="1066" t="s">
        <v>1115</v>
      </c>
      <c r="G5" s="1066" t="s">
        <v>1116</v>
      </c>
      <c r="H5" s="1066" t="s">
        <v>1104</v>
      </c>
    </row>
    <row r="6" spans="1:8" x14ac:dyDescent="0.25">
      <c r="A6" s="1066" t="s">
        <v>1117</v>
      </c>
      <c r="B6" s="1066" t="s">
        <v>1118</v>
      </c>
      <c r="C6" s="1066" t="s">
        <v>1119</v>
      </c>
      <c r="D6" s="1066" t="s">
        <v>1120</v>
      </c>
      <c r="E6" s="1066"/>
      <c r="F6" s="1066"/>
      <c r="G6" s="1066"/>
      <c r="H6" s="1066" t="s">
        <v>1121</v>
      </c>
    </row>
    <row r="7" spans="1:8" x14ac:dyDescent="0.25">
      <c r="A7" s="1066" t="s">
        <v>1122</v>
      </c>
      <c r="B7" s="1066" t="s">
        <v>1123</v>
      </c>
      <c r="C7" s="1066" t="s">
        <v>1124</v>
      </c>
      <c r="D7" s="1066" t="s">
        <v>1125</v>
      </c>
      <c r="E7" s="1066"/>
      <c r="F7" s="1066"/>
      <c r="G7" s="1066" t="s">
        <v>1126</v>
      </c>
      <c r="H7" s="1066" t="s">
        <v>1127</v>
      </c>
    </row>
    <row r="8" spans="1:8" x14ac:dyDescent="0.25">
      <c r="A8" s="1066" t="s">
        <v>1128</v>
      </c>
      <c r="B8" s="1066" t="s">
        <v>1129</v>
      </c>
      <c r="C8" s="1066" t="s">
        <v>1130</v>
      </c>
      <c r="D8" s="1066" t="s">
        <v>1131</v>
      </c>
      <c r="E8" s="1066"/>
      <c r="F8" s="1066"/>
      <c r="G8" s="1066" t="s">
        <v>1132</v>
      </c>
      <c r="H8" s="1066" t="s">
        <v>1100</v>
      </c>
    </row>
    <row r="9" spans="1:8" x14ac:dyDescent="0.25">
      <c r="A9" s="1066" t="s">
        <v>1133</v>
      </c>
      <c r="B9" s="1066" t="s">
        <v>1134</v>
      </c>
      <c r="C9" s="1066" t="s">
        <v>1135</v>
      </c>
      <c r="D9" s="1066" t="s">
        <v>1136</v>
      </c>
      <c r="E9" s="1066"/>
      <c r="F9" s="1066"/>
      <c r="G9" s="1066" t="s">
        <v>1137</v>
      </c>
      <c r="H9" s="1066" t="s">
        <v>1138</v>
      </c>
    </row>
    <row r="10" spans="1:8" x14ac:dyDescent="0.25">
      <c r="A10" s="1066" t="s">
        <v>1139</v>
      </c>
      <c r="B10" s="1066" t="s">
        <v>1140</v>
      </c>
      <c r="C10" s="1066" t="s">
        <v>1141</v>
      </c>
      <c r="D10" s="1066" t="s">
        <v>1142</v>
      </c>
      <c r="E10" s="1066"/>
      <c r="F10" s="1066"/>
      <c r="G10" s="1066" t="s">
        <v>1143</v>
      </c>
      <c r="H10" s="1066" t="s">
        <v>1144</v>
      </c>
    </row>
    <row r="11" spans="1:8" x14ac:dyDescent="0.25">
      <c r="A11" s="1066" t="s">
        <v>1145</v>
      </c>
      <c r="B11" s="1066" t="s">
        <v>1146</v>
      </c>
      <c r="C11" s="1066" t="s">
        <v>1147</v>
      </c>
      <c r="D11" s="1066" t="s">
        <v>1148</v>
      </c>
      <c r="E11" s="1066"/>
      <c r="F11" s="1066"/>
      <c r="G11" s="1066"/>
      <c r="H11" s="1066" t="s">
        <v>1149</v>
      </c>
    </row>
    <row r="12" spans="1:8" x14ac:dyDescent="0.25">
      <c r="A12" s="1066" t="s">
        <v>1150</v>
      </c>
      <c r="B12" s="1066" t="s">
        <v>1151</v>
      </c>
      <c r="C12" s="1066" t="s">
        <v>1147</v>
      </c>
      <c r="D12" s="1066" t="s">
        <v>1152</v>
      </c>
      <c r="E12" s="1066" t="s">
        <v>1153</v>
      </c>
      <c r="F12" s="1066" t="s">
        <v>1102</v>
      </c>
      <c r="G12" s="1066" t="s">
        <v>1154</v>
      </c>
      <c r="H12" s="1066" t="s">
        <v>1155</v>
      </c>
    </row>
    <row r="13" spans="1:8" x14ac:dyDescent="0.25">
      <c r="A13" s="1071"/>
      <c r="B13" s="1071"/>
      <c r="C13" s="1071"/>
      <c r="D13" s="1071"/>
      <c r="E13" s="1071" t="s">
        <v>974</v>
      </c>
      <c r="F13" s="1071"/>
      <c r="G13" s="1071"/>
      <c r="H13" s="1071"/>
    </row>
    <row r="14" spans="1:8" ht="15.6" customHeight="1" x14ac:dyDescent="0.25">
      <c r="A14" s="1061" t="s">
        <v>973</v>
      </c>
      <c r="B14" s="1061"/>
      <c r="C14" s="1062"/>
      <c r="D14" s="1062"/>
      <c r="E14" s="1062"/>
      <c r="F14" s="1062"/>
      <c r="G14" s="1063"/>
      <c r="H14" s="1063"/>
    </row>
    <row r="15" spans="1:8" x14ac:dyDescent="0.25">
      <c r="A15" s="847">
        <v>191</v>
      </c>
      <c r="B15" s="847"/>
      <c r="C15" s="1064"/>
      <c r="D15" s="1065"/>
      <c r="E15" s="1066">
        <v>191</v>
      </c>
      <c r="F15" s="1066" t="s">
        <v>1156</v>
      </c>
      <c r="G15" s="1063"/>
      <c r="H15" s="1063"/>
    </row>
    <row r="16" spans="1:8" ht="15" customHeight="1" x14ac:dyDescent="0.25">
      <c r="A16" s="1067" t="s">
        <v>1024</v>
      </c>
      <c r="B16" s="1067" t="s">
        <v>975</v>
      </c>
      <c r="C16" s="1067" t="s">
        <v>976</v>
      </c>
      <c r="D16" s="1067" t="s">
        <v>977</v>
      </c>
      <c r="E16" s="1068" t="s">
        <v>978</v>
      </c>
      <c r="F16" s="1068" t="s">
        <v>978</v>
      </c>
      <c r="G16" s="1068" t="s">
        <v>978</v>
      </c>
      <c r="H16" s="1068" t="s">
        <v>978</v>
      </c>
    </row>
    <row r="17" spans="1:8" ht="15" customHeight="1" x14ac:dyDescent="0.25">
      <c r="A17" s="1069"/>
      <c r="B17" s="1069"/>
      <c r="C17" s="1069"/>
      <c r="D17" s="1069"/>
      <c r="E17" s="1069"/>
      <c r="F17" s="1069"/>
      <c r="G17" s="1069"/>
      <c r="H17" s="1069"/>
    </row>
    <row r="18" spans="1:8" x14ac:dyDescent="0.25">
      <c r="A18" s="1066" t="s">
        <v>1157</v>
      </c>
      <c r="B18" s="1070" t="s">
        <v>1112</v>
      </c>
      <c r="C18" s="1066" t="s">
        <v>1158</v>
      </c>
      <c r="D18" s="1066" t="s">
        <v>1159</v>
      </c>
      <c r="E18" s="1066" t="s">
        <v>1160</v>
      </c>
      <c r="F18" s="1066" t="s">
        <v>1161</v>
      </c>
      <c r="G18" s="1066" t="s">
        <v>1108</v>
      </c>
      <c r="H18" s="1066" t="s">
        <v>1162</v>
      </c>
    </row>
    <row r="19" spans="1:8" x14ac:dyDescent="0.25">
      <c r="A19" s="1066" t="s">
        <v>1163</v>
      </c>
      <c r="B19" s="1066" t="s">
        <v>1118</v>
      </c>
      <c r="C19" s="1066" t="s">
        <v>1164</v>
      </c>
      <c r="D19" s="1066" t="s">
        <v>1165</v>
      </c>
      <c r="E19" s="1066"/>
      <c r="F19" s="1066"/>
      <c r="G19" s="1066" t="s">
        <v>1166</v>
      </c>
      <c r="H19" s="1066" t="s">
        <v>1167</v>
      </c>
    </row>
    <row r="20" spans="1:8" x14ac:dyDescent="0.25">
      <c r="A20" s="1066" t="s">
        <v>1168</v>
      </c>
      <c r="B20" s="1066" t="s">
        <v>1123</v>
      </c>
      <c r="C20" s="1066" t="s">
        <v>1169</v>
      </c>
      <c r="D20" s="1066" t="s">
        <v>1170</v>
      </c>
      <c r="E20" s="1066"/>
      <c r="F20" s="1066"/>
      <c r="G20" s="1066" t="s">
        <v>1171</v>
      </c>
      <c r="H20" s="1066" t="s">
        <v>1172</v>
      </c>
    </row>
    <row r="21" spans="1:8" x14ac:dyDescent="0.25">
      <c r="A21" s="1066" t="s">
        <v>1173</v>
      </c>
      <c r="B21" s="1066" t="s">
        <v>1129</v>
      </c>
      <c r="C21" s="1066" t="s">
        <v>1174</v>
      </c>
      <c r="D21" s="1066" t="s">
        <v>1175</v>
      </c>
      <c r="E21" s="1066" t="s">
        <v>1176</v>
      </c>
      <c r="F21" s="1066" t="s">
        <v>1177</v>
      </c>
      <c r="G21" s="1066" t="s">
        <v>1178</v>
      </c>
      <c r="H21" s="1066" t="s">
        <v>1179</v>
      </c>
    </row>
    <row r="22" spans="1:8" x14ac:dyDescent="0.25">
      <c r="A22" s="1066" t="s">
        <v>1180</v>
      </c>
      <c r="B22" s="1066" t="s">
        <v>1134</v>
      </c>
      <c r="C22" s="1066" t="s">
        <v>1181</v>
      </c>
      <c r="D22" s="1066" t="s">
        <v>1182</v>
      </c>
      <c r="E22" s="1066"/>
      <c r="F22" s="1066"/>
      <c r="G22" s="1066" t="s">
        <v>1183</v>
      </c>
      <c r="H22" s="1066" t="s">
        <v>1184</v>
      </c>
    </row>
    <row r="23" spans="1:8" x14ac:dyDescent="0.25">
      <c r="A23" s="1066" t="s">
        <v>1185</v>
      </c>
      <c r="B23" s="1066" t="s">
        <v>1140</v>
      </c>
      <c r="C23" s="1066" t="s">
        <v>1186</v>
      </c>
      <c r="D23" s="1066" t="s">
        <v>1187</v>
      </c>
      <c r="E23" s="1066" t="s">
        <v>1188</v>
      </c>
      <c r="F23" s="1066" t="s">
        <v>1189</v>
      </c>
      <c r="G23" s="1066" t="s">
        <v>1190</v>
      </c>
      <c r="H23" s="1066" t="s">
        <v>1099</v>
      </c>
    </row>
    <row r="24" spans="1:8" x14ac:dyDescent="0.25">
      <c r="A24" s="1066" t="s">
        <v>1191</v>
      </c>
      <c r="B24" s="1066" t="s">
        <v>1146</v>
      </c>
      <c r="C24" s="1066" t="s">
        <v>1192</v>
      </c>
      <c r="D24" s="1066" t="s">
        <v>1193</v>
      </c>
      <c r="E24" s="1066" t="s">
        <v>1194</v>
      </c>
      <c r="F24" s="1066" t="s">
        <v>1195</v>
      </c>
      <c r="G24" s="1066" t="s">
        <v>1196</v>
      </c>
      <c r="H24" s="1066" t="s">
        <v>1197</v>
      </c>
    </row>
    <row r="25" spans="1:8" x14ac:dyDescent="0.25">
      <c r="A25" s="1066" t="s">
        <v>1198</v>
      </c>
      <c r="B25" s="1066" t="s">
        <v>1151</v>
      </c>
      <c r="C25" s="1066" t="s">
        <v>1156</v>
      </c>
      <c r="D25" s="1066" t="s">
        <v>1199</v>
      </c>
      <c r="E25" s="1066" t="s">
        <v>1103</v>
      </c>
      <c r="F25" s="1066" t="s">
        <v>1200</v>
      </c>
      <c r="G25" s="1066" t="s">
        <v>1109</v>
      </c>
      <c r="H25" s="1066" t="s">
        <v>1201</v>
      </c>
    </row>
    <row r="26" spans="1:8" x14ac:dyDescent="0.25">
      <c r="A26" s="1071"/>
      <c r="B26" s="1071"/>
      <c r="C26" s="1071"/>
      <c r="D26" s="1071"/>
      <c r="E26" s="1071" t="s">
        <v>974</v>
      </c>
      <c r="F26" s="1071"/>
      <c r="G26" s="1071"/>
      <c r="H26" s="1071"/>
    </row>
    <row r="27" spans="1:8" ht="15.6" customHeight="1" x14ac:dyDescent="0.25">
      <c r="A27" s="1061" t="s">
        <v>973</v>
      </c>
      <c r="B27" s="1061"/>
      <c r="C27" s="1062"/>
      <c r="D27" s="1062"/>
      <c r="E27" s="1062"/>
      <c r="F27" s="1062"/>
      <c r="G27" s="1063"/>
      <c r="H27" s="1063"/>
    </row>
    <row r="28" spans="1:8" x14ac:dyDescent="0.25">
      <c r="A28" s="847">
        <v>192</v>
      </c>
      <c r="B28" s="847"/>
      <c r="C28" s="1064"/>
      <c r="D28" s="1065"/>
      <c r="E28" s="1066">
        <v>192</v>
      </c>
      <c r="F28" s="1066" t="s">
        <v>1202</v>
      </c>
      <c r="G28" s="1063"/>
      <c r="H28" s="1063"/>
    </row>
    <row r="29" spans="1:8" ht="15" customHeight="1" x14ac:dyDescent="0.25">
      <c r="A29" s="1067" t="s">
        <v>1024</v>
      </c>
      <c r="B29" s="1067" t="s">
        <v>975</v>
      </c>
      <c r="C29" s="1067" t="s">
        <v>976</v>
      </c>
      <c r="D29" s="1067" t="s">
        <v>977</v>
      </c>
      <c r="E29" s="1068" t="s">
        <v>978</v>
      </c>
      <c r="F29" s="1068" t="s">
        <v>978</v>
      </c>
      <c r="G29" s="1068" t="s">
        <v>978</v>
      </c>
      <c r="H29" s="1068" t="s">
        <v>978</v>
      </c>
    </row>
    <row r="30" spans="1:8" ht="15" customHeight="1" x14ac:dyDescent="0.25">
      <c r="A30" s="1069"/>
      <c r="B30" s="1069"/>
      <c r="C30" s="1069"/>
      <c r="D30" s="1069"/>
      <c r="E30" s="1069"/>
      <c r="F30" s="1069"/>
      <c r="G30" s="1069"/>
      <c r="H30" s="1069"/>
    </row>
    <row r="31" spans="1:8" x14ac:dyDescent="0.25">
      <c r="A31" s="1066" t="s">
        <v>1203</v>
      </c>
      <c r="B31" s="1070" t="s">
        <v>1112</v>
      </c>
      <c r="C31" s="1066" t="s">
        <v>1204</v>
      </c>
      <c r="D31" s="1066" t="s">
        <v>1205</v>
      </c>
      <c r="E31" s="1066" t="s">
        <v>1206</v>
      </c>
      <c r="F31" s="1066" t="s">
        <v>1207</v>
      </c>
      <c r="G31" s="1066" t="s">
        <v>1107</v>
      </c>
      <c r="H31" s="1066" t="s">
        <v>1208</v>
      </c>
    </row>
    <row r="32" spans="1:8" x14ac:dyDescent="0.25">
      <c r="A32" s="1066" t="s">
        <v>1209</v>
      </c>
      <c r="B32" s="1066" t="s">
        <v>1118</v>
      </c>
      <c r="C32" s="1066" t="s">
        <v>1210</v>
      </c>
      <c r="D32" s="1066" t="s">
        <v>1211</v>
      </c>
      <c r="E32" s="1066" t="s">
        <v>1212</v>
      </c>
      <c r="F32" s="1066" t="s">
        <v>1213</v>
      </c>
      <c r="G32" s="1066" t="s">
        <v>1214</v>
      </c>
      <c r="H32" s="1066" t="s">
        <v>1215</v>
      </c>
    </row>
    <row r="33" spans="1:8" x14ac:dyDescent="0.25">
      <c r="A33" s="1066" t="s">
        <v>1216</v>
      </c>
      <c r="B33" s="1066" t="s">
        <v>1123</v>
      </c>
      <c r="C33" s="1066" t="s">
        <v>1217</v>
      </c>
      <c r="D33" s="1066" t="s">
        <v>1218</v>
      </c>
      <c r="E33" s="1066"/>
      <c r="F33" s="1066"/>
      <c r="G33" s="1066" t="s">
        <v>1219</v>
      </c>
      <c r="H33" s="1066" t="s">
        <v>1220</v>
      </c>
    </row>
    <row r="34" spans="1:8" x14ac:dyDescent="0.25">
      <c r="A34" s="1066" t="s">
        <v>1221</v>
      </c>
      <c r="B34" s="1066" t="s">
        <v>1129</v>
      </c>
      <c r="C34" s="1066" t="s">
        <v>1222</v>
      </c>
      <c r="D34" s="1066" t="s">
        <v>1223</v>
      </c>
      <c r="E34" s="1066"/>
      <c r="F34" s="1066" t="s">
        <v>1224</v>
      </c>
      <c r="G34" s="1066" t="s">
        <v>1225</v>
      </c>
      <c r="H34" s="1066" t="s">
        <v>1226</v>
      </c>
    </row>
    <row r="35" spans="1:8" x14ac:dyDescent="0.25">
      <c r="A35" s="1066" t="s">
        <v>1227</v>
      </c>
      <c r="B35" s="1066" t="s">
        <v>1134</v>
      </c>
      <c r="C35" s="1066" t="s">
        <v>1228</v>
      </c>
      <c r="D35" s="1066" t="s">
        <v>1229</v>
      </c>
      <c r="E35" s="1066" t="s">
        <v>1230</v>
      </c>
      <c r="F35" s="1066" t="s">
        <v>1231</v>
      </c>
      <c r="G35" s="1066" t="s">
        <v>1232</v>
      </c>
      <c r="H35" s="1066" t="s">
        <v>1233</v>
      </c>
    </row>
    <row r="36" spans="1:8" x14ac:dyDescent="0.25">
      <c r="A36" s="1066" t="s">
        <v>1234</v>
      </c>
      <c r="B36" s="1066" t="s">
        <v>1140</v>
      </c>
      <c r="C36" s="1066" t="s">
        <v>1235</v>
      </c>
      <c r="D36" s="1066" t="s">
        <v>1236</v>
      </c>
      <c r="E36" s="1066" t="s">
        <v>1237</v>
      </c>
      <c r="F36" s="1066" t="s">
        <v>1238</v>
      </c>
      <c r="G36" s="1066" t="s">
        <v>1239</v>
      </c>
      <c r="H36" s="1066" t="s">
        <v>1240</v>
      </c>
    </row>
    <row r="37" spans="1:8" x14ac:dyDescent="0.25">
      <c r="A37" s="1066" t="s">
        <v>1241</v>
      </c>
      <c r="B37" s="1066" t="s">
        <v>1146</v>
      </c>
      <c r="C37" s="1066" t="s">
        <v>1242</v>
      </c>
      <c r="D37" s="1066" t="s">
        <v>1243</v>
      </c>
      <c r="E37" s="1066"/>
      <c r="F37" s="1066" t="s">
        <v>1244</v>
      </c>
      <c r="G37" s="1066" t="s">
        <v>1245</v>
      </c>
      <c r="H37" s="1066" t="s">
        <v>1246</v>
      </c>
    </row>
    <row r="38" spans="1:8" x14ac:dyDescent="0.25">
      <c r="A38" s="1066" t="s">
        <v>1247</v>
      </c>
      <c r="B38" s="1066" t="s">
        <v>1151</v>
      </c>
      <c r="C38" s="1066" t="s">
        <v>1248</v>
      </c>
      <c r="D38" s="1066" t="s">
        <v>1249</v>
      </c>
      <c r="E38" s="1066"/>
      <c r="F38" s="1066" t="s">
        <v>1250</v>
      </c>
      <c r="G38" s="1066" t="s">
        <v>1251</v>
      </c>
      <c r="H38" s="1066" t="s">
        <v>1105</v>
      </c>
    </row>
    <row r="39" spans="1:8" x14ac:dyDescent="0.25">
      <c r="A39" s="1071"/>
      <c r="B39" s="1071"/>
      <c r="C39" s="1071"/>
      <c r="D39" s="1071"/>
      <c r="E39" s="1071" t="s">
        <v>974</v>
      </c>
      <c r="F39" s="1071"/>
      <c r="G39" s="1071"/>
      <c r="H39" s="1071"/>
    </row>
    <row r="40" spans="1:8" ht="15.6" customHeight="1" x14ac:dyDescent="0.25">
      <c r="A40" s="1061"/>
      <c r="B40" s="1061"/>
      <c r="C40" s="1062"/>
      <c r="D40" s="1062"/>
      <c r="E40" s="1062"/>
      <c r="F40" s="1062"/>
      <c r="G40" s="1063"/>
      <c r="H40" s="1063"/>
    </row>
    <row r="41" spans="1:8" x14ac:dyDescent="0.25">
      <c r="A41" s="847"/>
      <c r="B41" s="847"/>
      <c r="C41" s="1064"/>
      <c r="D41" s="1065"/>
      <c r="E41" s="1066"/>
      <c r="F41" s="1066"/>
      <c r="G41" s="1063"/>
      <c r="H41" s="1063"/>
    </row>
    <row r="42" spans="1:8" ht="15" customHeight="1" x14ac:dyDescent="0.25">
      <c r="A42" s="1067"/>
      <c r="B42" s="1067"/>
      <c r="C42" s="1067"/>
      <c r="D42" s="1067"/>
      <c r="E42" s="1068"/>
      <c r="F42" s="1068"/>
      <c r="G42" s="1068"/>
      <c r="H42" s="1068"/>
    </row>
    <row r="43" spans="1:8" ht="15" customHeight="1" x14ac:dyDescent="0.25">
      <c r="A43" s="1069"/>
      <c r="B43" s="1069"/>
      <c r="C43" s="1069"/>
      <c r="D43" s="1069"/>
      <c r="E43" s="1069"/>
      <c r="F43" s="1069"/>
      <c r="G43" s="1069"/>
      <c r="H43" s="1069"/>
    </row>
    <row r="44" spans="1:8" x14ac:dyDescent="0.25">
      <c r="A44" s="1066"/>
      <c r="B44" s="1070"/>
      <c r="C44" s="1066"/>
      <c r="D44" s="1066"/>
      <c r="E44" s="1066"/>
      <c r="F44" s="1066"/>
      <c r="G44" s="1066"/>
      <c r="H44" s="1066"/>
    </row>
    <row r="45" spans="1:8" x14ac:dyDescent="0.25">
      <c r="A45" s="1066"/>
      <c r="B45" s="1066"/>
      <c r="C45" s="1066"/>
      <c r="D45" s="1066"/>
      <c r="E45" s="1066"/>
      <c r="F45" s="1066"/>
      <c r="G45" s="1066"/>
      <c r="H45" s="1066"/>
    </row>
    <row r="46" spans="1:8" x14ac:dyDescent="0.25">
      <c r="A46" s="1066"/>
      <c r="B46" s="1066"/>
      <c r="C46" s="1066"/>
      <c r="D46" s="1066"/>
      <c r="E46" s="1066"/>
      <c r="F46" s="1066"/>
      <c r="G46" s="1066"/>
      <c r="H46" s="1066"/>
    </row>
    <row r="47" spans="1:8" x14ac:dyDescent="0.25">
      <c r="A47" s="1066"/>
      <c r="B47" s="1066"/>
      <c r="C47" s="1066"/>
      <c r="D47" s="1066"/>
      <c r="E47" s="1066"/>
      <c r="F47" s="1066"/>
      <c r="G47" s="1066"/>
      <c r="H47" s="1066"/>
    </row>
    <row r="48" spans="1:8" x14ac:dyDescent="0.25">
      <c r="A48" s="1066"/>
      <c r="B48" s="1066"/>
      <c r="C48" s="1066"/>
      <c r="D48" s="1066"/>
      <c r="E48" s="1066"/>
      <c r="F48" s="1066"/>
      <c r="G48" s="1066"/>
      <c r="H48" s="1066"/>
    </row>
    <row r="49" spans="1:8" x14ac:dyDescent="0.25">
      <c r="A49" s="1066"/>
      <c r="B49" s="1066"/>
      <c r="C49" s="1066"/>
      <c r="D49" s="1066"/>
      <c r="E49" s="1066"/>
      <c r="F49" s="1066"/>
      <c r="G49" s="1066"/>
      <c r="H49" s="1066"/>
    </row>
    <row r="50" spans="1:8" x14ac:dyDescent="0.25">
      <c r="A50" s="1066"/>
      <c r="B50" s="1066"/>
      <c r="C50" s="1066"/>
      <c r="D50" s="1066"/>
      <c r="E50" s="1066"/>
      <c r="F50" s="1066"/>
      <c r="G50" s="1066"/>
      <c r="H50" s="1066"/>
    </row>
    <row r="51" spans="1:8" x14ac:dyDescent="0.25">
      <c r="A51" s="1066"/>
      <c r="B51" s="1066"/>
      <c r="C51" s="1066"/>
      <c r="D51" s="1066"/>
      <c r="E51" s="1066"/>
      <c r="F51" s="1066"/>
      <c r="G51" s="1066"/>
      <c r="H51" s="1066"/>
    </row>
    <row r="52" spans="1:8" x14ac:dyDescent="0.25">
      <c r="A52" s="1071"/>
      <c r="B52" s="1071"/>
      <c r="C52" s="1071"/>
      <c r="D52" s="1071"/>
      <c r="E52" s="1071"/>
      <c r="F52" s="1071"/>
      <c r="G52" s="1071"/>
      <c r="H52" s="1071"/>
    </row>
    <row r="53" spans="1:8" ht="15.6" customHeight="1" x14ac:dyDescent="0.25">
      <c r="A53" s="1061"/>
      <c r="B53" s="1061"/>
      <c r="C53" s="1062"/>
      <c r="D53" s="1062"/>
      <c r="E53" s="1062"/>
      <c r="F53" s="1062"/>
      <c r="G53" s="1063"/>
      <c r="H53" s="1063"/>
    </row>
    <row r="54" spans="1:8" x14ac:dyDescent="0.25">
      <c r="A54" s="847"/>
      <c r="B54" s="847"/>
      <c r="C54" s="1064"/>
      <c r="D54" s="1065"/>
      <c r="E54" s="1066"/>
      <c r="F54" s="1066"/>
      <c r="G54" s="1063"/>
      <c r="H54" s="1063"/>
    </row>
    <row r="55" spans="1:8" ht="15" customHeight="1" x14ac:dyDescent="0.25">
      <c r="A55" s="1067"/>
      <c r="B55" s="1067"/>
      <c r="C55" s="1067"/>
      <c r="D55" s="1067"/>
      <c r="E55" s="1068"/>
      <c r="F55" s="1068"/>
      <c r="G55" s="1068"/>
      <c r="H55" s="1068"/>
    </row>
    <row r="56" spans="1:8" ht="15" customHeight="1" x14ac:dyDescent="0.25">
      <c r="A56" s="1069"/>
      <c r="B56" s="1069"/>
      <c r="C56" s="1069"/>
      <c r="D56" s="1069"/>
      <c r="E56" s="1069"/>
      <c r="F56" s="1069"/>
      <c r="G56" s="1069"/>
      <c r="H56" s="1069"/>
    </row>
    <row r="57" spans="1:8" x14ac:dyDescent="0.25">
      <c r="A57" s="1066"/>
      <c r="B57" s="1070"/>
      <c r="C57" s="1066"/>
      <c r="D57" s="1066"/>
      <c r="E57" s="1066"/>
      <c r="F57" s="1066"/>
      <c r="G57" s="1066"/>
      <c r="H57" s="1066"/>
    </row>
    <row r="58" spans="1:8" x14ac:dyDescent="0.25">
      <c r="A58" s="1066"/>
      <c r="B58" s="1066"/>
      <c r="C58" s="1066"/>
      <c r="D58" s="1066"/>
      <c r="E58" s="1066"/>
      <c r="F58" s="1066"/>
      <c r="G58" s="1066"/>
      <c r="H58" s="1066"/>
    </row>
    <row r="59" spans="1:8" x14ac:dyDescent="0.25">
      <c r="A59" s="1066"/>
      <c r="B59" s="1066"/>
      <c r="C59" s="1066"/>
      <c r="D59" s="1066"/>
      <c r="E59" s="1066"/>
      <c r="F59" s="1066"/>
      <c r="G59" s="1066"/>
      <c r="H59" s="1066"/>
    </row>
    <row r="60" spans="1:8" x14ac:dyDescent="0.25">
      <c r="A60" s="1066"/>
      <c r="B60" s="1066"/>
      <c r="C60" s="1066"/>
      <c r="D60" s="1066"/>
      <c r="E60" s="1066"/>
      <c r="F60" s="1066"/>
      <c r="G60" s="1066"/>
      <c r="H60" s="1066"/>
    </row>
    <row r="61" spans="1:8" x14ac:dyDescent="0.25">
      <c r="A61" s="1066"/>
      <c r="B61" s="1066"/>
      <c r="C61" s="1066"/>
      <c r="D61" s="1066"/>
      <c r="E61" s="1066"/>
      <c r="F61" s="1066"/>
      <c r="G61" s="1066"/>
      <c r="H61" s="1066"/>
    </row>
    <row r="62" spans="1:8" x14ac:dyDescent="0.25">
      <c r="A62" s="1066"/>
      <c r="B62" s="1066"/>
      <c r="C62" s="1066"/>
      <c r="D62" s="1066"/>
      <c r="E62" s="1066"/>
      <c r="F62" s="1066"/>
      <c r="G62" s="1066"/>
      <c r="H62" s="1066"/>
    </row>
    <row r="63" spans="1:8" x14ac:dyDescent="0.25">
      <c r="A63" s="1066"/>
      <c r="B63" s="1066"/>
      <c r="C63" s="1066"/>
      <c r="D63" s="1066"/>
      <c r="E63" s="1066"/>
      <c r="F63" s="1066"/>
      <c r="G63" s="1066"/>
      <c r="H63" s="1066"/>
    </row>
    <row r="64" spans="1:8" x14ac:dyDescent="0.25">
      <c r="A64" s="1066"/>
      <c r="B64" s="1066"/>
      <c r="C64" s="1066"/>
      <c r="D64" s="1066"/>
      <c r="E64" s="1066"/>
      <c r="F64" s="1066"/>
      <c r="G64" s="1066"/>
      <c r="H64" s="1066"/>
    </row>
    <row r="65" spans="1:8" x14ac:dyDescent="0.25">
      <c r="A65" s="1071"/>
      <c r="B65" s="1071"/>
      <c r="C65" s="1071"/>
      <c r="D65" s="1071"/>
      <c r="E65" s="1071"/>
      <c r="F65" s="1071"/>
      <c r="G65" s="1071"/>
      <c r="H65" s="1071"/>
    </row>
    <row r="66" spans="1:8" ht="15.6" customHeight="1" x14ac:dyDescent="0.25">
      <c r="A66" s="1061"/>
      <c r="B66" s="1061"/>
      <c r="C66" s="1062"/>
      <c r="D66" s="1062"/>
      <c r="E66" s="1062"/>
      <c r="F66" s="1062"/>
      <c r="G66" s="1063"/>
      <c r="H66" s="1063"/>
    </row>
    <row r="67" spans="1:8" x14ac:dyDescent="0.25">
      <c r="A67" s="847"/>
      <c r="B67" s="847"/>
      <c r="C67" s="1064"/>
      <c r="D67" s="1065"/>
      <c r="E67" s="1066"/>
      <c r="F67" s="1066"/>
      <c r="G67" s="1063"/>
      <c r="H67" s="1063"/>
    </row>
    <row r="68" spans="1:8" ht="15" customHeight="1" x14ac:dyDescent="0.25">
      <c r="A68" s="1067"/>
      <c r="B68" s="1067"/>
      <c r="C68" s="1067"/>
      <c r="D68" s="1067"/>
      <c r="E68" s="1068"/>
      <c r="F68" s="1068"/>
      <c r="G68" s="1068"/>
      <c r="H68" s="1068"/>
    </row>
    <row r="69" spans="1:8" ht="15" customHeight="1" x14ac:dyDescent="0.25">
      <c r="A69" s="1069"/>
      <c r="B69" s="1069"/>
      <c r="C69" s="1069"/>
      <c r="D69" s="1069"/>
      <c r="E69" s="1069"/>
      <c r="F69" s="1069"/>
      <c r="G69" s="1069"/>
      <c r="H69" s="1069"/>
    </row>
    <row r="70" spans="1:8" x14ac:dyDescent="0.25">
      <c r="A70" s="1066"/>
      <c r="B70" s="1070"/>
      <c r="C70" s="1066"/>
      <c r="D70" s="1066"/>
      <c r="E70" s="1066"/>
      <c r="F70" s="1066"/>
      <c r="G70" s="1066"/>
      <c r="H70" s="1066"/>
    </row>
    <row r="71" spans="1:8" x14ac:dyDescent="0.25">
      <c r="A71" s="1066"/>
      <c r="B71" s="1066"/>
      <c r="C71" s="1066"/>
      <c r="D71" s="1066"/>
      <c r="E71" s="1066"/>
      <c r="F71" s="1066"/>
      <c r="G71" s="1066"/>
      <c r="H71" s="1066"/>
    </row>
    <row r="72" spans="1:8" x14ac:dyDescent="0.25">
      <c r="A72" s="1066"/>
      <c r="B72" s="1066"/>
      <c r="C72" s="1066"/>
      <c r="D72" s="1066"/>
      <c r="E72" s="1066"/>
      <c r="F72" s="1066"/>
      <c r="G72" s="1066"/>
      <c r="H72" s="1066"/>
    </row>
    <row r="73" spans="1:8" x14ac:dyDescent="0.25">
      <c r="A73" s="1066"/>
      <c r="B73" s="1066"/>
      <c r="C73" s="1066"/>
      <c r="D73" s="1066"/>
      <c r="E73" s="1066"/>
      <c r="F73" s="1066"/>
      <c r="G73" s="1066"/>
      <c r="H73" s="1066"/>
    </row>
    <row r="74" spans="1:8" x14ac:dyDescent="0.25">
      <c r="A74" s="1066"/>
      <c r="B74" s="1066"/>
      <c r="C74" s="1066"/>
      <c r="D74" s="1066"/>
      <c r="E74" s="1066"/>
      <c r="F74" s="1066"/>
      <c r="G74" s="1066"/>
      <c r="H74" s="1066"/>
    </row>
    <row r="75" spans="1:8" x14ac:dyDescent="0.25">
      <c r="A75" s="1066"/>
      <c r="B75" s="1066"/>
      <c r="C75" s="1066"/>
      <c r="D75" s="1066"/>
      <c r="E75" s="1066"/>
      <c r="F75" s="1066"/>
      <c r="G75" s="1066"/>
      <c r="H75" s="1066"/>
    </row>
    <row r="76" spans="1:8" x14ac:dyDescent="0.25">
      <c r="A76" s="1066"/>
      <c r="B76" s="1066"/>
      <c r="C76" s="1066"/>
      <c r="D76" s="1066"/>
      <c r="E76" s="1066"/>
      <c r="F76" s="1066"/>
      <c r="G76" s="1066"/>
      <c r="H76" s="1066"/>
    </row>
    <row r="77" spans="1:8" x14ac:dyDescent="0.25">
      <c r="A77" s="1066"/>
      <c r="B77" s="1066"/>
      <c r="C77" s="1066"/>
      <c r="D77" s="1066"/>
      <c r="E77" s="1066"/>
      <c r="F77" s="1066"/>
      <c r="G77" s="1066"/>
      <c r="H77" s="1066"/>
    </row>
    <row r="78" spans="1:8" x14ac:dyDescent="0.25">
      <c r="A78" s="1071"/>
      <c r="B78" s="1071"/>
      <c r="C78" s="1071"/>
      <c r="D78" s="1071"/>
      <c r="E78" s="1071"/>
      <c r="F78" s="1071"/>
      <c r="G78" s="1071"/>
      <c r="H78" s="1071"/>
    </row>
    <row r="79" spans="1:8" ht="15.6" customHeight="1" x14ac:dyDescent="0.25">
      <c r="A79" s="1061"/>
      <c r="B79" s="1061"/>
      <c r="C79" s="1062"/>
      <c r="D79" s="1062"/>
      <c r="E79" s="1062"/>
      <c r="F79" s="1062"/>
      <c r="G79" s="1063"/>
      <c r="H79" s="1063"/>
    </row>
    <row r="80" spans="1:8" x14ac:dyDescent="0.25">
      <c r="A80" s="847"/>
      <c r="B80" s="847"/>
      <c r="C80" s="1064"/>
      <c r="D80" s="1065"/>
      <c r="E80" s="1066"/>
      <c r="F80" s="1066"/>
      <c r="G80" s="1063"/>
      <c r="H80" s="1063"/>
    </row>
    <row r="81" spans="1:8" ht="15" customHeight="1" x14ac:dyDescent="0.25">
      <c r="A81" s="1067"/>
      <c r="B81" s="1067"/>
      <c r="C81" s="1067"/>
      <c r="D81" s="1067"/>
      <c r="E81" s="1068"/>
      <c r="F81" s="1068"/>
      <c r="G81" s="1068"/>
      <c r="H81" s="1068"/>
    </row>
    <row r="82" spans="1:8" ht="15" customHeight="1" x14ac:dyDescent="0.25">
      <c r="A82" s="1069"/>
      <c r="B82" s="1069"/>
      <c r="C82" s="1069"/>
      <c r="D82" s="1069"/>
      <c r="E82" s="1069"/>
      <c r="F82" s="1069"/>
      <c r="G82" s="1069"/>
      <c r="H82" s="1069"/>
    </row>
    <row r="83" spans="1:8" x14ac:dyDescent="0.25">
      <c r="A83" s="1066"/>
      <c r="B83" s="1070"/>
      <c r="C83" s="1066"/>
      <c r="D83" s="1066"/>
      <c r="E83" s="1066"/>
      <c r="F83" s="1066"/>
      <c r="G83" s="1066"/>
      <c r="H83" s="1066"/>
    </row>
    <row r="84" spans="1:8" x14ac:dyDescent="0.25">
      <c r="A84" s="1066"/>
      <c r="B84" s="1066"/>
      <c r="C84" s="1066"/>
      <c r="D84" s="1066"/>
      <c r="E84" s="1066"/>
      <c r="F84" s="1066"/>
      <c r="G84" s="1066"/>
      <c r="H84" s="1066"/>
    </row>
    <row r="85" spans="1:8" x14ac:dyDescent="0.25">
      <c r="A85" s="1066"/>
      <c r="B85" s="1066"/>
      <c r="C85" s="1066"/>
      <c r="D85" s="1066"/>
      <c r="E85" s="1066"/>
      <c r="F85" s="1066"/>
      <c r="G85" s="1066"/>
      <c r="H85" s="1066"/>
    </row>
    <row r="86" spans="1:8" x14ac:dyDescent="0.25">
      <c r="A86" s="1066"/>
      <c r="B86" s="1066"/>
      <c r="C86" s="1066"/>
      <c r="D86" s="1066"/>
      <c r="E86" s="1066"/>
      <c r="F86" s="1066"/>
      <c r="G86" s="1066"/>
      <c r="H86" s="1066"/>
    </row>
    <row r="87" spans="1:8" x14ac:dyDescent="0.25">
      <c r="A87" s="1066"/>
      <c r="B87" s="1066"/>
      <c r="C87" s="1066"/>
      <c r="D87" s="1066"/>
      <c r="E87" s="1066"/>
      <c r="F87" s="1066"/>
      <c r="G87" s="1066"/>
      <c r="H87" s="1066"/>
    </row>
    <row r="88" spans="1:8" x14ac:dyDescent="0.25">
      <c r="A88" s="1066"/>
      <c r="B88" s="1066"/>
      <c r="C88" s="1066"/>
      <c r="D88" s="1066"/>
      <c r="E88" s="1066"/>
      <c r="F88" s="1066"/>
      <c r="G88" s="1066"/>
      <c r="H88" s="1066"/>
    </row>
    <row r="89" spans="1:8" x14ac:dyDescent="0.25">
      <c r="A89" s="1066"/>
      <c r="B89" s="1066"/>
      <c r="C89" s="1066"/>
      <c r="D89" s="1066"/>
      <c r="E89" s="1066"/>
      <c r="F89" s="1066"/>
      <c r="G89" s="1066"/>
      <c r="H89" s="1066"/>
    </row>
    <row r="90" spans="1:8" x14ac:dyDescent="0.25">
      <c r="A90" s="1066"/>
      <c r="B90" s="1066"/>
      <c r="C90" s="1066"/>
      <c r="D90" s="1066"/>
      <c r="E90" s="1066"/>
      <c r="F90" s="1066"/>
      <c r="G90" s="1066"/>
      <c r="H90" s="1066"/>
    </row>
    <row r="91" spans="1:8" x14ac:dyDescent="0.25">
      <c r="A91" s="1071"/>
      <c r="B91" s="1071"/>
      <c r="C91" s="1071"/>
      <c r="D91" s="1071"/>
      <c r="E91" s="1071"/>
      <c r="F91" s="1071"/>
      <c r="G91" s="1071"/>
      <c r="H91" s="1071"/>
    </row>
    <row r="92" spans="1:8" ht="15.6" customHeight="1" x14ac:dyDescent="0.25">
      <c r="A92" s="1061"/>
      <c r="B92" s="1061"/>
      <c r="C92" s="1062"/>
      <c r="D92" s="1062"/>
      <c r="E92" s="1062"/>
      <c r="F92" s="1062"/>
      <c r="G92" s="1063"/>
      <c r="H92" s="1063"/>
    </row>
    <row r="93" spans="1:8" x14ac:dyDescent="0.25">
      <c r="A93" s="847"/>
      <c r="B93" s="847"/>
      <c r="C93" s="1064"/>
      <c r="D93" s="1065"/>
      <c r="E93" s="1066"/>
      <c r="F93" s="1066"/>
      <c r="G93" s="1063"/>
      <c r="H93" s="1063"/>
    </row>
    <row r="94" spans="1:8" ht="15" customHeight="1" x14ac:dyDescent="0.25">
      <c r="A94" s="1067"/>
      <c r="B94" s="1067"/>
      <c r="C94" s="1067"/>
      <c r="D94" s="1067"/>
      <c r="E94" s="1068"/>
      <c r="F94" s="1068"/>
      <c r="G94" s="1068"/>
      <c r="H94" s="1068"/>
    </row>
    <row r="95" spans="1:8" ht="15" customHeight="1" x14ac:dyDescent="0.25">
      <c r="A95" s="1069"/>
      <c r="B95" s="1069"/>
      <c r="C95" s="1069"/>
      <c r="D95" s="1069"/>
      <c r="E95" s="1069"/>
      <c r="F95" s="1069"/>
      <c r="G95" s="1069"/>
      <c r="H95" s="1069"/>
    </row>
    <row r="96" spans="1:8" x14ac:dyDescent="0.25">
      <c r="A96" s="1066"/>
      <c r="B96" s="1070"/>
      <c r="C96" s="1066"/>
      <c r="D96" s="1066"/>
      <c r="E96" s="1066"/>
      <c r="F96" s="1066"/>
      <c r="G96" s="1066"/>
      <c r="H96" s="1066"/>
    </row>
    <row r="97" spans="1:8" x14ac:dyDescent="0.25">
      <c r="A97" s="1066"/>
      <c r="B97" s="1066"/>
      <c r="C97" s="1066"/>
      <c r="D97" s="1066"/>
      <c r="E97" s="1066"/>
      <c r="F97" s="1066"/>
      <c r="G97" s="1066"/>
      <c r="H97" s="1066"/>
    </row>
    <row r="98" spans="1:8" x14ac:dyDescent="0.25">
      <c r="A98" s="1066"/>
      <c r="B98" s="1066"/>
      <c r="C98" s="1066"/>
      <c r="D98" s="1066"/>
      <c r="E98" s="1066"/>
      <c r="F98" s="1066"/>
      <c r="G98" s="1066"/>
      <c r="H98" s="1066"/>
    </row>
    <row r="99" spans="1:8" x14ac:dyDescent="0.25">
      <c r="A99" s="1066"/>
      <c r="B99" s="1066"/>
      <c r="C99" s="1066"/>
      <c r="D99" s="1066"/>
      <c r="E99" s="1066"/>
      <c r="F99" s="1066"/>
      <c r="G99" s="1066"/>
      <c r="H99" s="1066"/>
    </row>
    <row r="100" spans="1:8" x14ac:dyDescent="0.25">
      <c r="A100" s="1066"/>
      <c r="B100" s="1066"/>
      <c r="C100" s="1066"/>
      <c r="D100" s="1066"/>
      <c r="E100" s="1066"/>
      <c r="F100" s="1066"/>
      <c r="G100" s="1066"/>
      <c r="H100" s="1066"/>
    </row>
    <row r="101" spans="1:8" x14ac:dyDescent="0.25">
      <c r="A101" s="1066"/>
      <c r="B101" s="1066"/>
      <c r="C101" s="1066"/>
      <c r="D101" s="1066"/>
      <c r="E101" s="1066"/>
      <c r="F101" s="1066"/>
      <c r="G101" s="1066"/>
      <c r="H101" s="1066"/>
    </row>
    <row r="102" spans="1:8" x14ac:dyDescent="0.25">
      <c r="A102" s="1066"/>
      <c r="B102" s="1066"/>
      <c r="C102" s="1066"/>
      <c r="D102" s="1066"/>
      <c r="E102" s="1066"/>
      <c r="F102" s="1066"/>
      <c r="G102" s="1066"/>
      <c r="H102" s="1066"/>
    </row>
    <row r="103" spans="1:8" x14ac:dyDescent="0.25">
      <c r="A103" s="1066"/>
      <c r="B103" s="1066"/>
      <c r="C103" s="1066"/>
      <c r="D103" s="1066"/>
      <c r="E103" s="1066"/>
      <c r="F103" s="1066"/>
      <c r="G103" s="1066"/>
      <c r="H103" s="1066"/>
    </row>
    <row r="104" spans="1:8" x14ac:dyDescent="0.25">
      <c r="A104" s="1071"/>
      <c r="B104" s="1071"/>
      <c r="C104" s="1071"/>
      <c r="D104" s="1071"/>
      <c r="E104" s="1071"/>
      <c r="F104" s="1071"/>
      <c r="G104" s="1071"/>
      <c r="H104" s="1071"/>
    </row>
    <row r="105" spans="1:8" ht="15.6" customHeight="1" x14ac:dyDescent="0.25">
      <c r="A105" s="1061"/>
      <c r="B105" s="1061"/>
      <c r="C105" s="1062"/>
      <c r="D105" s="1062"/>
      <c r="E105" s="1062"/>
      <c r="F105" s="1062"/>
      <c r="G105" s="1063"/>
      <c r="H105" s="1063"/>
    </row>
    <row r="106" spans="1:8" x14ac:dyDescent="0.25">
      <c r="A106" s="847"/>
      <c r="B106" s="847"/>
      <c r="C106" s="1064"/>
      <c r="D106" s="1065"/>
      <c r="E106" s="1066"/>
      <c r="F106" s="1066"/>
      <c r="G106" s="1063"/>
      <c r="H106" s="1063"/>
    </row>
    <row r="107" spans="1:8" ht="15" customHeight="1" x14ac:dyDescent="0.25">
      <c r="A107" s="1067"/>
      <c r="B107" s="1067"/>
      <c r="C107" s="1067"/>
      <c r="D107" s="1067"/>
      <c r="E107" s="1068"/>
      <c r="F107" s="1068"/>
      <c r="G107" s="1068"/>
      <c r="H107" s="1068"/>
    </row>
    <row r="108" spans="1:8" ht="15" customHeight="1" x14ac:dyDescent="0.25">
      <c r="A108" s="1069"/>
      <c r="B108" s="1069"/>
      <c r="C108" s="1069"/>
      <c r="D108" s="1069"/>
      <c r="E108" s="1069"/>
      <c r="F108" s="1069"/>
      <c r="G108" s="1069"/>
      <c r="H108" s="1069"/>
    </row>
    <row r="109" spans="1:8" x14ac:dyDescent="0.25">
      <c r="A109" s="1066"/>
      <c r="B109" s="1070"/>
      <c r="C109" s="1066"/>
      <c r="D109" s="1066"/>
      <c r="E109" s="1066"/>
      <c r="F109" s="1066"/>
      <c r="G109" s="1066"/>
      <c r="H109" s="1066"/>
    </row>
    <row r="110" spans="1:8" x14ac:dyDescent="0.25">
      <c r="A110" s="1066"/>
      <c r="B110" s="1066"/>
      <c r="C110" s="1066"/>
      <c r="D110" s="1066"/>
      <c r="E110" s="1066"/>
      <c r="F110" s="1066"/>
      <c r="G110" s="1066"/>
      <c r="H110" s="1066"/>
    </row>
    <row r="111" spans="1:8" x14ac:dyDescent="0.25">
      <c r="A111" s="1066"/>
      <c r="B111" s="1066"/>
      <c r="C111" s="1066"/>
      <c r="D111" s="1066"/>
      <c r="E111" s="1066"/>
      <c r="F111" s="1066"/>
      <c r="G111" s="1066"/>
      <c r="H111" s="1066"/>
    </row>
    <row r="112" spans="1:8" x14ac:dyDescent="0.25">
      <c r="A112" s="1066"/>
      <c r="B112" s="1066"/>
      <c r="C112" s="1066"/>
      <c r="D112" s="1066"/>
      <c r="E112" s="1066"/>
      <c r="F112" s="1066"/>
      <c r="G112" s="1066"/>
      <c r="H112" s="1066"/>
    </row>
    <row r="113" spans="1:8" x14ac:dyDescent="0.25">
      <c r="A113" s="1066"/>
      <c r="B113" s="1066"/>
      <c r="C113" s="1066"/>
      <c r="D113" s="1066"/>
      <c r="E113" s="1066"/>
      <c r="F113" s="1066"/>
      <c r="G113" s="1066"/>
      <c r="H113" s="1066"/>
    </row>
    <row r="114" spans="1:8" x14ac:dyDescent="0.25">
      <c r="A114" s="1066"/>
      <c r="B114" s="1066"/>
      <c r="C114" s="1066"/>
      <c r="D114" s="1066"/>
      <c r="E114" s="1066"/>
      <c r="F114" s="1066"/>
      <c r="G114" s="1066"/>
      <c r="H114" s="1066"/>
    </row>
    <row r="115" spans="1:8" x14ac:dyDescent="0.25">
      <c r="A115" s="1066"/>
      <c r="B115" s="1066"/>
      <c r="C115" s="1066"/>
      <c r="D115" s="1066"/>
      <c r="E115" s="1066"/>
      <c r="F115" s="1066"/>
      <c r="G115" s="1066"/>
      <c r="H115" s="1066"/>
    </row>
    <row r="116" spans="1:8" x14ac:dyDescent="0.25">
      <c r="A116" s="1066"/>
      <c r="B116" s="1066"/>
      <c r="C116" s="1066"/>
      <c r="D116" s="1066"/>
      <c r="E116" s="1066"/>
      <c r="F116" s="1066"/>
      <c r="G116" s="1066"/>
      <c r="H116" s="1066"/>
    </row>
    <row r="117" spans="1:8" x14ac:dyDescent="0.25">
      <c r="A117" s="1071"/>
      <c r="B117" s="1071"/>
      <c r="C117" s="1071"/>
      <c r="D117" s="1071"/>
      <c r="E117" s="1071"/>
      <c r="F117" s="1071"/>
      <c r="G117" s="1071"/>
      <c r="H117" s="1071"/>
    </row>
    <row r="118" spans="1:8" ht="15.6" customHeight="1" x14ac:dyDescent="0.25">
      <c r="A118" s="1061"/>
      <c r="B118" s="1061"/>
      <c r="C118" s="1062"/>
      <c r="D118" s="1062"/>
      <c r="E118" s="1062"/>
      <c r="F118" s="1062"/>
      <c r="G118" s="1063"/>
      <c r="H118" s="1063"/>
    </row>
    <row r="119" spans="1:8" x14ac:dyDescent="0.25">
      <c r="A119" s="847"/>
      <c r="B119" s="847"/>
      <c r="C119" s="1064"/>
      <c r="D119" s="1065"/>
      <c r="E119" s="1066"/>
      <c r="F119" s="1066"/>
      <c r="G119" s="1063"/>
      <c r="H119" s="1063"/>
    </row>
    <row r="120" spans="1:8" ht="15" customHeight="1" x14ac:dyDescent="0.25">
      <c r="A120" s="1067"/>
      <c r="B120" s="1067"/>
      <c r="C120" s="1067"/>
      <c r="D120" s="1067"/>
      <c r="E120" s="1068"/>
      <c r="F120" s="1068"/>
      <c r="G120" s="1068"/>
      <c r="H120" s="1068"/>
    </row>
    <row r="121" spans="1:8" ht="15" customHeight="1" x14ac:dyDescent="0.25">
      <c r="A121" s="1069"/>
      <c r="B121" s="1069"/>
      <c r="C121" s="1069"/>
      <c r="D121" s="1069"/>
      <c r="E121" s="1069"/>
      <c r="F121" s="1069"/>
      <c r="G121" s="1069"/>
      <c r="H121" s="1069"/>
    </row>
    <row r="122" spans="1:8" x14ac:dyDescent="0.25">
      <c r="A122" s="1066"/>
      <c r="B122" s="1070"/>
      <c r="C122" s="1066"/>
      <c r="D122" s="1066"/>
      <c r="E122" s="1066"/>
      <c r="F122" s="1066"/>
      <c r="G122" s="1066"/>
      <c r="H122" s="1066"/>
    </row>
    <row r="123" spans="1:8" x14ac:dyDescent="0.25">
      <c r="A123" s="1066"/>
      <c r="B123" s="1066"/>
      <c r="C123" s="1066"/>
      <c r="D123" s="1066"/>
      <c r="E123" s="1066"/>
      <c r="F123" s="1066"/>
      <c r="G123" s="1066"/>
      <c r="H123" s="1066"/>
    </row>
    <row r="124" spans="1:8" x14ac:dyDescent="0.25">
      <c r="A124" s="1066"/>
      <c r="B124" s="1066"/>
      <c r="C124" s="1066"/>
      <c r="D124" s="1066"/>
      <c r="E124" s="1066"/>
      <c r="F124" s="1066"/>
      <c r="G124" s="1066"/>
      <c r="H124" s="1066"/>
    </row>
    <row r="125" spans="1:8" x14ac:dyDescent="0.25">
      <c r="A125" s="1066"/>
      <c r="B125" s="1066"/>
      <c r="C125" s="1066"/>
      <c r="D125" s="1066"/>
      <c r="E125" s="1066"/>
      <c r="F125" s="1066"/>
      <c r="G125" s="1066"/>
      <c r="H125" s="1066"/>
    </row>
    <row r="126" spans="1:8" x14ac:dyDescent="0.25">
      <c r="A126" s="1066"/>
      <c r="B126" s="1066"/>
      <c r="C126" s="1066"/>
      <c r="D126" s="1066"/>
      <c r="E126" s="1066"/>
      <c r="F126" s="1066"/>
      <c r="G126" s="1066"/>
      <c r="H126" s="1066"/>
    </row>
    <row r="127" spans="1:8" x14ac:dyDescent="0.25">
      <c r="A127" s="1066"/>
      <c r="B127" s="1066"/>
      <c r="C127" s="1066"/>
      <c r="D127" s="1066"/>
      <c r="E127" s="1066"/>
      <c r="F127" s="1066"/>
      <c r="G127" s="1066"/>
      <c r="H127" s="1066"/>
    </row>
    <row r="128" spans="1:8" x14ac:dyDescent="0.25">
      <c r="A128" s="1066"/>
      <c r="B128" s="1066"/>
      <c r="C128" s="1066"/>
      <c r="D128" s="1066"/>
      <c r="E128" s="1066"/>
      <c r="F128" s="1066"/>
      <c r="G128" s="1066"/>
      <c r="H128" s="1066"/>
    </row>
    <row r="129" spans="1:8" x14ac:dyDescent="0.25">
      <c r="A129" s="1066"/>
      <c r="B129" s="1066"/>
      <c r="C129" s="1066"/>
      <c r="D129" s="1066"/>
      <c r="E129" s="1066"/>
      <c r="F129" s="1066"/>
      <c r="G129" s="1066"/>
      <c r="H129" s="1066"/>
    </row>
    <row r="130" spans="1:8" x14ac:dyDescent="0.25">
      <c r="A130" s="1071"/>
      <c r="B130" s="1071"/>
      <c r="C130" s="1071"/>
      <c r="D130" s="1071"/>
      <c r="E130" s="1071"/>
      <c r="F130" s="1071"/>
      <c r="G130" s="1071"/>
      <c r="H130" s="1071"/>
    </row>
    <row r="131" spans="1:8" ht="15.6" customHeight="1" x14ac:dyDescent="0.25">
      <c r="A131" s="1061"/>
      <c r="B131" s="1061"/>
      <c r="C131" s="1062"/>
      <c r="D131" s="1062"/>
      <c r="E131" s="1062"/>
      <c r="F131" s="1062"/>
      <c r="G131" s="1063"/>
      <c r="H131" s="1063"/>
    </row>
    <row r="132" spans="1:8" x14ac:dyDescent="0.25">
      <c r="A132" s="847"/>
      <c r="B132" s="847"/>
      <c r="C132" s="1064"/>
      <c r="D132" s="1065"/>
      <c r="E132" s="1066"/>
      <c r="F132" s="1066"/>
      <c r="G132" s="1063"/>
      <c r="H132" s="1063"/>
    </row>
    <row r="133" spans="1:8" ht="15" customHeight="1" x14ac:dyDescent="0.25">
      <c r="A133" s="1067"/>
      <c r="B133" s="1067"/>
      <c r="C133" s="1067"/>
      <c r="D133" s="1067"/>
      <c r="E133" s="1068"/>
      <c r="F133" s="1068"/>
      <c r="G133" s="1068"/>
      <c r="H133" s="1068"/>
    </row>
    <row r="134" spans="1:8" ht="15" customHeight="1" x14ac:dyDescent="0.25">
      <c r="A134" s="1069"/>
      <c r="B134" s="1069"/>
      <c r="C134" s="1069"/>
      <c r="D134" s="1069"/>
      <c r="E134" s="1069"/>
      <c r="F134" s="1069"/>
      <c r="G134" s="1069"/>
      <c r="H134" s="1069"/>
    </row>
    <row r="135" spans="1:8" x14ac:dyDescent="0.25">
      <c r="A135" s="1066"/>
      <c r="B135" s="1070"/>
      <c r="C135" s="1066"/>
      <c r="D135" s="1066"/>
      <c r="E135" s="1066"/>
      <c r="F135" s="1066"/>
      <c r="G135" s="1066"/>
      <c r="H135" s="1066"/>
    </row>
    <row r="136" spans="1:8" x14ac:dyDescent="0.25">
      <c r="A136" s="1066"/>
      <c r="B136" s="1066"/>
      <c r="C136" s="1066"/>
      <c r="D136" s="1066"/>
      <c r="E136" s="1066"/>
      <c r="F136" s="1066"/>
      <c r="G136" s="1066"/>
      <c r="H136" s="1066"/>
    </row>
    <row r="137" spans="1:8" x14ac:dyDescent="0.25">
      <c r="A137" s="1066"/>
      <c r="B137" s="1066"/>
      <c r="C137" s="1066"/>
      <c r="D137" s="1066"/>
      <c r="E137" s="1066"/>
      <c r="F137" s="1066"/>
      <c r="G137" s="1066"/>
      <c r="H137" s="1066"/>
    </row>
    <row r="138" spans="1:8" x14ac:dyDescent="0.25">
      <c r="A138" s="1066"/>
      <c r="B138" s="1066"/>
      <c r="C138" s="1066"/>
      <c r="D138" s="1066"/>
      <c r="E138" s="1066"/>
      <c r="F138" s="1066"/>
      <c r="G138" s="1066"/>
      <c r="H138" s="1066"/>
    </row>
    <row r="139" spans="1:8" x14ac:dyDescent="0.25">
      <c r="A139" s="1066"/>
      <c r="B139" s="1066"/>
      <c r="C139" s="1066"/>
      <c r="D139" s="1066"/>
      <c r="E139" s="1066"/>
      <c r="F139" s="1066"/>
      <c r="G139" s="1066"/>
      <c r="H139" s="1066"/>
    </row>
    <row r="140" spans="1:8" x14ac:dyDescent="0.25">
      <c r="A140" s="1066"/>
      <c r="B140" s="1066"/>
      <c r="C140" s="1066"/>
      <c r="D140" s="1066"/>
      <c r="E140" s="1066"/>
      <c r="F140" s="1066"/>
      <c r="G140" s="1066"/>
      <c r="H140" s="1066"/>
    </row>
    <row r="141" spans="1:8" x14ac:dyDescent="0.25">
      <c r="A141" s="1066"/>
      <c r="B141" s="1066"/>
      <c r="C141" s="1066"/>
      <c r="D141" s="1066"/>
      <c r="E141" s="1066"/>
      <c r="F141" s="1066"/>
      <c r="G141" s="1066"/>
      <c r="H141" s="1066"/>
    </row>
    <row r="142" spans="1:8" x14ac:dyDescent="0.25">
      <c r="A142" s="1066"/>
      <c r="B142" s="1066"/>
      <c r="C142" s="1066"/>
      <c r="D142" s="1066"/>
      <c r="E142" s="1066"/>
      <c r="F142" s="1066"/>
      <c r="G142" s="1066"/>
      <c r="H142" s="1066"/>
    </row>
    <row r="143" spans="1:8" x14ac:dyDescent="0.25">
      <c r="A143" s="1071"/>
      <c r="B143" s="1071"/>
      <c r="C143" s="1071"/>
      <c r="D143" s="1071"/>
      <c r="E143" s="1071"/>
      <c r="F143" s="1071"/>
      <c r="G143" s="1071"/>
      <c r="H143" s="1071"/>
    </row>
    <row r="144" spans="1:8" ht="15.6" customHeight="1" x14ac:dyDescent="0.25">
      <c r="A144" s="1061"/>
      <c r="B144" s="1061"/>
      <c r="C144" s="1062"/>
      <c r="D144" s="1062"/>
      <c r="E144" s="1062"/>
      <c r="F144" s="1062"/>
      <c r="G144" s="1063"/>
      <c r="H144" s="1063"/>
    </row>
    <row r="145" spans="1:8" x14ac:dyDescent="0.25">
      <c r="A145" s="847"/>
      <c r="B145" s="847"/>
      <c r="C145" s="1064"/>
      <c r="D145" s="1065"/>
      <c r="E145" s="1066"/>
      <c r="F145" s="1066"/>
      <c r="G145" s="1063"/>
      <c r="H145" s="1063"/>
    </row>
    <row r="146" spans="1:8" ht="15" customHeight="1" x14ac:dyDescent="0.25">
      <c r="A146" s="1067"/>
      <c r="B146" s="1067"/>
      <c r="C146" s="1067"/>
      <c r="D146" s="1067"/>
      <c r="E146" s="1068"/>
      <c r="F146" s="1068"/>
      <c r="G146" s="1068"/>
      <c r="H146" s="1068"/>
    </row>
    <row r="147" spans="1:8" ht="15" customHeight="1" x14ac:dyDescent="0.25">
      <c r="A147" s="1069"/>
      <c r="B147" s="1069"/>
      <c r="C147" s="1069"/>
      <c r="D147" s="1069"/>
      <c r="E147" s="1069"/>
      <c r="F147" s="1069"/>
      <c r="G147" s="1069"/>
      <c r="H147" s="1069"/>
    </row>
    <row r="148" spans="1:8" x14ac:dyDescent="0.25">
      <c r="A148" s="1066"/>
      <c r="B148" s="1070"/>
      <c r="C148" s="1066"/>
      <c r="D148" s="1066"/>
      <c r="E148" s="1066"/>
      <c r="F148" s="1066"/>
      <c r="G148" s="1066"/>
      <c r="H148" s="1066"/>
    </row>
    <row r="149" spans="1:8" x14ac:dyDescent="0.25">
      <c r="A149" s="1066"/>
      <c r="B149" s="1066"/>
      <c r="C149" s="1066"/>
      <c r="D149" s="1066"/>
      <c r="E149" s="1066"/>
      <c r="F149" s="1066"/>
      <c r="G149" s="1066"/>
      <c r="H149" s="1066"/>
    </row>
    <row r="150" spans="1:8" x14ac:dyDescent="0.25">
      <c r="A150" s="1066"/>
      <c r="B150" s="1066"/>
      <c r="C150" s="1066"/>
      <c r="D150" s="1066"/>
      <c r="E150" s="1066"/>
      <c r="F150" s="1066"/>
      <c r="G150" s="1066"/>
      <c r="H150" s="1066"/>
    </row>
    <row r="151" spans="1:8" x14ac:dyDescent="0.25">
      <c r="A151" s="1066"/>
      <c r="B151" s="1066"/>
      <c r="C151" s="1066"/>
      <c r="D151" s="1066"/>
      <c r="E151" s="1066"/>
      <c r="F151" s="1066"/>
      <c r="G151" s="1066"/>
      <c r="H151" s="1066"/>
    </row>
    <row r="152" spans="1:8" x14ac:dyDescent="0.25">
      <c r="A152" s="1066"/>
      <c r="B152" s="1066"/>
      <c r="C152" s="1066"/>
      <c r="D152" s="1066"/>
      <c r="E152" s="1066"/>
      <c r="F152" s="1066"/>
      <c r="G152" s="1066"/>
      <c r="H152" s="1066"/>
    </row>
    <row r="153" spans="1:8" x14ac:dyDescent="0.25">
      <c r="A153" s="1066"/>
      <c r="B153" s="1066"/>
      <c r="C153" s="1066"/>
      <c r="D153" s="1066"/>
      <c r="E153" s="1066"/>
      <c r="F153" s="1066"/>
      <c r="G153" s="1066"/>
      <c r="H153" s="1066"/>
    </row>
    <row r="154" spans="1:8" x14ac:dyDescent="0.25">
      <c r="A154" s="1066"/>
      <c r="B154" s="1066"/>
      <c r="C154" s="1066"/>
      <c r="D154" s="1066"/>
      <c r="E154" s="1066"/>
      <c r="F154" s="1066"/>
      <c r="G154" s="1066"/>
      <c r="H154" s="1066"/>
    </row>
    <row r="155" spans="1:8" x14ac:dyDescent="0.25">
      <c r="A155" s="1066"/>
      <c r="B155" s="1066"/>
      <c r="C155" s="1066"/>
      <c r="D155" s="1066"/>
      <c r="E155" s="1066"/>
      <c r="F155" s="1066"/>
      <c r="G155" s="1066"/>
      <c r="H155" s="1066"/>
    </row>
    <row r="156" spans="1:8" x14ac:dyDescent="0.25">
      <c r="A156" s="1071"/>
      <c r="B156" s="1071"/>
      <c r="C156" s="1071"/>
      <c r="D156" s="1071"/>
      <c r="E156" s="1071"/>
      <c r="F156" s="1071"/>
      <c r="G156" s="1071"/>
      <c r="H156" s="1071"/>
    </row>
    <row r="159" spans="1:8" ht="15" customHeight="1" x14ac:dyDescent="0.25"/>
    <row r="160" spans="1:8" ht="15" customHeight="1" x14ac:dyDescent="0.25"/>
    <row r="172" ht="15" customHeight="1" x14ac:dyDescent="0.25"/>
    <row r="173" ht="15" customHeight="1" x14ac:dyDescent="0.25"/>
    <row r="185" ht="15" customHeight="1" x14ac:dyDescent="0.25"/>
    <row r="186" ht="15" customHeight="1" x14ac:dyDescent="0.25"/>
    <row r="198" ht="15" customHeight="1" x14ac:dyDescent="0.25"/>
    <row r="199" ht="15" customHeight="1" x14ac:dyDescent="0.25"/>
    <row r="211" ht="15" customHeight="1" x14ac:dyDescent="0.25"/>
    <row r="212" ht="15" customHeight="1" x14ac:dyDescent="0.25"/>
    <row r="223" ht="15" customHeight="1" x14ac:dyDescent="0.25"/>
    <row r="224" ht="15" customHeight="1" x14ac:dyDescent="0.25"/>
    <row r="236" ht="15" customHeight="1" x14ac:dyDescent="0.25"/>
    <row r="237" ht="15" customHeight="1" x14ac:dyDescent="0.25"/>
    <row r="249" ht="15" customHeight="1" x14ac:dyDescent="0.25"/>
    <row r="250" ht="15" customHeight="1" x14ac:dyDescent="0.25"/>
  </sheetData>
  <mergeCells count="96">
    <mergeCell ref="F133:F134"/>
    <mergeCell ref="G133:G134"/>
    <mergeCell ref="H133:H134"/>
    <mergeCell ref="A146:A147"/>
    <mergeCell ref="B146:B147"/>
    <mergeCell ref="C146:C147"/>
    <mergeCell ref="D146:D147"/>
    <mergeCell ref="E146:E147"/>
    <mergeCell ref="F146:F147"/>
    <mergeCell ref="G146:G147"/>
    <mergeCell ref="H146:H147"/>
    <mergeCell ref="A133:A134"/>
    <mergeCell ref="B133:B134"/>
    <mergeCell ref="C133:C134"/>
    <mergeCell ref="D133:D134"/>
    <mergeCell ref="E133:E134"/>
    <mergeCell ref="F107:F108"/>
    <mergeCell ref="G107:G108"/>
    <mergeCell ref="H107:H108"/>
    <mergeCell ref="A120:A121"/>
    <mergeCell ref="B120:B121"/>
    <mergeCell ref="C120:C121"/>
    <mergeCell ref="D120:D121"/>
    <mergeCell ref="E120:E121"/>
    <mergeCell ref="F120:F121"/>
    <mergeCell ref="G120:G121"/>
    <mergeCell ref="H120:H121"/>
    <mergeCell ref="A107:A108"/>
    <mergeCell ref="B107:B108"/>
    <mergeCell ref="C107:C108"/>
    <mergeCell ref="D107:D108"/>
    <mergeCell ref="E107:E108"/>
    <mergeCell ref="F81:F82"/>
    <mergeCell ref="G81:G82"/>
    <mergeCell ref="H81:H82"/>
    <mergeCell ref="A94:A95"/>
    <mergeCell ref="B94:B95"/>
    <mergeCell ref="C94:C95"/>
    <mergeCell ref="D94:D95"/>
    <mergeCell ref="E94:E95"/>
    <mergeCell ref="F94:F95"/>
    <mergeCell ref="G94:G95"/>
    <mergeCell ref="H94:H95"/>
    <mergeCell ref="A81:A82"/>
    <mergeCell ref="B81:B82"/>
    <mergeCell ref="C81:C82"/>
    <mergeCell ref="D81:D82"/>
    <mergeCell ref="E81:E82"/>
    <mergeCell ref="H3:H4"/>
    <mergeCell ref="A16:A17"/>
    <mergeCell ref="C16:C17"/>
    <mergeCell ref="D16:D17"/>
    <mergeCell ref="E16:E17"/>
    <mergeCell ref="F16:F17"/>
    <mergeCell ref="G16:G17"/>
    <mergeCell ref="H16:H17"/>
    <mergeCell ref="A3:A4"/>
    <mergeCell ref="C3:C4"/>
    <mergeCell ref="D3:D4"/>
    <mergeCell ref="E3:E4"/>
    <mergeCell ref="F3:F4"/>
    <mergeCell ref="G3:G4"/>
    <mergeCell ref="B3:B4"/>
    <mergeCell ref="B16:B17"/>
    <mergeCell ref="H29:H30"/>
    <mergeCell ref="A42:A43"/>
    <mergeCell ref="C42:C43"/>
    <mergeCell ref="D42:D43"/>
    <mergeCell ref="E42:E43"/>
    <mergeCell ref="F42:F43"/>
    <mergeCell ref="G42:G43"/>
    <mergeCell ref="H42:H43"/>
    <mergeCell ref="A29:A30"/>
    <mergeCell ref="C29:C30"/>
    <mergeCell ref="D29:D30"/>
    <mergeCell ref="E29:E30"/>
    <mergeCell ref="F29:F30"/>
    <mergeCell ref="G29:G30"/>
    <mergeCell ref="B29:B30"/>
    <mergeCell ref="B42:B43"/>
    <mergeCell ref="H55:H56"/>
    <mergeCell ref="A68:A69"/>
    <mergeCell ref="C68:C69"/>
    <mergeCell ref="D68:D69"/>
    <mergeCell ref="E68:E69"/>
    <mergeCell ref="F68:F69"/>
    <mergeCell ref="G68:G69"/>
    <mergeCell ref="H68:H69"/>
    <mergeCell ref="A55:A56"/>
    <mergeCell ref="C55:C56"/>
    <mergeCell ref="D55:D56"/>
    <mergeCell ref="E55:E56"/>
    <mergeCell ref="F55:F56"/>
    <mergeCell ref="G55:G56"/>
    <mergeCell ref="B55:B56"/>
    <mergeCell ref="B68:B69"/>
  </mergeCells>
  <conditionalFormatting sqref="C2">
    <cfRule type="cellIs" dxfId="257" priority="133" operator="between">
      <formula>133</formula>
      <formula>144</formula>
    </cfRule>
    <cfRule type="cellIs" dxfId="263" priority="134" operator="between">
      <formula>121</formula>
      <formula>132</formula>
    </cfRule>
    <cfRule type="cellIs" dxfId="253" priority="135" operator="between">
      <formula>109</formula>
      <formula>120</formula>
    </cfRule>
    <cfRule type="cellIs" dxfId="254" priority="136" operator="between">
      <formula>97</formula>
      <formula>108</formula>
    </cfRule>
    <cfRule type="cellIs" dxfId="255" priority="137" operator="between">
      <formula>85</formula>
      <formula>96</formula>
    </cfRule>
    <cfRule type="cellIs" dxfId="256" priority="138" operator="between">
      <formula>73</formula>
      <formula>84</formula>
    </cfRule>
    <cfRule type="cellIs" dxfId="264" priority="139" operator="between">
      <formula>61</formula>
      <formula>72</formula>
    </cfRule>
    <cfRule type="cellIs" dxfId="258" priority="140" operator="between">
      <formula>49</formula>
      <formula>60</formula>
    </cfRule>
    <cfRule type="cellIs" dxfId="259" priority="141" operator="between">
      <formula>37</formula>
      <formula>48</formula>
    </cfRule>
    <cfRule type="cellIs" dxfId="260" priority="142" operator="between">
      <formula>25</formula>
      <formula>36</formula>
    </cfRule>
    <cfRule type="cellIs" dxfId="261" priority="143" operator="between">
      <formula>13</formula>
      <formula>24</formula>
    </cfRule>
    <cfRule type="cellIs" dxfId="262" priority="144" operator="between">
      <formula>1</formula>
      <formula>12</formula>
    </cfRule>
  </conditionalFormatting>
  <conditionalFormatting sqref="C15">
    <cfRule type="cellIs" dxfId="252" priority="157" operator="between">
      <formula>133</formula>
      <formula>144</formula>
    </cfRule>
    <cfRule type="cellIs" dxfId="251" priority="158" operator="between">
      <formula>121</formula>
      <formula>132</formula>
    </cfRule>
    <cfRule type="cellIs" dxfId="244" priority="159" operator="between">
      <formula>109</formula>
      <formula>120</formula>
    </cfRule>
    <cfRule type="cellIs" dxfId="245" priority="160" operator="between">
      <formula>97</formula>
      <formula>108</formula>
    </cfRule>
    <cfRule type="cellIs" dxfId="246" priority="161" operator="between">
      <formula>85</formula>
      <formula>96</formula>
    </cfRule>
    <cfRule type="cellIs" dxfId="247" priority="162" operator="between">
      <formula>73</formula>
      <formula>84</formula>
    </cfRule>
    <cfRule type="cellIs" dxfId="248" priority="163" operator="between">
      <formula>61</formula>
      <formula>72</formula>
    </cfRule>
    <cfRule type="cellIs" dxfId="249" priority="164" operator="between">
      <formula>49</formula>
      <formula>60</formula>
    </cfRule>
    <cfRule type="cellIs" dxfId="250" priority="165" operator="between">
      <formula>37</formula>
      <formula>48</formula>
    </cfRule>
    <cfRule type="cellIs" dxfId="243" priority="166" operator="between">
      <formula>25</formula>
      <formula>36</formula>
    </cfRule>
    <cfRule type="cellIs" dxfId="242" priority="167" operator="between">
      <formula>13</formula>
      <formula>24</formula>
    </cfRule>
    <cfRule type="cellIs" dxfId="241" priority="168" operator="between">
      <formula>1</formula>
      <formula>12</formula>
    </cfRule>
  </conditionalFormatting>
  <conditionalFormatting sqref="C28">
    <cfRule type="cellIs" dxfId="237" priority="181" operator="between">
      <formula>133</formula>
      <formula>144</formula>
    </cfRule>
    <cfRule type="cellIs" dxfId="238" priority="182" operator="between">
      <formula>121</formula>
      <formula>132</formula>
    </cfRule>
    <cfRule type="cellIs" dxfId="239" priority="183" operator="between">
      <formula>109</formula>
      <formula>120</formula>
    </cfRule>
    <cfRule type="cellIs" dxfId="229" priority="184" operator="between">
      <formula>97</formula>
      <formula>108</formula>
    </cfRule>
    <cfRule type="cellIs" dxfId="230" priority="185" operator="between">
      <formula>85</formula>
      <formula>96</formula>
    </cfRule>
    <cfRule type="cellIs" dxfId="233" priority="186" operator="between">
      <formula>73</formula>
      <formula>84</formula>
    </cfRule>
    <cfRule type="cellIs" dxfId="231" priority="187" operator="between">
      <formula>61</formula>
      <formula>72</formula>
    </cfRule>
    <cfRule type="cellIs" dxfId="232" priority="188" operator="between">
      <formula>49</formula>
      <formula>60</formula>
    </cfRule>
    <cfRule type="cellIs" dxfId="240" priority="189" operator="between">
      <formula>37</formula>
      <formula>48</formula>
    </cfRule>
    <cfRule type="cellIs" dxfId="234" priority="190" operator="between">
      <formula>25</formula>
      <formula>36</formula>
    </cfRule>
    <cfRule type="cellIs" dxfId="235" priority="191" operator="between">
      <formula>13</formula>
      <formula>24</formula>
    </cfRule>
    <cfRule type="cellIs" dxfId="236" priority="192" operator="between">
      <formula>1</formula>
      <formula>12</formula>
    </cfRule>
  </conditionalFormatting>
  <conditionalFormatting sqref="C41">
    <cfRule type="cellIs" dxfId="219" priority="205" operator="between">
      <formula>133</formula>
      <formula>144</formula>
    </cfRule>
    <cfRule type="cellIs" dxfId="220" priority="206" operator="between">
      <formula>121</formula>
      <formula>132</formula>
    </cfRule>
    <cfRule type="cellIs" dxfId="221" priority="207" operator="between">
      <formula>109</formula>
      <formula>120</formula>
    </cfRule>
    <cfRule type="cellIs" dxfId="218" priority="208" operator="between">
      <formula>97</formula>
      <formula>108</formula>
    </cfRule>
    <cfRule type="cellIs" dxfId="217" priority="209" operator="between">
      <formula>85</formula>
      <formula>96</formula>
    </cfRule>
    <cfRule type="cellIs" dxfId="228" priority="210" operator="between">
      <formula>73</formula>
      <formula>84</formula>
    </cfRule>
    <cfRule type="cellIs" dxfId="222" priority="211" operator="between">
      <formula>61</formula>
      <formula>72</formula>
    </cfRule>
    <cfRule type="cellIs" dxfId="223" priority="212" operator="between">
      <formula>49</formula>
      <formula>60</formula>
    </cfRule>
    <cfRule type="cellIs" dxfId="224" priority="213" operator="between">
      <formula>37</formula>
      <formula>48</formula>
    </cfRule>
    <cfRule type="cellIs" dxfId="225" priority="214" operator="between">
      <formula>25</formula>
      <formula>36</formula>
    </cfRule>
    <cfRule type="cellIs" dxfId="226" priority="215" operator="between">
      <formula>13</formula>
      <formula>24</formula>
    </cfRule>
    <cfRule type="cellIs" dxfId="227" priority="216" operator="between">
      <formula>1</formula>
      <formula>12</formula>
    </cfRule>
  </conditionalFormatting>
  <conditionalFormatting sqref="C54">
    <cfRule type="cellIs" dxfId="207" priority="229" operator="between">
      <formula>133</formula>
      <formula>144</formula>
    </cfRule>
    <cfRule type="cellIs" dxfId="208" priority="230" operator="between">
      <formula>121</formula>
      <formula>132</formula>
    </cfRule>
    <cfRule type="cellIs" dxfId="206" priority="231" operator="between">
      <formula>109</formula>
      <formula>120</formula>
    </cfRule>
    <cfRule type="cellIs" dxfId="209" priority="232" operator="between">
      <formula>97</formula>
      <formula>108</formula>
    </cfRule>
    <cfRule type="cellIs" dxfId="210" priority="233" operator="between">
      <formula>85</formula>
      <formula>96</formula>
    </cfRule>
    <cfRule type="cellIs" dxfId="211" priority="234" operator="between">
      <formula>73</formula>
      <formula>84</formula>
    </cfRule>
    <cfRule type="cellIs" dxfId="212" priority="235" operator="between">
      <formula>61</formula>
      <formula>72</formula>
    </cfRule>
    <cfRule type="cellIs" dxfId="213" priority="236" operator="between">
      <formula>49</formula>
      <formula>60</formula>
    </cfRule>
    <cfRule type="cellIs" dxfId="214" priority="237" operator="between">
      <formula>37</formula>
      <formula>48</formula>
    </cfRule>
    <cfRule type="cellIs" dxfId="215" priority="238" operator="between">
      <formula>25</formula>
      <formula>36</formula>
    </cfRule>
    <cfRule type="cellIs" dxfId="216" priority="239" operator="between">
      <formula>13</formula>
      <formula>24</formula>
    </cfRule>
    <cfRule type="cellIs" dxfId="205" priority="240" operator="between">
      <formula>1</formula>
      <formula>12</formula>
    </cfRule>
  </conditionalFormatting>
  <conditionalFormatting sqref="C67">
    <cfRule type="cellIs" dxfId="203" priority="253" operator="between">
      <formula>133</formula>
      <formula>144</formula>
    </cfRule>
    <cfRule type="cellIs" dxfId="202" priority="254" operator="between">
      <formula>121</formula>
      <formula>132</formula>
    </cfRule>
    <cfRule type="cellIs" dxfId="201" priority="255" operator="between">
      <formula>109</formula>
      <formula>120</formula>
    </cfRule>
    <cfRule type="cellIs" dxfId="200" priority="256" operator="between">
      <formula>97</formula>
      <formula>108</formula>
    </cfRule>
    <cfRule type="cellIs" dxfId="199" priority="257" operator="between">
      <formula>85</formula>
      <formula>96</formula>
    </cfRule>
    <cfRule type="cellIs" dxfId="198" priority="258" operator="between">
      <formula>73</formula>
      <formula>84</formula>
    </cfRule>
    <cfRule type="cellIs" dxfId="197" priority="259" operator="between">
      <formula>61</formula>
      <formula>72</formula>
    </cfRule>
    <cfRule type="cellIs" dxfId="196" priority="260" operator="between">
      <formula>49</formula>
      <formula>60</formula>
    </cfRule>
    <cfRule type="cellIs" dxfId="195" priority="261" operator="between">
      <formula>37</formula>
      <formula>48</formula>
    </cfRule>
    <cfRule type="cellIs" dxfId="194" priority="262" operator="between">
      <formula>25</formula>
      <formula>36</formula>
    </cfRule>
    <cfRule type="cellIs" dxfId="193" priority="263" operator="between">
      <formula>13</formula>
      <formula>24</formula>
    </cfRule>
    <cfRule type="cellIs" dxfId="204" priority="264" operator="between">
      <formula>1</formula>
      <formula>12</formula>
    </cfRule>
  </conditionalFormatting>
  <conditionalFormatting sqref="C79">
    <cfRule type="cellIs" dxfId="185" priority="109" operator="between">
      <formula>133</formula>
      <formula>144</formula>
    </cfRule>
    <cfRule type="cellIs" dxfId="181" priority="110" operator="between">
      <formula>121</formula>
      <formula>132</formula>
    </cfRule>
    <cfRule type="cellIs" dxfId="182" priority="111" operator="between">
      <formula>109</formula>
      <formula>120</formula>
    </cfRule>
    <cfRule type="cellIs" dxfId="186" priority="112" operator="between">
      <formula>97</formula>
      <formula>108</formula>
    </cfRule>
    <cfRule type="cellIs" dxfId="191" priority="113" operator="between">
      <formula>85</formula>
      <formula>96</formula>
    </cfRule>
    <cfRule type="cellIs" dxfId="190" priority="114" operator="between">
      <formula>73</formula>
      <formula>84</formula>
    </cfRule>
    <cfRule type="cellIs" dxfId="189" priority="115" operator="between">
      <formula>61</formula>
      <formula>72</formula>
    </cfRule>
    <cfRule type="cellIs" dxfId="188" priority="116" operator="between">
      <formula>49</formula>
      <formula>60</formula>
    </cfRule>
    <cfRule type="cellIs" dxfId="187" priority="117" operator="between">
      <formula>37</formula>
      <formula>48</formula>
    </cfRule>
    <cfRule type="cellIs" dxfId="192" priority="118" operator="between">
      <formula>25</formula>
      <formula>36</formula>
    </cfRule>
    <cfRule type="cellIs" dxfId="184" priority="119" operator="between">
      <formula>13</formula>
      <formula>24</formula>
    </cfRule>
    <cfRule type="cellIs" dxfId="183" priority="120" operator="between">
      <formula>1</formula>
      <formula>12</formula>
    </cfRule>
  </conditionalFormatting>
  <conditionalFormatting sqref="C91">
    <cfRule type="cellIs" dxfId="179" priority="85" operator="between">
      <formula>133</formula>
      <formula>144</formula>
    </cfRule>
    <cfRule type="cellIs" dxfId="178" priority="86" operator="between">
      <formula>121</formula>
      <formula>132</formula>
    </cfRule>
    <cfRule type="cellIs" dxfId="177" priority="87" operator="between">
      <formula>109</formula>
      <formula>120</formula>
    </cfRule>
    <cfRule type="cellIs" dxfId="176" priority="88" operator="between">
      <formula>97</formula>
      <formula>108</formula>
    </cfRule>
    <cfRule type="cellIs" dxfId="175" priority="89" operator="between">
      <formula>85</formula>
      <formula>96</formula>
    </cfRule>
    <cfRule type="cellIs" dxfId="180" priority="90" operator="between">
      <formula>73</formula>
      <formula>84</formula>
    </cfRule>
    <cfRule type="cellIs" dxfId="174" priority="91" operator="between">
      <formula>61</formula>
      <formula>72</formula>
    </cfRule>
    <cfRule type="cellIs" dxfId="173" priority="92" operator="between">
      <formula>49</formula>
      <formula>60</formula>
    </cfRule>
    <cfRule type="cellIs" dxfId="172" priority="93" operator="between">
      <formula>37</formula>
      <formula>48</formula>
    </cfRule>
    <cfRule type="cellIs" dxfId="171" priority="94" operator="between">
      <formula>25</formula>
      <formula>36</formula>
    </cfRule>
    <cfRule type="cellIs" dxfId="169" priority="95" operator="between">
      <formula>13</formula>
      <formula>24</formula>
    </cfRule>
    <cfRule type="cellIs" dxfId="170" priority="96" operator="between">
      <formula>1</formula>
      <formula>12</formula>
    </cfRule>
  </conditionalFormatting>
  <conditionalFormatting sqref="C103">
    <cfRule type="cellIs" dxfId="160" priority="61" operator="between">
      <formula>133</formula>
      <formula>144</formula>
    </cfRule>
    <cfRule type="cellIs" dxfId="159" priority="62" operator="between">
      <formula>121</formula>
      <formula>132</formula>
    </cfRule>
    <cfRule type="cellIs" dxfId="161" priority="63" operator="between">
      <formula>109</formula>
      <formula>120</formula>
    </cfRule>
    <cfRule type="cellIs" dxfId="162" priority="64" operator="between">
      <formula>97</formula>
      <formula>108</formula>
    </cfRule>
    <cfRule type="cellIs" dxfId="157" priority="65" operator="between">
      <formula>85</formula>
      <formula>96</formula>
    </cfRule>
    <cfRule type="cellIs" dxfId="163" priority="66" operator="between">
      <formula>73</formula>
      <formula>84</formula>
    </cfRule>
    <cfRule type="cellIs" dxfId="168" priority="67" operator="between">
      <formula>61</formula>
      <formula>72</formula>
    </cfRule>
    <cfRule type="cellIs" dxfId="164" priority="68" operator="between">
      <formula>49</formula>
      <formula>60</formula>
    </cfRule>
    <cfRule type="cellIs" dxfId="165" priority="69" operator="between">
      <formula>37</formula>
      <formula>48</formula>
    </cfRule>
    <cfRule type="cellIs" dxfId="166" priority="70" operator="between">
      <formula>25</formula>
      <formula>36</formula>
    </cfRule>
    <cfRule type="cellIs" dxfId="167" priority="71" operator="between">
      <formula>13</formula>
      <formula>24</formula>
    </cfRule>
    <cfRule type="cellIs" dxfId="158" priority="72" operator="between">
      <formula>1</formula>
      <formula>12</formula>
    </cfRule>
  </conditionalFormatting>
  <conditionalFormatting sqref="C115">
    <cfRule type="cellIs" dxfId="145" priority="37" operator="between">
      <formula>133</formula>
      <formula>144</formula>
    </cfRule>
    <cfRule type="cellIs" dxfId="156" priority="38" operator="between">
      <formula>121</formula>
      <formula>132</formula>
    </cfRule>
    <cfRule type="cellIs" dxfId="146" priority="39" operator="between">
      <formula>109</formula>
      <formula>120</formula>
    </cfRule>
    <cfRule type="cellIs" dxfId="147" priority="40" operator="between">
      <formula>97</formula>
      <formula>108</formula>
    </cfRule>
    <cfRule type="cellIs" dxfId="148" priority="41" operator="between">
      <formula>85</formula>
      <formula>96</formula>
    </cfRule>
    <cfRule type="cellIs" dxfId="149" priority="42" operator="between">
      <formula>73</formula>
      <formula>84</formula>
    </cfRule>
    <cfRule type="cellIs" dxfId="150" priority="43" operator="between">
      <formula>61</formula>
      <formula>72</formula>
    </cfRule>
    <cfRule type="cellIs" dxfId="154" priority="44" operator="between">
      <formula>49</formula>
      <formula>60</formula>
    </cfRule>
    <cfRule type="cellIs" dxfId="151" priority="45" operator="between">
      <formula>37</formula>
      <formula>48</formula>
    </cfRule>
    <cfRule type="cellIs" dxfId="152" priority="46" operator="between">
      <formula>25</formula>
      <formula>36</formula>
    </cfRule>
    <cfRule type="cellIs" dxfId="153" priority="47" operator="between">
      <formula>13</formula>
      <formula>24</formula>
    </cfRule>
    <cfRule type="cellIs" dxfId="155" priority="48" operator="between">
      <formula>1</formula>
      <formula>12</formula>
    </cfRule>
  </conditionalFormatting>
  <conditionalFormatting sqref="C127">
    <cfRule type="cellIs" dxfId="144" priority="13" operator="between">
      <formula>133</formula>
      <formula>144</formula>
    </cfRule>
    <cfRule type="cellIs" dxfId="143" priority="14" operator="between">
      <formula>121</formula>
      <formula>132</formula>
    </cfRule>
    <cfRule type="cellIs" dxfId="142" priority="15" operator="between">
      <formula>109</formula>
      <formula>120</formula>
    </cfRule>
    <cfRule type="cellIs" dxfId="141" priority="16" operator="between">
      <formula>97</formula>
      <formula>108</formula>
    </cfRule>
    <cfRule type="cellIs" dxfId="140" priority="17" operator="between">
      <formula>85</formula>
      <formula>96</formula>
    </cfRule>
    <cfRule type="cellIs" dxfId="139" priority="18" operator="between">
      <formula>73</formula>
      <formula>84</formula>
    </cfRule>
    <cfRule type="cellIs" dxfId="138" priority="19" operator="between">
      <formula>61</formula>
      <formula>72</formula>
    </cfRule>
    <cfRule type="cellIs" dxfId="137" priority="20" operator="between">
      <formula>49</formula>
      <formula>60</formula>
    </cfRule>
    <cfRule type="cellIs" dxfId="136" priority="21" operator="between">
      <formula>37</formula>
      <formula>48</formula>
    </cfRule>
    <cfRule type="cellIs" dxfId="135" priority="22" operator="between">
      <formula>25</formula>
      <formula>36</formula>
    </cfRule>
    <cfRule type="cellIs" dxfId="134" priority="23" operator="between">
      <formula>13</formula>
      <formula>24</formula>
    </cfRule>
    <cfRule type="cellIs" dxfId="133" priority="24" operator="between">
      <formula>1</formula>
      <formula>12</formula>
    </cfRule>
  </conditionalFormatting>
  <conditionalFormatting sqref="D2">
    <cfRule type="expression" dxfId="122" priority="121">
      <formula>OR($A2=12, $A2=24, $A2=36, $A2=48, $A2=60, $A2=72, $A2=84, $A2=96, $A2=108, $A2=120, $A2=132, $A2=144)</formula>
    </cfRule>
    <cfRule type="expression" dxfId="123" priority="122">
      <formula>OR($A2=11, $A2=23, $A2=35, $A2=47, $A2=59, $A2=71, $A2=83, $A2=95, $A2=107, $A2=119, $A2=131, $A2=143)</formula>
    </cfRule>
    <cfRule type="expression" dxfId="124" priority="123">
      <formula>OR($A2=10, $A2=22, $A2=34, $A2=46, $A2=58, $A2=70, $A2=82, $A2=94, $A2=106, $A2=118, $A2=130, $A2=142)</formula>
    </cfRule>
    <cfRule type="expression" dxfId="125" priority="124">
      <formula>OR($A2=9, $A2=21, $A2=33, $A2=45, $A2=57, $A2=69, $A2=81, $A2=93, $A2=105, $A2=117, $A2=129, $A2=141)</formula>
    </cfRule>
    <cfRule type="expression" dxfId="126" priority="125">
      <formula>OR($A2=8, $A2=20, $A2=32, $A2=44, $A2=56, $A2=68, $A2=80, $A2=92, $A2=104, $A2=116, $A2=128, $A2=140)</formula>
    </cfRule>
    <cfRule type="expression" dxfId="128" priority="126">
      <formula>OR($A2=7, $A2=19, $A2=31, $A2=43, $A2=55, $A2=67, $A2=79, $A2=91, $A2=103, $A2=115, $A2=127, $A2=139)</formula>
    </cfRule>
    <cfRule type="expression" dxfId="129" priority="127">
      <formula>OR($A2=6, $A2=18, $A2=30, $A2=42, $A2=54, $A2=66, $A2=78, $A2=90, $A2=102, $A2=114, $A2=126, $A2=138)</formula>
    </cfRule>
    <cfRule type="expression" dxfId="130" priority="128">
      <formula>OR($A2=5, $A2=17, $A2=29, $A2=41, $A2=53, $A2=65, $A2=77, $A2=89, $A2=101, $A2=113, $A2=125, $A2=137)</formula>
    </cfRule>
    <cfRule type="expression" dxfId="131" priority="129">
      <formula>OR($A2=4, $A2=16, $A2=28, $A2=40, $A2=52, $A2=64, $A2=76, $A2=88, $A2=100, $A2=112, $A2=124, $A2=136)</formula>
    </cfRule>
    <cfRule type="expression" dxfId="132" priority="130">
      <formula>OR($A2=3, $A2=15, $A2=27, $A2=39, $A2=51, $A2=63, $A2=75, $A2=87, $A2=99, $A2=111, $A2=123, $A2=135)</formula>
    </cfRule>
    <cfRule type="expression" dxfId="127" priority="131">
      <formula>OR($A2=2, $A2=14, $A2=26, $A2=38, $A2=50, $A2=62, $A2=74, $A2=86, $A2=98, $A2=110, $A2=122, $A2=134)</formula>
    </cfRule>
    <cfRule type="expression" dxfId="121" priority="132">
      <formula>OR($A2=1, $A2=13, $A2=25, $A2=37, $A2=49, $A2=61, $A2=73, $A2=85, $A2=97, $A2=109, $A2=121, $A2=133)</formula>
    </cfRule>
  </conditionalFormatting>
  <conditionalFormatting sqref="D15">
    <cfRule type="expression" dxfId="120" priority="145">
      <formula>OR($A15=12, $A15=24, $A15=36, $A15=48, $A15=60, $A15=72, $A15=84, $A15=96, $A15=108, $A15=120, $A15=132, $A15=144)</formula>
    </cfRule>
    <cfRule type="expression" dxfId="119" priority="146">
      <formula>OR($A15=11, $A15=23, $A15=35, $A15=47, $A15=59, $A15=71, $A15=83, $A15=95, $A15=107, $A15=119, $A15=131, $A15=143)</formula>
    </cfRule>
    <cfRule type="expression" dxfId="118" priority="147">
      <formula>OR($A15=10, $A15=22, $A15=34, $A15=46, $A15=58, $A15=70, $A15=82, $A15=94, $A15=106, $A15=118, $A15=130, $A15=142)</formula>
    </cfRule>
    <cfRule type="expression" dxfId="117" priority="148">
      <formula>OR($A15=9, $A15=21, $A15=33, $A15=45, $A15=57, $A15=69, $A15=81, $A15=93, $A15=105, $A15=117, $A15=129, $A15=141)</formula>
    </cfRule>
    <cfRule type="expression" dxfId="116" priority="149">
      <formula>OR($A15=8, $A15=20, $A15=32, $A15=44, $A15=56, $A15=68, $A15=80, $A15=92, $A15=104, $A15=116, $A15=128, $A15=140)</formula>
    </cfRule>
    <cfRule type="expression" dxfId="115" priority="150">
      <formula>OR($A15=7, $A15=19, $A15=31, $A15=43, $A15=55, $A15=67, $A15=79, $A15=91, $A15=103, $A15=115, $A15=127, $A15=139)</formula>
    </cfRule>
    <cfRule type="expression" dxfId="114" priority="151">
      <formula>OR($A15=6, $A15=18, $A15=30, $A15=42, $A15=54, $A15=66, $A15=78, $A15=90, $A15=102, $A15=114, $A15=126, $A15=138)</formula>
    </cfRule>
    <cfRule type="expression" dxfId="113" priority="152">
      <formula>OR($A15=5, $A15=17, $A15=29, $A15=41, $A15=53, $A15=65, $A15=77, $A15=89, $A15=101, $A15=113, $A15=125, $A15=137)</formula>
    </cfRule>
    <cfRule type="expression" dxfId="112" priority="153">
      <formula>OR($A15=4, $A15=16, $A15=28, $A15=40, $A15=52, $A15=64, $A15=76, $A15=88, $A15=100, $A15=112, $A15=124, $A15=136)</formula>
    </cfRule>
    <cfRule type="expression" dxfId="111" priority="154">
      <formula>OR($A15=3, $A15=15, $A15=27, $A15=39, $A15=51, $A15=63, $A15=75, $A15=87, $A15=99, $A15=111, $A15=123, $A15=135)</formula>
    </cfRule>
    <cfRule type="expression" dxfId="110" priority="155">
      <formula>OR($A15=2, $A15=14, $A15=26, $A15=38, $A15=50, $A15=62, $A15=74, $A15=86, $A15=98, $A15=110, $A15=122, $A15=134)</formula>
    </cfRule>
    <cfRule type="expression" dxfId="109" priority="156">
      <formula>OR($A15=1, $A15=13, $A15=25, $A15=37, $A15=49, $A15=61, $A15=73, $A15=85, $A15=97, $A15=109, $A15=121, $A15=133)</formula>
    </cfRule>
  </conditionalFormatting>
  <conditionalFormatting sqref="D28">
    <cfRule type="expression" dxfId="108" priority="169">
      <formula>OR($A28=12, $A28=24, $A28=36, $A28=48, $A28=60, $A28=72, $A28=84, $A28=96, $A28=108, $A28=120, $A28=132, $A28=144)</formula>
    </cfRule>
    <cfRule type="expression" dxfId="99" priority="170">
      <formula>OR($A28=11, $A28=23, $A28=35, $A28=47, $A28=59, $A28=71, $A28=83, $A28=95, $A28=107, $A28=119, $A28=131, $A28=143)</formula>
    </cfRule>
    <cfRule type="expression" dxfId="97" priority="171">
      <formula>OR($A28=10, $A28=22, $A28=34, $A28=46, $A28=58, $A28=70, $A28=82, $A28=94, $A28=106, $A28=118, $A28=130, $A28=142)</formula>
    </cfRule>
    <cfRule type="expression" dxfId="98" priority="172">
      <formula>OR($A28=9, $A28=21, $A28=33, $A28=45, $A28=57, $A28=69, $A28=81, $A28=93, $A28=105, $A28=117, $A28=129, $A28=141)</formula>
    </cfRule>
    <cfRule type="expression" dxfId="100" priority="173">
      <formula>OR($A28=8, $A28=20, $A28=32, $A28=44, $A28=56, $A28=68, $A28=80, $A28=92, $A28=104, $A28=116, $A28=128, $A28=140)</formula>
    </cfRule>
    <cfRule type="expression" dxfId="101" priority="174">
      <formula>OR($A28=7, $A28=19, $A28=31, $A28=43, $A28=55, $A28=67, $A28=79, $A28=91, $A28=103, $A28=115, $A28=127, $A28=139)</formula>
    </cfRule>
    <cfRule type="expression" dxfId="102" priority="175">
      <formula>OR($A28=6, $A28=18, $A28=30, $A28=42, $A28=54, $A28=66, $A28=78, $A28=90, $A28=102, $A28=114, $A28=126, $A28=138)</formula>
    </cfRule>
    <cfRule type="expression" dxfId="103" priority="176">
      <formula>OR($A28=5, $A28=17, $A28=29, $A28=41, $A28=53, $A28=65, $A28=77, $A28=89, $A28=101, $A28=113, $A28=125, $A28=137)</formula>
    </cfRule>
    <cfRule type="expression" dxfId="104" priority="177">
      <formula>OR($A28=4, $A28=16, $A28=28, $A28=40, $A28=52, $A28=64, $A28=76, $A28=88, $A28=100, $A28=112, $A28=124, $A28=136)</formula>
    </cfRule>
    <cfRule type="expression" dxfId="105" priority="178">
      <formula>OR($A28=3, $A28=15, $A28=27, $A28=39, $A28=51, $A28=63, $A28=75, $A28=87, $A28=99, $A28=111, $A28=123, $A28=135)</formula>
    </cfRule>
    <cfRule type="expression" dxfId="106" priority="179">
      <formula>OR($A28=2, $A28=14, $A28=26, $A28=38, $A28=50, $A28=62, $A28=74, $A28=86, $A28=98, $A28=110, $A28=122, $A28=134)</formula>
    </cfRule>
    <cfRule type="expression" dxfId="107" priority="180">
      <formula>OR($A28=1, $A28=13, $A28=25, $A28=37, $A28=49, $A28=61, $A28=73, $A28=85, $A28=97, $A28=109, $A28=121, $A28=133)</formula>
    </cfRule>
  </conditionalFormatting>
  <conditionalFormatting sqref="D41">
    <cfRule type="expression" dxfId="95" priority="193">
      <formula>OR($A41=12, $A41=24, $A41=36, $A41=48, $A41=60, $A41=72, $A41=84, $A41=96, $A41=108, $A41=120, $A41=132, $A41=144)</formula>
    </cfRule>
    <cfRule type="expression" dxfId="94" priority="194">
      <formula>OR($A41=11, $A41=23, $A41=35, $A41=47, $A41=59, $A41=71, $A41=83, $A41=95, $A41=107, $A41=119, $A41=131, $A41=143)</formula>
    </cfRule>
    <cfRule type="expression" dxfId="93" priority="195">
      <formula>OR($A41=10, $A41=22, $A41=34, $A41=46, $A41=58, $A41=70, $A41=82, $A41=94, $A41=106, $A41=118, $A41=130, $A41=142)</formula>
    </cfRule>
    <cfRule type="expression" dxfId="92" priority="196">
      <formula>OR($A41=9, $A41=21, $A41=33, $A41=45, $A41=57, $A41=69, $A41=81, $A41=93, $A41=105, $A41=117, $A41=129, $A41=141)</formula>
    </cfRule>
    <cfRule type="expression" dxfId="91" priority="197">
      <formula>OR($A41=8, $A41=20, $A41=32, $A41=44, $A41=56, $A41=68, $A41=80, $A41=92, $A41=104, $A41=116, $A41=128, $A41=140)</formula>
    </cfRule>
    <cfRule type="expression" dxfId="96" priority="198">
      <formula>OR($A41=7, $A41=19, $A41=31, $A41=43, $A41=55, $A41=67, $A41=79, $A41=91, $A41=103, $A41=115, $A41=127, $A41=139)</formula>
    </cfRule>
    <cfRule type="expression" dxfId="90" priority="199">
      <formula>OR($A41=6, $A41=18, $A41=30, $A41=42, $A41=54, $A41=66, $A41=78, $A41=90, $A41=102, $A41=114, $A41=126, $A41=138)</formula>
    </cfRule>
    <cfRule type="expression" dxfId="89" priority="200">
      <formula>OR($A41=5, $A41=17, $A41=29, $A41=41, $A41=53, $A41=65, $A41=77, $A41=89, $A41=101, $A41=113, $A41=125, $A41=137)</formula>
    </cfRule>
    <cfRule type="expression" dxfId="88" priority="201">
      <formula>OR($A41=4, $A41=16, $A41=28, $A41=40, $A41=52, $A41=64, $A41=76, $A41=88, $A41=100, $A41=112, $A41=124, $A41=136)</formula>
    </cfRule>
    <cfRule type="expression" dxfId="87" priority="202">
      <formula>OR($A41=3, $A41=15, $A41=27, $A41=39, $A41=51, $A41=63, $A41=75, $A41=87, $A41=99, $A41=111, $A41=123, $A41=135)</formula>
    </cfRule>
    <cfRule type="expression" dxfId="86" priority="203">
      <formula>OR($A41=2, $A41=14, $A41=26, $A41=38, $A41=50, $A41=62, $A41=74, $A41=86, $A41=98, $A41=110, $A41=122, $A41=134)</formula>
    </cfRule>
    <cfRule type="expression" dxfId="85" priority="204">
      <formula>OR($A41=1, $A41=13, $A41=25, $A41=37, $A41=49, $A41=61, $A41=73, $A41=85, $A41=97, $A41=109, $A41=121, $A41=133)</formula>
    </cfRule>
  </conditionalFormatting>
  <conditionalFormatting sqref="D54">
    <cfRule type="expression" dxfId="83" priority="217">
      <formula>OR($A54=12, $A54=24, $A54=36, $A54=48, $A54=60, $A54=72, $A54=84, $A54=96, $A54=108, $A54=120, $A54=132, $A54=144)</formula>
    </cfRule>
    <cfRule type="expression" dxfId="74" priority="218">
      <formula>OR($A54=11, $A54=23, $A54=35, $A54=47, $A54=59, $A54=71, $A54=83, $A54=95, $A54=107, $A54=119, $A54=131, $A54=143)</formula>
    </cfRule>
    <cfRule type="expression" dxfId="81" priority="219">
      <formula>OR($A54=10, $A54=22, $A54=34, $A54=46, $A54=58, $A54=70, $A54=82, $A54=94, $A54=106, $A54=118, $A54=130, $A54=142)</formula>
    </cfRule>
    <cfRule type="expression" dxfId="80" priority="220">
      <formula>OR($A54=9, $A54=21, $A54=33, $A54=45, $A54=57, $A54=69, $A54=81, $A54=93, $A54=105, $A54=117, $A54=129, $A54=141)</formula>
    </cfRule>
    <cfRule type="expression" dxfId="79" priority="221">
      <formula>OR($A54=8, $A54=20, $A54=32, $A54=44, $A54=56, $A54=68, $A54=80, $A54=92, $A54=104, $A54=116, $A54=128, $A54=140)</formula>
    </cfRule>
    <cfRule type="expression" dxfId="78" priority="222">
      <formula>OR($A54=7, $A54=19, $A54=31, $A54=43, $A54=55, $A54=67, $A54=79, $A54=91, $A54=103, $A54=115, $A54=127, $A54=139)</formula>
    </cfRule>
    <cfRule type="expression" dxfId="73" priority="223">
      <formula>OR($A54=6, $A54=18, $A54=30, $A54=42, $A54=54, $A54=66, $A54=78, $A54=90, $A54=102, $A54=114, $A54=126, $A54=138)</formula>
    </cfRule>
    <cfRule type="expression" dxfId="84" priority="224">
      <formula>OR($A54=5, $A54=17, $A54=29, $A54=41, $A54=53, $A54=65, $A54=77, $A54=89, $A54=101, $A54=113, $A54=125, $A54=137)</formula>
    </cfRule>
    <cfRule type="expression" dxfId="76" priority="225">
      <formula>OR($A54=4, $A54=16, $A54=28, $A54=40, $A54=52, $A54=64, $A54=76, $A54=88, $A54=100, $A54=112, $A54=124, $A54=136)</formula>
    </cfRule>
    <cfRule type="expression" dxfId="75" priority="226">
      <formula>OR($A54=3, $A54=15, $A54=27, $A54=39, $A54=51, $A54=63, $A54=75, $A54=87, $A54=99, $A54=111, $A54=123, $A54=135)</formula>
    </cfRule>
    <cfRule type="expression" dxfId="82" priority="227">
      <formula>OR($A54=2, $A54=14, $A54=26, $A54=38, $A54=50, $A54=62, $A54=74, $A54=86, $A54=98, $A54=110, $A54=122, $A54=134)</formula>
    </cfRule>
    <cfRule type="expression" dxfId="77" priority="228">
      <formula>OR($A54=1, $A54=13, $A54=25, $A54=37, $A54=49, $A54=61, $A54=73, $A54=85, $A54=97, $A54=109, $A54=121, $A54=133)</formula>
    </cfRule>
  </conditionalFormatting>
  <conditionalFormatting sqref="D67">
    <cfRule type="expression" dxfId="67" priority="241">
      <formula>OR($A67=12, $A67=24, $A67=36, $A67=48, $A67=60, $A67=72, $A67=84, $A67=96, $A67=108, $A67=120, $A67=132, $A67=144)</formula>
    </cfRule>
    <cfRule type="expression" dxfId="68" priority="242">
      <formula>OR($A67=11, $A67=23, $A67=35, $A67=47, $A67=59, $A67=71, $A67=83, $A67=95, $A67=107, $A67=119, $A67=131, $A67=143)</formula>
    </cfRule>
    <cfRule type="expression" dxfId="69" priority="243">
      <formula>OR($A67=10, $A67=22, $A67=34, $A67=46, $A67=58, $A67=70, $A67=82, $A67=94, $A67=106, $A67=118, $A67=130, $A67=142)</formula>
    </cfRule>
    <cfRule type="expression" dxfId="70" priority="244">
      <formula>OR($A67=9, $A67=21, $A67=33, $A67=45, $A67=57, $A67=69, $A67=81, $A67=93, $A67=105, $A67=117, $A67=129, $A67=141)</formula>
    </cfRule>
    <cfRule type="expression" dxfId="71" priority="245">
      <formula>OR($A67=8, $A67=20, $A67=32, $A67=44, $A67=56, $A67=68, $A67=80, $A67=92, $A67=104, $A67=116, $A67=128, $A67=140)</formula>
    </cfRule>
    <cfRule type="expression" dxfId="72" priority="246">
      <formula>OR($A67=7, $A67=19, $A67=31, $A67=43, $A67=55, $A67=67, $A67=79, $A67=91, $A67=103, $A67=115, $A67=127, $A67=139)</formula>
    </cfRule>
    <cfRule type="expression" dxfId="61" priority="247">
      <formula>OR($A67=6, $A67=18, $A67=30, $A67=42, $A67=54, $A67=66, $A67=78, $A67=90, $A67=102, $A67=114, $A67=126, $A67=138)</formula>
    </cfRule>
    <cfRule type="expression" dxfId="62" priority="248">
      <formula>OR($A67=5, $A67=17, $A67=29, $A67=41, $A67=53, $A67=65, $A67=77, $A67=89, $A67=101, $A67=113, $A67=125, $A67=137)</formula>
    </cfRule>
    <cfRule type="expression" dxfId="63" priority="249">
      <formula>OR($A67=4, $A67=16, $A67=28, $A67=40, $A67=52, $A67=64, $A67=76, $A67=88, $A67=100, $A67=112, $A67=124, $A67=136)</formula>
    </cfRule>
    <cfRule type="expression" dxfId="64" priority="250">
      <formula>OR($A67=3, $A67=15, $A67=27, $A67=39, $A67=51, $A67=63, $A67=75, $A67=87, $A67=99, $A67=111, $A67=123, $A67=135)</formula>
    </cfRule>
    <cfRule type="expression" dxfId="65" priority="251">
      <formula>OR($A67=2, $A67=14, $A67=26, $A67=38, $A67=50, $A67=62, $A67=74, $A67=86, $A67=98, $A67=110, $A67=122, $A67=134)</formula>
    </cfRule>
    <cfRule type="expression" dxfId="66" priority="252">
      <formula>OR($A67=1, $A67=13, $A67=25, $A67=37, $A67=49, $A67=61, $A67=73, $A67=85, $A67=97, $A67=109, $A67=121, $A67=133)</formula>
    </cfRule>
  </conditionalFormatting>
  <conditionalFormatting sqref="D79">
    <cfRule type="expression" dxfId="54" priority="97">
      <formula>OR($A79=12, $A79=24, $A79=36, $A79=48, $A79=60, $A79=72, $A79=84, $A79=96, $A79=108, $A79=120, $A79=132, $A79=144)</formula>
    </cfRule>
    <cfRule type="expression" dxfId="52" priority="98">
      <formula>OR($A79=11, $A79=23, $A79=35, $A79=47, $A79=59, $A79=71, $A79=83, $A79=95, $A79=107, $A79=119, $A79=131, $A79=143)</formula>
    </cfRule>
    <cfRule type="expression" dxfId="49" priority="99">
      <formula>OR($A79=10, $A79=22, $A79=34, $A79=46, $A79=58, $A79=70, $A79=82, $A79=94, $A79=106, $A79=118, $A79=130, $A79=142)</formula>
    </cfRule>
    <cfRule type="expression" dxfId="53" priority="100">
      <formula>OR($A79=9, $A79=21, $A79=33, $A79=45, $A79=57, $A79=69, $A79=81, $A79=93, $A79=105, $A79=117, $A79=129, $A79=141)</formula>
    </cfRule>
    <cfRule type="expression" dxfId="51" priority="101">
      <formula>OR($A79=8, $A79=20, $A79=32, $A79=44, $A79=56, $A79=68, $A79=80, $A79=92, $A79=104, $A79=116, $A79=128, $A79=140)</formula>
    </cfRule>
    <cfRule type="expression" dxfId="50" priority="102">
      <formula>OR($A79=7, $A79=19, $A79=31, $A79=43, $A79=55, $A79=67, $A79=79, $A79=91, $A79=103, $A79=115, $A79=127, $A79=139)</formula>
    </cfRule>
    <cfRule type="expression" dxfId="55" priority="103">
      <formula>OR($A79=6, $A79=18, $A79=30, $A79=42, $A79=54, $A79=66, $A79=78, $A79=90, $A79=102, $A79=114, $A79=126, $A79=138)</formula>
    </cfRule>
    <cfRule type="expression" dxfId="56" priority="104">
      <formula>OR($A79=5, $A79=17, $A79=29, $A79=41, $A79=53, $A79=65, $A79=77, $A79=89, $A79=101, $A79=113, $A79=125, $A79=137)</formula>
    </cfRule>
    <cfRule type="expression" dxfId="57" priority="105">
      <formula>OR($A79=4, $A79=16, $A79=28, $A79=40, $A79=52, $A79=64, $A79=76, $A79=88, $A79=100, $A79=112, $A79=124, $A79=136)</formula>
    </cfRule>
    <cfRule type="expression" dxfId="58" priority="106">
      <formula>OR($A79=3, $A79=15, $A79=27, $A79=39, $A79=51, $A79=63, $A79=75, $A79=87, $A79=99, $A79=111, $A79=123, $A79=135)</formula>
    </cfRule>
    <cfRule type="expression" dxfId="59" priority="107">
      <formula>OR($A79=2, $A79=14, $A79=26, $A79=38, $A79=50, $A79=62, $A79=74, $A79=86, $A79=98, $A79=110, $A79=122, $A79=134)</formula>
    </cfRule>
    <cfRule type="expression" dxfId="60" priority="108">
      <formula>OR($A79=1, $A79=13, $A79=25, $A79=37, $A79=49, $A79=61, $A79=73, $A79=85, $A79=97, $A79=109, $A79=121, $A79=133)</formula>
    </cfRule>
  </conditionalFormatting>
  <conditionalFormatting sqref="D91">
    <cfRule type="expression" dxfId="46" priority="73">
      <formula>OR($A91=12, $A91=24, $A91=36, $A91=48, $A91=60, $A91=72, $A91=84, $A91=96, $A91=108, $A91=120, $A91=132, $A91=144)</formula>
    </cfRule>
    <cfRule type="expression" dxfId="42" priority="74">
      <formula>OR($A91=11, $A91=23, $A91=35, $A91=47, $A91=59, $A91=71, $A91=83, $A91=95, $A91=107, $A91=119, $A91=131, $A91=143)</formula>
    </cfRule>
    <cfRule type="expression" dxfId="43" priority="75">
      <formula>OR($A91=10, $A91=22, $A91=34, $A91=46, $A91=58, $A91=70, $A91=82, $A91=94, $A91=106, $A91=118, $A91=130, $A91=142)</formula>
    </cfRule>
    <cfRule type="expression" dxfId="44" priority="76">
      <formula>OR($A91=9, $A91=21, $A91=33, $A91=45, $A91=57, $A91=69, $A91=81, $A91=93, $A91=105, $A91=117, $A91=129, $A91=141)</formula>
    </cfRule>
    <cfRule type="expression" dxfId="45" priority="77">
      <formula>OR($A91=8, $A91=20, $A91=32, $A91=44, $A91=56, $A91=68, $A91=80, $A91=92, $A91=104, $A91=116, $A91=128, $A91=140)</formula>
    </cfRule>
    <cfRule type="expression" dxfId="48" priority="78">
      <formula>OR($A91=7, $A91=19, $A91=31, $A91=43, $A91=55, $A91=67, $A91=79, $A91=91, $A91=103, $A91=115, $A91=127, $A91=139)</formula>
    </cfRule>
    <cfRule type="expression" dxfId="37" priority="79">
      <formula>OR($A91=6, $A91=18, $A91=30, $A91=42, $A91=54, $A91=66, $A91=78, $A91=90, $A91=102, $A91=114, $A91=126, $A91=138)</formula>
    </cfRule>
    <cfRule type="expression" dxfId="38" priority="80">
      <formula>OR($A91=5, $A91=17, $A91=29, $A91=41, $A91=53, $A91=65, $A91=77, $A91=89, $A91=101, $A91=113, $A91=125, $A91=137)</formula>
    </cfRule>
    <cfRule type="expression" dxfId="47" priority="81">
      <formula>OR($A91=4, $A91=16, $A91=28, $A91=40, $A91=52, $A91=64, $A91=76, $A91=88, $A91=100, $A91=112, $A91=124, $A91=136)</formula>
    </cfRule>
    <cfRule type="expression" dxfId="39" priority="82">
      <formula>OR($A91=3, $A91=15, $A91=27, $A91=39, $A91=51, $A91=63, $A91=75, $A91=87, $A91=99, $A91=111, $A91=123, $A91=135)</formula>
    </cfRule>
    <cfRule type="expression" dxfId="40" priority="83">
      <formula>OR($A91=2, $A91=14, $A91=26, $A91=38, $A91=50, $A91=62, $A91=74, $A91=86, $A91=98, $A91=110, $A91=122, $A91=134)</formula>
    </cfRule>
    <cfRule type="expression" dxfId="41" priority="84">
      <formula>OR($A91=1, $A91=13, $A91=25, $A91=37, $A91=49, $A91=61, $A91=73, $A91=85, $A91=97, $A91=109, $A91=121, $A91=133)</formula>
    </cfRule>
  </conditionalFormatting>
  <conditionalFormatting sqref="D103">
    <cfRule type="expression" dxfId="29" priority="49">
      <formula>OR($A103=12, $A103=24, $A103=36, $A103=48, $A103=60, $A103=72, $A103=84, $A103=96, $A103=108, $A103=120, $A103=132, $A103=144)</formula>
    </cfRule>
    <cfRule type="expression" dxfId="25" priority="50">
      <formula>OR($A103=11, $A103=23, $A103=35, $A103=47, $A103=59, $A103=71, $A103=83, $A103=95, $A103=107, $A103=119, $A103=131, $A103=143)</formula>
    </cfRule>
    <cfRule type="expression" dxfId="36" priority="51">
      <formula>OR($A103=10, $A103=22, $A103=34, $A103=46, $A103=58, $A103=70, $A103=82, $A103=94, $A103=106, $A103=118, $A103=130, $A103=142)</formula>
    </cfRule>
    <cfRule type="expression" dxfId="28" priority="52">
      <formula>OR($A103=9, $A103=21, $A103=33, $A103=45, $A103=57, $A103=69, $A103=81, $A103=93, $A103=105, $A103=117, $A103=129, $A103=141)</formula>
    </cfRule>
    <cfRule type="expression" dxfId="27" priority="53">
      <formula>OR($A103=8, $A103=20, $A103=32, $A103=44, $A103=56, $A103=68, $A103=80, $A103=92, $A103=104, $A103=116, $A103=128, $A103=140)</formula>
    </cfRule>
    <cfRule type="expression" dxfId="26" priority="54">
      <formula>OR($A103=7, $A103=19, $A103=31, $A103=43, $A103=55, $A103=67, $A103=79, $A103=91, $A103=103, $A103=115, $A103=127, $A103=139)</formula>
    </cfRule>
    <cfRule type="expression" dxfId="35" priority="55">
      <formula>OR($A103=6, $A103=18, $A103=30, $A103=42, $A103=54, $A103=66, $A103=78, $A103=90, $A103=102, $A103=114, $A103=126, $A103=138)</formula>
    </cfRule>
    <cfRule type="expression" dxfId="32" priority="56">
      <formula>OR($A103=5, $A103=17, $A103=29, $A103=41, $A103=53, $A103=65, $A103=77, $A103=89, $A103=101, $A103=113, $A103=125, $A103=137)</formula>
    </cfRule>
    <cfRule type="expression" dxfId="31" priority="57">
      <formula>OR($A103=4, $A103=16, $A103=28, $A103=40, $A103=52, $A103=64, $A103=76, $A103=88, $A103=100, $A103=112, $A103=124, $A103=136)</formula>
    </cfRule>
    <cfRule type="expression" dxfId="30" priority="58">
      <formula>OR($A103=3, $A103=15, $A103=27, $A103=39, $A103=51, $A103=63, $A103=75, $A103=87, $A103=99, $A103=111, $A103=123, $A103=135)</formula>
    </cfRule>
    <cfRule type="expression" dxfId="33" priority="59">
      <formula>OR($A103=2, $A103=14, $A103=26, $A103=38, $A103=50, $A103=62, $A103=74, $A103=86, $A103=98, $A103=110, $A103=122, $A103=134)</formula>
    </cfRule>
    <cfRule type="expression" dxfId="34" priority="60">
      <formula>OR($A103=1, $A103=13, $A103=25, $A103=37, $A103=49, $A103=61, $A103=73, $A103=85, $A103=97, $A103=109, $A103=121, $A103=133)</formula>
    </cfRule>
  </conditionalFormatting>
  <conditionalFormatting sqref="D115">
    <cfRule type="expression" dxfId="13" priority="25">
      <formula>OR($A115=12, $A115=24, $A115=36, $A115=48, $A115=60, $A115=72, $A115=84, $A115=96, $A115=108, $A115=120, $A115=132, $A115=144)</formula>
    </cfRule>
    <cfRule type="expression" dxfId="21" priority="26">
      <formula>OR($A115=11, $A115=23, $A115=35, $A115=47, $A115=59, $A115=71, $A115=83, $A115=95, $A115=107, $A115=119, $A115=131, $A115=143)</formula>
    </cfRule>
    <cfRule type="expression" dxfId="20" priority="27">
      <formula>OR($A115=10, $A115=22, $A115=34, $A115=46, $A115=58, $A115=70, $A115=82, $A115=94, $A115=106, $A115=118, $A115=130, $A115=142)</formula>
    </cfRule>
    <cfRule type="expression" dxfId="18" priority="28">
      <formula>OR($A115=9, $A115=21, $A115=33, $A115=45, $A115=57, $A115=69, $A115=81, $A115=93, $A115=105, $A115=117, $A115=129, $A115=141)</formula>
    </cfRule>
    <cfRule type="expression" dxfId="24" priority="29">
      <formula>OR($A115=8, $A115=20, $A115=32, $A115=44, $A115=56, $A115=68, $A115=80, $A115=92, $A115=104, $A115=116, $A115=128, $A115=140)</formula>
    </cfRule>
    <cfRule type="expression" dxfId="23" priority="30">
      <formula>OR($A115=7, $A115=19, $A115=31, $A115=43, $A115=55, $A115=67, $A115=79, $A115=91, $A115=103, $A115=115, $A115=127, $A115=139)</formula>
    </cfRule>
    <cfRule type="expression" dxfId="22" priority="31">
      <formula>OR($A115=6, $A115=18, $A115=30, $A115=42, $A115=54, $A115=66, $A115=78, $A115=90, $A115=102, $A115=114, $A115=126, $A115=138)</formula>
    </cfRule>
    <cfRule type="expression" dxfId="17" priority="32">
      <formula>OR($A115=5, $A115=17, $A115=29, $A115=41, $A115=53, $A115=65, $A115=77, $A115=89, $A115=101, $A115=113, $A115=125, $A115=137)</formula>
    </cfRule>
    <cfRule type="expression" dxfId="16" priority="33">
      <formula>OR($A115=4, $A115=16, $A115=28, $A115=40, $A115=52, $A115=64, $A115=76, $A115=88, $A115=100, $A115=112, $A115=124, $A115=136)</formula>
    </cfRule>
    <cfRule type="expression" dxfId="19" priority="34">
      <formula>OR($A115=3, $A115=15, $A115=27, $A115=39, $A115=51, $A115=63, $A115=75, $A115=87, $A115=99, $A115=111, $A115=123, $A115=135)</formula>
    </cfRule>
    <cfRule type="expression" dxfId="15" priority="35">
      <formula>OR($A115=2, $A115=14, $A115=26, $A115=38, $A115=50, $A115=62, $A115=74, $A115=86, $A115=98, $A115=110, $A115=122, $A115=134)</formula>
    </cfRule>
    <cfRule type="expression" dxfId="14" priority="36">
      <formula>OR($A115=1, $A115=13, $A115=25, $A115=37, $A115=49, $A115=61, $A115=73, $A115=85, $A115=97, $A115=109, $A115=121, $A115=133)</formula>
    </cfRule>
  </conditionalFormatting>
  <conditionalFormatting sqref="D127">
    <cfRule type="expression" dxfId="12" priority="1">
      <formula>OR($A127=12, $A127=24, $A127=36, $A127=48, $A127=60, $A127=72, $A127=84, $A127=96, $A127=108, $A127=120, $A127=132, $A127=144)</formula>
    </cfRule>
    <cfRule type="expression" dxfId="2" priority="2">
      <formula>OR($A127=11, $A127=23, $A127=35, $A127=47, $A127=59, $A127=71, $A127=83, $A127=95, $A127=107, $A127=119, $A127=131, $A127=143)</formula>
    </cfRule>
    <cfRule type="expression" dxfId="3" priority="3">
      <formula>OR($A127=10, $A127=22, $A127=34, $A127=46, $A127=58, $A127=70, $A127=82, $A127=94, $A127=106, $A127=118, $A127=130, $A127=142)</formula>
    </cfRule>
    <cfRule type="expression" dxfId="4" priority="4">
      <formula>OR($A127=9, $A127=21, $A127=33, $A127=45, $A127=57, $A127=69, $A127=81, $A127=93, $A127=105, $A127=117, $A127=129, $A127=141)</formula>
    </cfRule>
    <cfRule type="expression" dxfId="5" priority="5">
      <formula>OR($A127=8, $A127=20, $A127=32, $A127=44, $A127=56, $A127=68, $A127=80, $A127=92, $A127=104, $A127=116, $A127=128, $A127=140)</formula>
    </cfRule>
    <cfRule type="expression" dxfId="6" priority="6">
      <formula>OR($A127=7, $A127=19, $A127=31, $A127=43, $A127=55, $A127=67, $A127=79, $A127=91, $A127=103, $A127=115, $A127=127, $A127=139)</formula>
    </cfRule>
    <cfRule type="expression" dxfId="7" priority="7">
      <formula>OR($A127=6, $A127=18, $A127=30, $A127=42, $A127=54, $A127=66, $A127=78, $A127=90, $A127=102, $A127=114, $A127=126, $A127=138)</formula>
    </cfRule>
    <cfRule type="expression" dxfId="8" priority="8">
      <formula>OR($A127=5, $A127=17, $A127=29, $A127=41, $A127=53, $A127=65, $A127=77, $A127=89, $A127=101, $A127=113, $A127=125, $A127=137)</formula>
    </cfRule>
    <cfRule type="expression" dxfId="9" priority="9">
      <formula>OR($A127=4, $A127=16, $A127=28, $A127=40, $A127=52, $A127=64, $A127=76, $A127=88, $A127=100, $A127=112, $A127=124, $A127=136)</formula>
    </cfRule>
    <cfRule type="expression" dxfId="10" priority="10">
      <formula>OR($A127=3, $A127=15, $A127=27, $A127=39, $A127=51, $A127=63, $A127=75, $A127=87, $A127=99, $A127=111, $A127=123, $A127=135)</formula>
    </cfRule>
    <cfRule type="expression" dxfId="1" priority="11">
      <formula>OR($A127=2, $A127=14, $A127=26, $A127=38, $A127=50, $A127=62, $A127=74, $A127=86, $A127=98, $A127=110, $A127=122, $A127=134)</formula>
    </cfRule>
    <cfRule type="expression" dxfId="11" priority="12">
      <formula>OR($A127=1, $A127=13, $A127=25, $A127=37, $A127=49, $A127=61, $A127=73, $A127=85, $A127=97, $A127=109, $A127=121, $A127=133)</formula>
    </cfRule>
  </conditionalFormatting>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H1500"/>
  <sheetViews>
    <sheetView workbookViewId="0">
      <selection activeCell="A2" sqref="A2"/>
    </sheetView>
  </sheetViews>
  <sheetFormatPr defaultColWidth="9.140625" defaultRowHeight="15" x14ac:dyDescent="0.25"/>
  <cols>
    <col min="1" max="1" width="28.7109375" style="773" customWidth="1"/>
    <col min="2" max="2" width="10.28515625" style="192" bestFit="1" customWidth="1"/>
    <col min="3" max="3" width="21.28515625" style="192" customWidth="1"/>
    <col min="4" max="4" width="11.5703125" style="192" bestFit="1" customWidth="1"/>
    <col min="5" max="5" width="15.7109375" style="192" customWidth="1"/>
    <col min="6" max="6" width="28.85546875" style="192" bestFit="1" customWidth="1"/>
    <col min="7" max="7" width="16.85546875" style="192" customWidth="1"/>
    <col min="8" max="8" width="17" style="192" customWidth="1"/>
    <col min="9" max="16384" width="9.140625" style="192"/>
  </cols>
  <sheetData>
    <row r="1" spans="1:8" ht="15.75" x14ac:dyDescent="0.25">
      <c r="A1" s="634" t="s">
        <v>979</v>
      </c>
      <c r="B1" s="634" t="s">
        <v>395</v>
      </c>
      <c r="C1" s="634" t="s">
        <v>980</v>
      </c>
      <c r="D1" s="634" t="s">
        <v>921</v>
      </c>
      <c r="E1" s="634" t="s">
        <v>981</v>
      </c>
      <c r="F1" s="634" t="s">
        <v>982</v>
      </c>
      <c r="G1" s="634" t="s">
        <v>983</v>
      </c>
      <c r="H1" s="634" t="s">
        <v>984</v>
      </c>
    </row>
    <row r="2" spans="1:8" x14ac:dyDescent="0.25">
      <c r="A2" s="914" t="str">
        <f>'House Count'!A2</f>
        <v>13316 INGE RD</v>
      </c>
      <c r="B2" s="915">
        <f>'House Count'!E2</f>
        <v>0</v>
      </c>
      <c r="C2" s="915" t="str">
        <f>'House Count'!B2</f>
        <v>CHESTER</v>
      </c>
      <c r="D2" s="915" t="str">
        <f>'House Count'!C2</f>
        <v>VIRGINIA</v>
      </c>
      <c r="E2" s="915">
        <f>'House Count'!D2</f>
        <v>23836</v>
      </c>
      <c r="F2" s="915" t="str">
        <f>IF(G2="RES-SFU","RESIDENTIAL",IF(G2="RES-HOA","RESIDENTIAL",IF(G2="RES-MDU","RESIDENTIAL",IF(G2="COMM-SU","BUSINESS",IF(G2="COM-MTU","BUSINESS",IF(G2="ENT","BUSINESS",""))))))</f>
        <v>RESIDENTIAL</v>
      </c>
      <c r="G2" s="915" t="str">
        <f>'House Count'!F2</f>
        <v>RES-SFU</v>
      </c>
      <c r="H2" s="915" t="str">
        <f>'House Count'!H2</f>
        <v>Y</v>
      </c>
    </row>
    <row r="3" spans="1:8" x14ac:dyDescent="0.25">
      <c r="A3" s="914" t="str">
        <f>'House Count'!A3</f>
        <v>814 EAST HUNDRED RD</v>
      </c>
      <c r="B3" s="915">
        <f>'House Count'!E3</f>
        <v>0</v>
      </c>
      <c r="C3" s="915" t="str">
        <f>'House Count'!B3</f>
        <v>CHESTER</v>
      </c>
      <c r="D3" s="915" t="str">
        <f>'House Count'!C3</f>
        <v>VIRGINIA</v>
      </c>
      <c r="E3" s="915">
        <f>'House Count'!D3</f>
        <v>23836</v>
      </c>
      <c r="F3" s="915" t="str">
        <f t="shared" ref="F3:F66" si="0">IF(G3="RES-SFU","RESIDENTIAL",IF(G3="RES-HOA","RESIDENTIAL",IF(G3="RES-MDU","RESIDENTIAL",IF(G3="COMM-SU","BUSINESS",IF(G3="COM-MTU","BUSINESS",IF(G3="ENT","BUSINESS",""))))))</f>
        <v>RESIDENTIAL</v>
      </c>
      <c r="G3" s="915" t="str">
        <f>'House Count'!F3</f>
        <v>RES-SFU</v>
      </c>
      <c r="H3" s="915" t="str">
        <f>'House Count'!H3</f>
        <v>Y</v>
      </c>
    </row>
    <row r="4" spans="1:8" x14ac:dyDescent="0.25">
      <c r="A4" s="914" t="str">
        <f>'House Count'!A4</f>
        <v>571 EAST HUNDRED RD</v>
      </c>
      <c r="B4" s="915">
        <f>'House Count'!E4</f>
        <v>0</v>
      </c>
      <c r="C4" s="915" t="str">
        <f>'House Count'!B4</f>
        <v>CHESTER</v>
      </c>
      <c r="D4" s="915" t="str">
        <f>'House Count'!C4</f>
        <v>VIRGINIA</v>
      </c>
      <c r="E4" s="915">
        <f>'House Count'!D4</f>
        <v>23836</v>
      </c>
      <c r="F4" s="915" t="str">
        <f t="shared" si="0"/>
        <v>RESIDENTIAL</v>
      </c>
      <c r="G4" s="915" t="str">
        <f>'House Count'!F4</f>
        <v>RES-SFU</v>
      </c>
      <c r="H4" s="915" t="str">
        <f>'House Count'!H4</f>
        <v>Y</v>
      </c>
    </row>
    <row r="5" spans="1:8" x14ac:dyDescent="0.25">
      <c r="A5" s="914" t="str">
        <f>'House Count'!A5</f>
        <v>361 EAST HUNDRED RD</v>
      </c>
      <c r="B5" s="915">
        <f>'House Count'!E5</f>
        <v>0</v>
      </c>
      <c r="C5" s="915" t="str">
        <f>'House Count'!B5</f>
        <v>CHESTER</v>
      </c>
      <c r="D5" s="915" t="str">
        <f>'House Count'!C5</f>
        <v>VIRGINIA</v>
      </c>
      <c r="E5" s="915">
        <f>'House Count'!D5</f>
        <v>23836</v>
      </c>
      <c r="F5" s="915" t="str">
        <f t="shared" si="0"/>
        <v>BUSINESS</v>
      </c>
      <c r="G5" s="915" t="str">
        <f>'House Count'!F5</f>
        <v>COMM-SU</v>
      </c>
      <c r="H5" s="915" t="str">
        <f>'House Count'!H5</f>
        <v>Y</v>
      </c>
    </row>
    <row r="6" spans="1:8" x14ac:dyDescent="0.25">
      <c r="A6" s="914" t="str">
        <f>'House Count'!A6</f>
        <v>355 EAST HUNDRED RD</v>
      </c>
      <c r="B6" s="915">
        <f>'House Count'!E6</f>
        <v>0</v>
      </c>
      <c r="C6" s="915" t="str">
        <f>'House Count'!B6</f>
        <v>CHESTER</v>
      </c>
      <c r="D6" s="915" t="str">
        <f>'House Count'!C6</f>
        <v>VIRGINIA</v>
      </c>
      <c r="E6" s="915">
        <f>'House Count'!D6</f>
        <v>23836</v>
      </c>
      <c r="F6" s="915" t="str">
        <f t="shared" si="0"/>
        <v/>
      </c>
      <c r="G6" s="915" t="str">
        <f>'House Count'!F6</f>
        <v>VL</v>
      </c>
      <c r="H6" s="915" t="str">
        <f>'House Count'!H6</f>
        <v>N</v>
      </c>
    </row>
    <row r="7" spans="1:8" x14ac:dyDescent="0.25">
      <c r="A7" s="914" t="str">
        <f>'House Count'!A7</f>
        <v>13312 BERMUDA ORCHARD LN</v>
      </c>
      <c r="B7" s="915">
        <f>'House Count'!E7</f>
        <v>0</v>
      </c>
      <c r="C7" s="915" t="str">
        <f>'House Count'!B7</f>
        <v>CHESTER</v>
      </c>
      <c r="D7" s="915" t="str">
        <f>'House Count'!C7</f>
        <v>VIRGINIA</v>
      </c>
      <c r="E7" s="915">
        <f>'House Count'!D7</f>
        <v>23836</v>
      </c>
      <c r="F7" s="915" t="str">
        <f t="shared" si="0"/>
        <v/>
      </c>
      <c r="G7" s="915" t="str">
        <f>'House Count'!F7</f>
        <v>VL</v>
      </c>
      <c r="H7" s="915" t="str">
        <f>'House Count'!H7</f>
        <v>N</v>
      </c>
    </row>
    <row r="8" spans="1:8" x14ac:dyDescent="0.25">
      <c r="A8" s="914" t="str">
        <f>'House Count'!A8</f>
        <v>630 EAST HUNDRED RD</v>
      </c>
      <c r="B8" s="915">
        <f>'House Count'!E8</f>
        <v>0</v>
      </c>
      <c r="C8" s="915" t="str">
        <f>'House Count'!B8</f>
        <v>CHESTER</v>
      </c>
      <c r="D8" s="915" t="str">
        <f>'House Count'!C8</f>
        <v>VIRGINIA</v>
      </c>
      <c r="E8" s="915">
        <f>'House Count'!D8</f>
        <v>23836</v>
      </c>
      <c r="F8" s="915" t="str">
        <f t="shared" si="0"/>
        <v>BUSINESS</v>
      </c>
      <c r="G8" s="915" t="str">
        <f>'House Count'!F8</f>
        <v>COMM-SU</v>
      </c>
      <c r="H8" s="915" t="str">
        <f>'House Count'!H8</f>
        <v>Y</v>
      </c>
    </row>
    <row r="9" spans="1:8" x14ac:dyDescent="0.25">
      <c r="A9" s="914" t="str">
        <f>'House Count'!A9</f>
        <v>570 EAST HUNDRED RD</v>
      </c>
      <c r="B9" s="915">
        <f>'House Count'!E9</f>
        <v>0</v>
      </c>
      <c r="C9" s="915" t="str">
        <f>'House Count'!B9</f>
        <v>CHESTER</v>
      </c>
      <c r="D9" s="915" t="str">
        <f>'House Count'!C9</f>
        <v>VIRGINIA</v>
      </c>
      <c r="E9" s="915">
        <f>'House Count'!D9</f>
        <v>23836</v>
      </c>
      <c r="F9" s="915" t="str">
        <f t="shared" si="0"/>
        <v>BUSINESS</v>
      </c>
      <c r="G9" s="915" t="str">
        <f>'House Count'!F9</f>
        <v>COMM-SU</v>
      </c>
      <c r="H9" s="915" t="str">
        <f>'House Count'!H9</f>
        <v>Y</v>
      </c>
    </row>
    <row r="10" spans="1:8" x14ac:dyDescent="0.25">
      <c r="A10" s="914" t="str">
        <f>'House Count'!A10</f>
        <v>2 EAST HUNDRED RD</v>
      </c>
      <c r="B10" s="915">
        <f>'House Count'!E10</f>
        <v>0</v>
      </c>
      <c r="C10" s="915" t="str">
        <f>'House Count'!B10</f>
        <v>CHESTER</v>
      </c>
      <c r="D10" s="915" t="str">
        <f>'House Count'!C10</f>
        <v>VIRGINIA</v>
      </c>
      <c r="E10" s="915">
        <f>'House Count'!D10</f>
        <v>23836</v>
      </c>
      <c r="F10" s="915" t="str">
        <f t="shared" si="0"/>
        <v>BUSINESS</v>
      </c>
      <c r="G10" s="915" t="str">
        <f>'House Count'!F10</f>
        <v>COMM-SU</v>
      </c>
      <c r="H10" s="915" t="str">
        <f>'House Count'!H10</f>
        <v>Y</v>
      </c>
    </row>
    <row r="11" spans="1:8" x14ac:dyDescent="0.25">
      <c r="A11" s="914" t="str">
        <f>'House Count'!A11</f>
        <v>108 EAST HUNDRED RD</v>
      </c>
      <c r="B11" s="915">
        <f>'House Count'!E11</f>
        <v>0</v>
      </c>
      <c r="C11" s="915" t="str">
        <f>'House Count'!B11</f>
        <v>CHESTER</v>
      </c>
      <c r="D11" s="915" t="str">
        <f>'House Count'!C11</f>
        <v>VIRGINIA</v>
      </c>
      <c r="E11" s="915">
        <f>'House Count'!D11</f>
        <v>23836</v>
      </c>
      <c r="F11" s="915" t="str">
        <f t="shared" si="0"/>
        <v/>
      </c>
      <c r="G11" s="915" t="str">
        <f>'House Count'!F11</f>
        <v>VL</v>
      </c>
      <c r="H11" s="915" t="str">
        <f>'House Count'!H11</f>
        <v>N</v>
      </c>
    </row>
    <row r="12" spans="1:8" x14ac:dyDescent="0.25">
      <c r="A12" s="914" t="str">
        <f>'House Count'!A12</f>
        <v>360 EAST HUNDRED RD</v>
      </c>
      <c r="B12" s="915">
        <f>'House Count'!E12</f>
        <v>0</v>
      </c>
      <c r="C12" s="915" t="str">
        <f>'House Count'!B12</f>
        <v>CHESTER</v>
      </c>
      <c r="D12" s="915" t="str">
        <f>'House Count'!C12</f>
        <v>VIRGINIA</v>
      </c>
      <c r="E12" s="915">
        <f>'House Count'!D12</f>
        <v>23836</v>
      </c>
      <c r="F12" s="915" t="str">
        <f t="shared" si="0"/>
        <v/>
      </c>
      <c r="G12" s="915" t="str">
        <f>'House Count'!F12</f>
        <v>VL</v>
      </c>
      <c r="H12" s="915" t="str">
        <f>'House Count'!H12</f>
        <v>N</v>
      </c>
    </row>
    <row r="13" spans="1:8" x14ac:dyDescent="0.25">
      <c r="A13" s="914" t="str">
        <f>'House Count'!A13</f>
        <v>13320 INGE RD</v>
      </c>
      <c r="B13" s="915">
        <f>'House Count'!E13</f>
        <v>0</v>
      </c>
      <c r="C13" s="915" t="str">
        <f>'House Count'!B13</f>
        <v>CHESTER</v>
      </c>
      <c r="D13" s="915" t="str">
        <f>'House Count'!C13</f>
        <v>VIRGINIA</v>
      </c>
      <c r="E13" s="915">
        <f>'House Count'!D13</f>
        <v>23836</v>
      </c>
      <c r="F13" s="915" t="str">
        <f t="shared" si="0"/>
        <v>RESIDENTIAL</v>
      </c>
      <c r="G13" s="915" t="str">
        <f>'House Count'!F13</f>
        <v>RES-SFU</v>
      </c>
      <c r="H13" s="915" t="str">
        <f>'House Count'!H13</f>
        <v>Y</v>
      </c>
    </row>
    <row r="14" spans="1:8" x14ac:dyDescent="0.25">
      <c r="A14" s="914" t="str">
        <f>'House Count'!A14</f>
        <v>810 EAST HUNDRED RD</v>
      </c>
      <c r="B14" s="915">
        <f>'House Count'!E14</f>
        <v>0</v>
      </c>
      <c r="C14" s="915" t="str">
        <f>'House Count'!B14</f>
        <v>CHESTER</v>
      </c>
      <c r="D14" s="915" t="str">
        <f>'House Count'!C14</f>
        <v>VIRGINIA</v>
      </c>
      <c r="E14" s="915">
        <f>'House Count'!D14</f>
        <v>23836</v>
      </c>
      <c r="F14" s="915" t="str">
        <f t="shared" si="0"/>
        <v>RESIDENTIAL</v>
      </c>
      <c r="G14" s="915" t="str">
        <f>'House Count'!F14</f>
        <v>RES-SFU</v>
      </c>
      <c r="H14" s="915" t="str">
        <f>'House Count'!H14</f>
        <v>Y</v>
      </c>
    </row>
    <row r="15" spans="1:8" x14ac:dyDescent="0.25">
      <c r="A15" s="914" t="str">
        <f>'House Count'!A15</f>
        <v>561 EAST HUNDRED RD</v>
      </c>
      <c r="B15" s="915">
        <f>'House Count'!E15</f>
        <v>0</v>
      </c>
      <c r="C15" s="915" t="str">
        <f>'House Count'!B15</f>
        <v>CHESTER</v>
      </c>
      <c r="D15" s="915" t="str">
        <f>'House Count'!C15</f>
        <v>VIRGINIA</v>
      </c>
      <c r="E15" s="915">
        <f>'House Count'!D15</f>
        <v>23836</v>
      </c>
      <c r="F15" s="915" t="str">
        <f t="shared" si="0"/>
        <v>BUSINESS</v>
      </c>
      <c r="G15" s="915" t="str">
        <f>'House Count'!F15</f>
        <v>COMM-SU</v>
      </c>
      <c r="H15" s="915" t="str">
        <f>'House Count'!H15</f>
        <v>Y</v>
      </c>
    </row>
    <row r="16" spans="1:8" x14ac:dyDescent="0.25">
      <c r="A16" s="914" t="str">
        <f>'House Count'!A16</f>
        <v>363 EAST HUNDRED RD</v>
      </c>
      <c r="B16" s="915">
        <f>'House Count'!E16</f>
        <v>0</v>
      </c>
      <c r="C16" s="915" t="str">
        <f>'House Count'!B16</f>
        <v>CHESTER</v>
      </c>
      <c r="D16" s="915" t="str">
        <f>'House Count'!C16</f>
        <v>VIRGINIA</v>
      </c>
      <c r="E16" s="915">
        <f>'House Count'!D16</f>
        <v>23836</v>
      </c>
      <c r="F16" s="915" t="str">
        <f t="shared" si="0"/>
        <v/>
      </c>
      <c r="G16" s="915" t="str">
        <f>'House Count'!F16</f>
        <v>VL</v>
      </c>
      <c r="H16" s="915" t="str">
        <f>'House Count'!H16</f>
        <v>N</v>
      </c>
    </row>
    <row r="17" spans="1:8" x14ac:dyDescent="0.25">
      <c r="A17" s="914" t="str">
        <f>'House Count'!A17</f>
        <v>401 EAST HUNDRED RD</v>
      </c>
      <c r="B17" s="915">
        <f>'House Count'!E17</f>
        <v>0</v>
      </c>
      <c r="C17" s="915" t="str">
        <f>'House Count'!B17</f>
        <v>CHESTER</v>
      </c>
      <c r="D17" s="915" t="str">
        <f>'House Count'!C17</f>
        <v>VIRGINIA</v>
      </c>
      <c r="E17" s="915">
        <f>'House Count'!D17</f>
        <v>23836</v>
      </c>
      <c r="F17" s="915" t="str">
        <f t="shared" si="0"/>
        <v/>
      </c>
      <c r="G17" s="915" t="str">
        <f>'House Count'!F17</f>
        <v>VL</v>
      </c>
      <c r="H17" s="915" t="str">
        <f>'House Count'!H17</f>
        <v>N</v>
      </c>
    </row>
    <row r="18" spans="1:8" x14ac:dyDescent="0.25">
      <c r="A18" s="914" t="str">
        <f>'House Count'!A18</f>
        <v>13200 BERMUDA ORCHARD LN</v>
      </c>
      <c r="B18" s="915">
        <f>'House Count'!E18</f>
        <v>0</v>
      </c>
      <c r="C18" s="915" t="str">
        <f>'House Count'!B18</f>
        <v>CHESTER</v>
      </c>
      <c r="D18" s="915" t="str">
        <f>'House Count'!C18</f>
        <v>VIRGINIA</v>
      </c>
      <c r="E18" s="915">
        <f>'House Count'!D18</f>
        <v>23836</v>
      </c>
      <c r="F18" s="915" t="str">
        <f t="shared" si="0"/>
        <v/>
      </c>
      <c r="G18" s="915" t="str">
        <f>'House Count'!F18</f>
        <v>VL</v>
      </c>
      <c r="H18" s="915" t="str">
        <f>'House Count'!H18</f>
        <v>N</v>
      </c>
    </row>
    <row r="19" spans="1:8" x14ac:dyDescent="0.25">
      <c r="A19" s="914" t="str">
        <f>'House Count'!A19</f>
        <v>620 EAST HUNDRED RD</v>
      </c>
      <c r="B19" s="915">
        <f>'House Count'!E19</f>
        <v>0</v>
      </c>
      <c r="C19" s="915" t="str">
        <f>'House Count'!B19</f>
        <v>CHESTER</v>
      </c>
      <c r="D19" s="915" t="str">
        <f>'House Count'!C19</f>
        <v>VIRGINIA</v>
      </c>
      <c r="E19" s="915">
        <f>'House Count'!D19</f>
        <v>23836</v>
      </c>
      <c r="F19" s="915" t="str">
        <f t="shared" si="0"/>
        <v>BUSINESS</v>
      </c>
      <c r="G19" s="915" t="str">
        <f>'House Count'!F19</f>
        <v>COMM-SU</v>
      </c>
      <c r="H19" s="915" t="str">
        <f>'House Count'!H19</f>
        <v>Y</v>
      </c>
    </row>
    <row r="20" spans="1:8" x14ac:dyDescent="0.25">
      <c r="A20" s="914" t="str">
        <f>'House Count'!A20</f>
        <v>560 EAST HUNDRED RD</v>
      </c>
      <c r="B20" s="915">
        <f>'House Count'!E20</f>
        <v>0</v>
      </c>
      <c r="C20" s="915" t="str">
        <f>'House Count'!B20</f>
        <v>CHESTER</v>
      </c>
      <c r="D20" s="915" t="str">
        <f>'House Count'!C20</f>
        <v>VIRGINIA</v>
      </c>
      <c r="E20" s="915">
        <f>'House Count'!D20</f>
        <v>23836</v>
      </c>
      <c r="F20" s="915" t="str">
        <f t="shared" si="0"/>
        <v>BUSINESS</v>
      </c>
      <c r="G20" s="915" t="str">
        <f>'House Count'!F20</f>
        <v>COMM-SU</v>
      </c>
      <c r="H20" s="915" t="str">
        <f>'House Count'!H20</f>
        <v>Y</v>
      </c>
    </row>
    <row r="21" spans="1:8" x14ac:dyDescent="0.25">
      <c r="A21" s="914" t="str">
        <f>'House Count'!A21</f>
        <v>374 EAST HUNDRED RD</v>
      </c>
      <c r="B21" s="915">
        <f>'House Count'!E21</f>
        <v>0</v>
      </c>
      <c r="C21" s="915" t="str">
        <f>'House Count'!B21</f>
        <v>CHESTER</v>
      </c>
      <c r="D21" s="915" t="str">
        <f>'House Count'!C21</f>
        <v>VIRGINIA</v>
      </c>
      <c r="E21" s="915">
        <f>'House Count'!D21</f>
        <v>23836</v>
      </c>
      <c r="F21" s="915" t="str">
        <f t="shared" si="0"/>
        <v/>
      </c>
      <c r="G21" s="915" t="str">
        <f>'House Count'!F21</f>
        <v>VL</v>
      </c>
      <c r="H21" s="915" t="str">
        <f>'House Count'!H21</f>
        <v>N</v>
      </c>
    </row>
    <row r="22" spans="1:8" x14ac:dyDescent="0.25">
      <c r="A22" s="914" t="str">
        <f>'House Count'!A22</f>
        <v>10 EAST HUNDRED RD</v>
      </c>
      <c r="B22" s="915">
        <f>'House Count'!E22</f>
        <v>0</v>
      </c>
      <c r="C22" s="915" t="str">
        <f>'House Count'!B22</f>
        <v>CHESTER</v>
      </c>
      <c r="D22" s="915" t="str">
        <f>'House Count'!C22</f>
        <v>VIRGINIA</v>
      </c>
      <c r="E22" s="915">
        <f>'House Count'!D22</f>
        <v>23836</v>
      </c>
      <c r="F22" s="915" t="str">
        <f t="shared" si="0"/>
        <v/>
      </c>
      <c r="G22" s="915" t="str">
        <f>'House Count'!F22</f>
        <v>VL</v>
      </c>
      <c r="H22" s="915" t="str">
        <f>'House Count'!H22</f>
        <v>N</v>
      </c>
    </row>
    <row r="23" spans="1:8" x14ac:dyDescent="0.25">
      <c r="A23" s="914" t="str">
        <f>'House Count'!A23</f>
        <v>116 E HUNDRED RD</v>
      </c>
      <c r="B23" s="915">
        <f>'House Count'!E23</f>
        <v>0</v>
      </c>
      <c r="C23" s="915" t="str">
        <f>'House Count'!B23</f>
        <v>CHESTER</v>
      </c>
      <c r="D23" s="915" t="str">
        <f>'House Count'!C23</f>
        <v>VIRGINIA</v>
      </c>
      <c r="E23" s="915">
        <f>'House Count'!D23</f>
        <v>23836</v>
      </c>
      <c r="F23" s="915" t="str">
        <f t="shared" si="0"/>
        <v/>
      </c>
      <c r="G23" s="915" t="str">
        <f>'House Count'!F23</f>
        <v>VL</v>
      </c>
      <c r="H23" s="915" t="str">
        <f>'House Count'!H23</f>
        <v>N</v>
      </c>
    </row>
    <row r="24" spans="1:8" x14ac:dyDescent="0.25">
      <c r="A24" s="914" t="str">
        <f>'House Count'!A24</f>
        <v>210 E HUNDRED RD</v>
      </c>
      <c r="B24" s="915">
        <f>'House Count'!E24</f>
        <v>0</v>
      </c>
      <c r="C24" s="915" t="str">
        <f>'House Count'!B24</f>
        <v>CHESTER</v>
      </c>
      <c r="D24" s="915" t="str">
        <f>'House Count'!C24</f>
        <v>VIRGINIA</v>
      </c>
      <c r="E24" s="915">
        <f>'House Count'!D24</f>
        <v>23836</v>
      </c>
      <c r="F24" s="915" t="str">
        <f t="shared" si="0"/>
        <v>RESIDENTIAL</v>
      </c>
      <c r="G24" s="915" t="str">
        <f>'House Count'!F24</f>
        <v>RES-SFU</v>
      </c>
      <c r="H24" s="915" t="str">
        <f>'House Count'!H24</f>
        <v>Y</v>
      </c>
    </row>
    <row r="25" spans="1:8" x14ac:dyDescent="0.25">
      <c r="A25" s="914" t="str">
        <f>'House Count'!A25</f>
        <v>13241 RIVERS BEND BLVD</v>
      </c>
      <c r="B25" s="915">
        <f>'House Count'!E25</f>
        <v>0</v>
      </c>
      <c r="C25" s="915" t="str">
        <f>'House Count'!B25</f>
        <v>CHESTER</v>
      </c>
      <c r="D25" s="915" t="str">
        <f>'House Count'!C25</f>
        <v>VIRGINIA</v>
      </c>
      <c r="E25" s="915">
        <f>'House Count'!D25</f>
        <v>23836</v>
      </c>
      <c r="F25" s="915" t="str">
        <f t="shared" si="0"/>
        <v>BUSINESS</v>
      </c>
      <c r="G25" s="915" t="str">
        <f>'House Count'!F25</f>
        <v>COMM-SU</v>
      </c>
      <c r="H25" s="915" t="str">
        <f>'House Count'!H25</f>
        <v>Y</v>
      </c>
    </row>
    <row r="26" spans="1:8" x14ac:dyDescent="0.25">
      <c r="A26" s="914" t="str">
        <f>'House Count'!A26</f>
        <v>13237 RIVERS BEND BLVD</v>
      </c>
      <c r="B26" s="915">
        <f>'House Count'!E26</f>
        <v>0</v>
      </c>
      <c r="C26" s="915" t="str">
        <f>'House Count'!B26</f>
        <v>CHESTER</v>
      </c>
      <c r="D26" s="915" t="str">
        <f>'House Count'!C26</f>
        <v>VIRGINIA</v>
      </c>
      <c r="E26" s="915">
        <f>'House Count'!D26</f>
        <v>23836</v>
      </c>
      <c r="F26" s="915" t="str">
        <f t="shared" si="0"/>
        <v>BUSINESS</v>
      </c>
      <c r="G26" s="915" t="str">
        <f>'House Count'!F26</f>
        <v>COMM-SU</v>
      </c>
      <c r="H26" s="915" t="str">
        <f>'House Count'!H26</f>
        <v>Y</v>
      </c>
    </row>
    <row r="27" spans="1:8" x14ac:dyDescent="0.25">
      <c r="A27" s="914" t="str">
        <f>'House Count'!A27</f>
        <v>13311 INGE RD</v>
      </c>
      <c r="B27" s="915">
        <f>'House Count'!E27</f>
        <v>0</v>
      </c>
      <c r="C27" s="915" t="str">
        <f>'House Count'!B27</f>
        <v>CHESTER</v>
      </c>
      <c r="D27" s="915" t="str">
        <f>'House Count'!C27</f>
        <v>VIRGINIA</v>
      </c>
      <c r="E27" s="915">
        <f>'House Count'!D27</f>
        <v>23836</v>
      </c>
      <c r="F27" s="915" t="str">
        <f t="shared" si="0"/>
        <v/>
      </c>
      <c r="G27" s="915" t="str">
        <f>'House Count'!F27</f>
        <v>VL</v>
      </c>
      <c r="H27" s="915" t="str">
        <f>'House Count'!H27</f>
        <v>N</v>
      </c>
    </row>
    <row r="28" spans="1:8" x14ac:dyDescent="0.25">
      <c r="A28" s="914" t="str">
        <f>'House Count'!A28</f>
        <v>1 EAST HUNDRED RD</v>
      </c>
      <c r="B28" s="915">
        <f>'House Count'!E28</f>
        <v>0</v>
      </c>
      <c r="C28" s="915" t="str">
        <f>'House Count'!B28</f>
        <v>CHESTER</v>
      </c>
      <c r="D28" s="915" t="str">
        <f>'House Count'!C28</f>
        <v>VIRGINIA</v>
      </c>
      <c r="E28" s="915">
        <f>'House Count'!D28</f>
        <v>23836</v>
      </c>
      <c r="F28" s="915" t="str">
        <f t="shared" si="0"/>
        <v>BUSINESS</v>
      </c>
      <c r="G28" s="915" t="str">
        <f>'House Count'!F28</f>
        <v>COMM-SU</v>
      </c>
      <c r="H28" s="915" t="str">
        <f>'House Count'!H28</f>
        <v>Y</v>
      </c>
    </row>
    <row r="29" spans="1:8" x14ac:dyDescent="0.25">
      <c r="A29" s="914" t="str">
        <f>'House Count'!A29</f>
        <v>103 EAST HUNDRED RD</v>
      </c>
      <c r="B29" s="915">
        <f>'House Count'!E29</f>
        <v>0</v>
      </c>
      <c r="C29" s="915" t="str">
        <f>'House Count'!B29</f>
        <v>CHESTER</v>
      </c>
      <c r="D29" s="915" t="str">
        <f>'House Count'!C29</f>
        <v>VIRGINIA</v>
      </c>
      <c r="E29" s="915">
        <f>'House Count'!D29</f>
        <v>23836</v>
      </c>
      <c r="F29" s="915" t="str">
        <f t="shared" si="0"/>
        <v/>
      </c>
      <c r="G29" s="915" t="str">
        <f>'House Count'!F29</f>
        <v>VL</v>
      </c>
      <c r="H29" s="915" t="str">
        <f>'House Count'!H29</f>
        <v>N</v>
      </c>
    </row>
    <row r="30" spans="1:8" x14ac:dyDescent="0.25">
      <c r="A30" s="914" t="str">
        <f>'House Count'!A30</f>
        <v>13310 INGE RD</v>
      </c>
      <c r="B30" s="915">
        <f>'House Count'!E30</f>
        <v>0</v>
      </c>
      <c r="C30" s="915" t="str">
        <f>'House Count'!B30</f>
        <v>CHESTER</v>
      </c>
      <c r="D30" s="915" t="str">
        <f>'House Count'!C30</f>
        <v>VIRGINIA</v>
      </c>
      <c r="E30" s="915">
        <f>'House Count'!D30</f>
        <v>23836</v>
      </c>
      <c r="F30" s="915" t="str">
        <f t="shared" si="0"/>
        <v/>
      </c>
      <c r="G30" s="915" t="str">
        <f>'House Count'!F30</f>
        <v>VL</v>
      </c>
      <c r="H30" s="915" t="str">
        <f>'House Count'!H30</f>
        <v>N</v>
      </c>
    </row>
    <row r="31" spans="1:8" x14ac:dyDescent="0.25">
      <c r="A31" s="914" t="str">
        <f>'House Count'!A31</f>
        <v>13322 INGE RD</v>
      </c>
      <c r="B31" s="915">
        <f>'House Count'!E31</f>
        <v>0</v>
      </c>
      <c r="C31" s="915" t="str">
        <f>'House Count'!B31</f>
        <v>CHESTER</v>
      </c>
      <c r="D31" s="915" t="str">
        <f>'House Count'!C31</f>
        <v>VIRGINIA</v>
      </c>
      <c r="E31" s="915">
        <f>'House Count'!D31</f>
        <v>23836</v>
      </c>
      <c r="F31" s="915" t="str">
        <f t="shared" si="0"/>
        <v>RESIDENTIAL</v>
      </c>
      <c r="G31" s="915" t="str">
        <f>'House Count'!F31</f>
        <v>RES-SFU</v>
      </c>
      <c r="H31" s="915" t="str">
        <f>'House Count'!H31</f>
        <v>Y</v>
      </c>
    </row>
    <row r="32" spans="1:8" x14ac:dyDescent="0.25">
      <c r="A32" s="914" t="str">
        <f>'House Count'!A32</f>
        <v>804 EAST HUNDRED RD</v>
      </c>
      <c r="B32" s="915">
        <f>'House Count'!E32</f>
        <v>0</v>
      </c>
      <c r="C32" s="915" t="str">
        <f>'House Count'!B32</f>
        <v>CHESTER</v>
      </c>
      <c r="D32" s="915" t="str">
        <f>'House Count'!C32</f>
        <v>VIRGINIA</v>
      </c>
      <c r="E32" s="915">
        <f>'House Count'!D32</f>
        <v>23836</v>
      </c>
      <c r="F32" s="915" t="str">
        <f t="shared" si="0"/>
        <v/>
      </c>
      <c r="G32" s="915" t="str">
        <f>'House Count'!F32</f>
        <v>VL</v>
      </c>
      <c r="H32" s="915" t="str">
        <f>'House Count'!H32</f>
        <v>N</v>
      </c>
    </row>
    <row r="33" spans="1:8" x14ac:dyDescent="0.25">
      <c r="A33" s="914" t="str">
        <f>'House Count'!A33</f>
        <v>13341 KINGSTON AVE</v>
      </c>
      <c r="B33" s="915">
        <f>'House Count'!E33</f>
        <v>0</v>
      </c>
      <c r="C33" s="915" t="str">
        <f>'House Count'!B33</f>
        <v>CHESTER</v>
      </c>
      <c r="D33" s="915" t="str">
        <f>'House Count'!C33</f>
        <v>VIRGINIA</v>
      </c>
      <c r="E33" s="915">
        <f>'House Count'!D33</f>
        <v>23836</v>
      </c>
      <c r="F33" s="915" t="str">
        <f t="shared" si="0"/>
        <v>BUSINESS</v>
      </c>
      <c r="G33" s="915" t="str">
        <f>'House Count'!F33</f>
        <v>COMM-SU</v>
      </c>
      <c r="H33" s="915" t="str">
        <f>'House Count'!H33</f>
        <v>Y</v>
      </c>
    </row>
    <row r="34" spans="1:8" x14ac:dyDescent="0.25">
      <c r="A34" s="914" t="str">
        <f>'House Count'!A34</f>
        <v>13201 KINGSTON AVE</v>
      </c>
      <c r="B34" s="915">
        <f>'House Count'!E34</f>
        <v>0</v>
      </c>
      <c r="C34" s="915" t="str">
        <f>'House Count'!B34</f>
        <v>CHESTER</v>
      </c>
      <c r="D34" s="915" t="str">
        <f>'House Count'!C34</f>
        <v>VIRGINIA</v>
      </c>
      <c r="E34" s="915">
        <f>'House Count'!D34</f>
        <v>23836</v>
      </c>
      <c r="F34" s="915" t="str">
        <f t="shared" si="0"/>
        <v>BUSINESS</v>
      </c>
      <c r="G34" s="915" t="str">
        <f>'House Count'!F34</f>
        <v>COMM-SU</v>
      </c>
      <c r="H34" s="915" t="str">
        <f>'House Count'!H34</f>
        <v>Y</v>
      </c>
    </row>
    <row r="35" spans="1:8" x14ac:dyDescent="0.25">
      <c r="A35" s="914" t="str">
        <f>'House Count'!A35</f>
        <v>551 EAST HUNDRED RD</v>
      </c>
      <c r="B35" s="915">
        <f>'House Count'!E35</f>
        <v>0</v>
      </c>
      <c r="C35" s="915" t="str">
        <f>'House Count'!B35</f>
        <v>CHESTER</v>
      </c>
      <c r="D35" s="915" t="str">
        <f>'House Count'!C35</f>
        <v>VIRGINIA</v>
      </c>
      <c r="E35" s="915">
        <f>'House Count'!D35</f>
        <v>23836</v>
      </c>
      <c r="F35" s="915" t="str">
        <f t="shared" si="0"/>
        <v>RESIDENTIAL</v>
      </c>
      <c r="G35" s="915" t="str">
        <f>'House Count'!F35</f>
        <v>RES-SFU</v>
      </c>
      <c r="H35" s="915" t="str">
        <f>'House Count'!H35</f>
        <v>Y</v>
      </c>
    </row>
    <row r="36" spans="1:8" x14ac:dyDescent="0.25">
      <c r="A36" s="914" t="str">
        <f>'House Count'!A36</f>
        <v>511 E HUNDRED RD</v>
      </c>
      <c r="B36" s="915">
        <f>'House Count'!E36</f>
        <v>0</v>
      </c>
      <c r="C36" s="915" t="str">
        <f>'House Count'!B36</f>
        <v>CHESTER</v>
      </c>
      <c r="D36" s="915" t="str">
        <f>'House Count'!C36</f>
        <v>VIRGINIA</v>
      </c>
      <c r="E36" s="915">
        <f>'House Count'!D36</f>
        <v>23836</v>
      </c>
      <c r="F36" s="915" t="str">
        <f t="shared" si="0"/>
        <v/>
      </c>
      <c r="G36" s="915" t="str">
        <f>'House Count'!F36</f>
        <v>VL</v>
      </c>
      <c r="H36" s="915" t="str">
        <f>'House Count'!H36</f>
        <v>N</v>
      </c>
    </row>
    <row r="37" spans="1:8" x14ac:dyDescent="0.25">
      <c r="A37" s="914" t="str">
        <f>'House Count'!A37</f>
        <v>353 EAST HUNDRED RD</v>
      </c>
      <c r="B37" s="915">
        <f>'House Count'!E37</f>
        <v>0</v>
      </c>
      <c r="C37" s="915" t="str">
        <f>'House Count'!B37</f>
        <v>CHESTER</v>
      </c>
      <c r="D37" s="915" t="str">
        <f>'House Count'!C37</f>
        <v>VIRGINIA</v>
      </c>
      <c r="E37" s="915">
        <f>'House Count'!D37</f>
        <v>23836</v>
      </c>
      <c r="F37" s="915" t="str">
        <f t="shared" si="0"/>
        <v/>
      </c>
      <c r="G37" s="915" t="str">
        <f>'House Count'!F37</f>
        <v>VL</v>
      </c>
      <c r="H37" s="915" t="str">
        <f>'House Count'!H37</f>
        <v>N</v>
      </c>
    </row>
    <row r="38" spans="1:8" x14ac:dyDescent="0.25">
      <c r="A38" s="914" t="str">
        <f>'House Count'!A38</f>
        <v>371 EAST HUNDRED RD</v>
      </c>
      <c r="B38" s="915">
        <f>'House Count'!E38</f>
        <v>0</v>
      </c>
      <c r="C38" s="915" t="str">
        <f>'House Count'!B38</f>
        <v>CHESTER</v>
      </c>
      <c r="D38" s="915" t="str">
        <f>'House Count'!C38</f>
        <v>VIRGINIA</v>
      </c>
      <c r="E38" s="915">
        <f>'House Count'!D38</f>
        <v>23836</v>
      </c>
      <c r="F38" s="915" t="str">
        <f t="shared" si="0"/>
        <v>RESIDENTIAL</v>
      </c>
      <c r="G38" s="915" t="str">
        <f>'House Count'!F38</f>
        <v>RES-SFU</v>
      </c>
      <c r="H38" s="915" t="str">
        <f>'House Count'!H38</f>
        <v>Y</v>
      </c>
    </row>
    <row r="39" spans="1:8" x14ac:dyDescent="0.25">
      <c r="A39" s="914" t="str">
        <f>'House Count'!A39</f>
        <v>431 EAST HUNDRED RD</v>
      </c>
      <c r="B39" s="915">
        <f>'House Count'!E39</f>
        <v>0</v>
      </c>
      <c r="C39" s="915" t="str">
        <f>'House Count'!B39</f>
        <v>CHESTER</v>
      </c>
      <c r="D39" s="915" t="str">
        <f>'House Count'!C39</f>
        <v>VIRGINIA</v>
      </c>
      <c r="E39" s="915">
        <f>'House Count'!D39</f>
        <v>23836</v>
      </c>
      <c r="F39" s="915" t="str">
        <f t="shared" si="0"/>
        <v>BUSINESS</v>
      </c>
      <c r="G39" s="915" t="str">
        <f>'House Count'!F39</f>
        <v>COMM-SU</v>
      </c>
      <c r="H39" s="915" t="str">
        <f>'House Count'!H39</f>
        <v>Y</v>
      </c>
    </row>
    <row r="40" spans="1:8" x14ac:dyDescent="0.25">
      <c r="A40" s="914" t="str">
        <f>'House Count'!A40</f>
        <v>600 EAST HUNDRED RD</v>
      </c>
      <c r="B40" s="915">
        <f>'House Count'!E40</f>
        <v>0</v>
      </c>
      <c r="C40" s="915" t="str">
        <f>'House Count'!B40</f>
        <v>CHESTER</v>
      </c>
      <c r="D40" s="915" t="str">
        <f>'House Count'!C40</f>
        <v>VIRGINIA</v>
      </c>
      <c r="E40" s="915">
        <f>'House Count'!D40</f>
        <v>23836</v>
      </c>
      <c r="F40" s="915" t="str">
        <f t="shared" si="0"/>
        <v>BUSINESS</v>
      </c>
      <c r="G40" s="915" t="str">
        <f>'House Count'!F40</f>
        <v>COMM-SU</v>
      </c>
      <c r="H40" s="915" t="str">
        <f>'House Count'!H40</f>
        <v>Y</v>
      </c>
    </row>
    <row r="41" spans="1:8" x14ac:dyDescent="0.25">
      <c r="A41" s="914" t="str">
        <f>'House Count'!A41</f>
        <v>540 EAST HUNDRED RD</v>
      </c>
      <c r="B41" s="915">
        <f>'House Count'!E41</f>
        <v>0</v>
      </c>
      <c r="C41" s="915" t="str">
        <f>'House Count'!B41</f>
        <v>CHESTER</v>
      </c>
      <c r="D41" s="915" t="str">
        <f>'House Count'!C41</f>
        <v>VIRGINIA</v>
      </c>
      <c r="E41" s="915">
        <f>'House Count'!D41</f>
        <v>23836</v>
      </c>
      <c r="F41" s="915" t="str">
        <f t="shared" si="0"/>
        <v>RESIDENTIAL</v>
      </c>
      <c r="G41" s="915" t="str">
        <f>'House Count'!F41</f>
        <v>RES-SFU</v>
      </c>
      <c r="H41" s="915" t="str">
        <f>'House Count'!H41</f>
        <v>Y</v>
      </c>
    </row>
    <row r="42" spans="1:8" x14ac:dyDescent="0.25">
      <c r="A42" s="914" t="str">
        <f>'House Count'!A42</f>
        <v>520 EAST HUNDRED RD</v>
      </c>
      <c r="B42" s="915">
        <f>'House Count'!E42</f>
        <v>0</v>
      </c>
      <c r="C42" s="915" t="str">
        <f>'House Count'!B42</f>
        <v>CHESTER</v>
      </c>
      <c r="D42" s="915" t="str">
        <f>'House Count'!C42</f>
        <v>VIRGINIA</v>
      </c>
      <c r="E42" s="915">
        <f>'House Count'!D42</f>
        <v>23836</v>
      </c>
      <c r="F42" s="915" t="str">
        <f t="shared" si="0"/>
        <v>RESIDENTIAL</v>
      </c>
      <c r="G42" s="915" t="str">
        <f>'House Count'!F42</f>
        <v>RES-SFU</v>
      </c>
      <c r="H42" s="915" t="str">
        <f>'House Count'!H42</f>
        <v>Y</v>
      </c>
    </row>
    <row r="43" spans="1:8" x14ac:dyDescent="0.25">
      <c r="A43" s="914" t="str">
        <f>'House Count'!A43</f>
        <v>380 EAST HUNDRED RD</v>
      </c>
      <c r="B43" s="915">
        <f>'House Count'!E43</f>
        <v>0</v>
      </c>
      <c r="C43" s="915" t="str">
        <f>'House Count'!B43</f>
        <v>CHESTER</v>
      </c>
      <c r="D43" s="915" t="str">
        <f>'House Count'!C43</f>
        <v>VIRGINIA</v>
      </c>
      <c r="E43" s="915">
        <f>'House Count'!D43</f>
        <v>23836</v>
      </c>
      <c r="F43" s="915" t="str">
        <f t="shared" si="0"/>
        <v/>
      </c>
      <c r="G43" s="915" t="str">
        <f>'House Count'!F43</f>
        <v>VL</v>
      </c>
      <c r="H43" s="915" t="str">
        <f>'House Count'!H43</f>
        <v>N</v>
      </c>
    </row>
    <row r="44" spans="1:8" x14ac:dyDescent="0.25">
      <c r="A44" s="914" t="str">
        <f>'House Count'!A44</f>
        <v>20 EAST HUNDRED RD</v>
      </c>
      <c r="B44" s="915">
        <f>'House Count'!E44</f>
        <v>0</v>
      </c>
      <c r="C44" s="915" t="str">
        <f>'House Count'!B44</f>
        <v>CHESTER</v>
      </c>
      <c r="D44" s="915" t="str">
        <f>'House Count'!C44</f>
        <v>VIRGINIA</v>
      </c>
      <c r="E44" s="915">
        <f>'House Count'!D44</f>
        <v>23836</v>
      </c>
      <c r="F44" s="915" t="str">
        <f t="shared" si="0"/>
        <v/>
      </c>
      <c r="G44" s="915" t="str">
        <f>'House Count'!F44</f>
        <v>VL</v>
      </c>
      <c r="H44" s="915" t="str">
        <f>'House Count'!H44</f>
        <v>N</v>
      </c>
    </row>
    <row r="45" spans="1:8" x14ac:dyDescent="0.25">
      <c r="A45" s="914" t="str">
        <f>'House Count'!A45</f>
        <v>204 E HUNDRED RD</v>
      </c>
      <c r="B45" s="915">
        <f>'House Count'!E45</f>
        <v>0</v>
      </c>
      <c r="C45" s="915" t="str">
        <f>'House Count'!B45</f>
        <v>CHESTER</v>
      </c>
      <c r="D45" s="915" t="str">
        <f>'House Count'!C45</f>
        <v>VIRGINIA</v>
      </c>
      <c r="E45" s="915">
        <f>'House Count'!D45</f>
        <v>23836</v>
      </c>
      <c r="F45" s="915" t="str">
        <f t="shared" si="0"/>
        <v>BUSINESS</v>
      </c>
      <c r="G45" s="915" t="str">
        <f>'House Count'!F45</f>
        <v>COM-MTU</v>
      </c>
      <c r="H45" s="915" t="str">
        <f>'House Count'!H45</f>
        <v>Y</v>
      </c>
    </row>
    <row r="46" spans="1:8" x14ac:dyDescent="0.25">
      <c r="A46" s="914" t="str">
        <f>'House Count'!A46</f>
        <v>220 E HUNDRED RD</v>
      </c>
      <c r="B46" s="915">
        <f>'House Count'!E46</f>
        <v>0</v>
      </c>
      <c r="C46" s="915" t="str">
        <f>'House Count'!B46</f>
        <v>CHESTER</v>
      </c>
      <c r="D46" s="915" t="str">
        <f>'House Count'!C46</f>
        <v>VIRGINIA</v>
      </c>
      <c r="E46" s="915">
        <f>'House Count'!D46</f>
        <v>23836</v>
      </c>
      <c r="F46" s="915" t="str">
        <f t="shared" si="0"/>
        <v>BUSINESS</v>
      </c>
      <c r="G46" s="915" t="str">
        <f>'House Count'!F46</f>
        <v>COM-MTU</v>
      </c>
      <c r="H46" s="915" t="str">
        <f>'House Count'!H46</f>
        <v>Y</v>
      </c>
    </row>
    <row r="47" spans="1:8" x14ac:dyDescent="0.25">
      <c r="A47" s="914" t="str">
        <f>'House Count'!A47</f>
        <v>13301 RIVERS BEND BLVD</v>
      </c>
      <c r="B47" s="915">
        <f>'House Count'!E47</f>
        <v>0</v>
      </c>
      <c r="C47" s="915" t="str">
        <f>'House Count'!B47</f>
        <v>CHESTER</v>
      </c>
      <c r="D47" s="915" t="str">
        <f>'House Count'!C47</f>
        <v>VIRGINIA</v>
      </c>
      <c r="E47" s="915">
        <f>'House Count'!D47</f>
        <v>23836</v>
      </c>
      <c r="F47" s="915" t="str">
        <f t="shared" si="0"/>
        <v>BUSINESS</v>
      </c>
      <c r="G47" s="915" t="str">
        <f>'House Count'!F47</f>
        <v>COMM-SU</v>
      </c>
      <c r="H47" s="915" t="str">
        <f>'House Count'!H47</f>
        <v>Y</v>
      </c>
    </row>
    <row r="48" spans="1:8" x14ac:dyDescent="0.25">
      <c r="A48" s="914" t="str">
        <f>'House Count'!A48</f>
        <v>350 EAST HUNDRED RD</v>
      </c>
      <c r="B48" s="915">
        <f>'House Count'!E48</f>
        <v>0</v>
      </c>
      <c r="C48" s="915" t="str">
        <f>'House Count'!B48</f>
        <v>CHESTER</v>
      </c>
      <c r="D48" s="915" t="str">
        <f>'House Count'!C48</f>
        <v>VIRGINIA</v>
      </c>
      <c r="E48" s="915">
        <f>'House Count'!D48</f>
        <v>23836</v>
      </c>
      <c r="F48" s="915" t="str">
        <f t="shared" si="0"/>
        <v>BUSINESS</v>
      </c>
      <c r="G48" s="915" t="str">
        <f>'House Count'!F48</f>
        <v>COMM-SU</v>
      </c>
      <c r="H48" s="915" t="str">
        <f>'House Count'!H48</f>
        <v>Y</v>
      </c>
    </row>
    <row r="49" spans="1:8" x14ac:dyDescent="0.25">
      <c r="A49" s="914" t="str">
        <f>'House Count'!A49</f>
        <v>231 EAST HUNDRED RD</v>
      </c>
      <c r="B49" s="915">
        <f>'House Count'!E49</f>
        <v>0</v>
      </c>
      <c r="C49" s="915" t="str">
        <f>'House Count'!B49</f>
        <v>CHESTER</v>
      </c>
      <c r="D49" s="915" t="str">
        <f>'House Count'!C49</f>
        <v>VIRGINIA</v>
      </c>
      <c r="E49" s="915">
        <f>'House Count'!D49</f>
        <v>23836</v>
      </c>
      <c r="F49" s="915" t="str">
        <f t="shared" si="0"/>
        <v>BUSINESS</v>
      </c>
      <c r="G49" s="915" t="str">
        <f>'House Count'!F49</f>
        <v>COMM-SU</v>
      </c>
      <c r="H49" s="915" t="str">
        <f>'House Count'!H49</f>
        <v>Y</v>
      </c>
    </row>
    <row r="50" spans="1:8" x14ac:dyDescent="0.25">
      <c r="A50" s="914" t="str">
        <f>'House Count'!A50</f>
        <v>221 EAST HUNDRED RD</v>
      </c>
      <c r="B50" s="915">
        <f>'House Count'!E50</f>
        <v>0</v>
      </c>
      <c r="C50" s="915" t="str">
        <f>'House Count'!B50</f>
        <v>CHESTER</v>
      </c>
      <c r="D50" s="915" t="str">
        <f>'House Count'!C50</f>
        <v>VIRGINIA</v>
      </c>
      <c r="E50" s="915">
        <f>'House Count'!D50</f>
        <v>23836</v>
      </c>
      <c r="F50" s="915" t="str">
        <f t="shared" si="0"/>
        <v>BUSINESS</v>
      </c>
      <c r="G50" s="915" t="str">
        <f>'House Count'!F50</f>
        <v>COMM-SU</v>
      </c>
      <c r="H50" s="915" t="str">
        <f>'House Count'!H50</f>
        <v>Y</v>
      </c>
    </row>
    <row r="51" spans="1:8" x14ac:dyDescent="0.25">
      <c r="A51" s="914" t="str">
        <f>'House Count'!A51</f>
        <v>3 EAST HUNDRED RD</v>
      </c>
      <c r="B51" s="915">
        <f>'House Count'!E51</f>
        <v>0</v>
      </c>
      <c r="C51" s="915" t="str">
        <f>'House Count'!B51</f>
        <v>CHESTER</v>
      </c>
      <c r="D51" s="915" t="str">
        <f>'House Count'!C51</f>
        <v>VIRGINIA</v>
      </c>
      <c r="E51" s="915">
        <f>'House Count'!D51</f>
        <v>23836</v>
      </c>
      <c r="F51" s="915" t="str">
        <f t="shared" si="0"/>
        <v>BUSINESS</v>
      </c>
      <c r="G51" s="915" t="str">
        <f>'House Count'!F51</f>
        <v>COMM-SU</v>
      </c>
      <c r="H51" s="915" t="str">
        <f>'House Count'!H51</f>
        <v>Y</v>
      </c>
    </row>
    <row r="52" spans="1:8" x14ac:dyDescent="0.25">
      <c r="A52" s="914" t="str">
        <f>'House Count'!A52</f>
        <v>5 EAST HUNDRED RD</v>
      </c>
      <c r="B52" s="915">
        <f>'House Count'!E52</f>
        <v>0</v>
      </c>
      <c r="C52" s="915" t="str">
        <f>'House Count'!B52</f>
        <v>CHESTER</v>
      </c>
      <c r="D52" s="915" t="str">
        <f>'House Count'!C52</f>
        <v>VIRGINIA</v>
      </c>
      <c r="E52" s="915">
        <f>'House Count'!D52</f>
        <v>23836</v>
      </c>
      <c r="F52" s="915" t="str">
        <f t="shared" si="0"/>
        <v>BUSINESS</v>
      </c>
      <c r="G52" s="915" t="str">
        <f>'House Count'!F52</f>
        <v>COMM-SU</v>
      </c>
      <c r="H52" s="915" t="str">
        <f>'House Count'!H52</f>
        <v>Y</v>
      </c>
    </row>
    <row r="53" spans="1:8" x14ac:dyDescent="0.25">
      <c r="A53" s="914" t="str">
        <f>'House Count'!A53</f>
        <v>101 EAST HUNDRED RD</v>
      </c>
      <c r="B53" s="915">
        <f>'House Count'!E53</f>
        <v>0</v>
      </c>
      <c r="C53" s="915" t="str">
        <f>'House Count'!B53</f>
        <v>CHESTER</v>
      </c>
      <c r="D53" s="915" t="str">
        <f>'House Count'!C53</f>
        <v>VIRGINIA</v>
      </c>
      <c r="E53" s="915">
        <f>'House Count'!D53</f>
        <v>23836</v>
      </c>
      <c r="F53" s="915" t="str">
        <f t="shared" si="0"/>
        <v/>
      </c>
      <c r="G53" s="915" t="str">
        <f>'House Count'!F53</f>
        <v>VL</v>
      </c>
      <c r="H53" s="915" t="str">
        <f>'House Count'!H53</f>
        <v>N</v>
      </c>
    </row>
    <row r="54" spans="1:8" x14ac:dyDescent="0.25">
      <c r="A54" s="914" t="str">
        <f>'House Count'!A54</f>
        <v>201 JOHNSON CREEK DR</v>
      </c>
      <c r="B54" s="915">
        <f>'House Count'!E54</f>
        <v>0</v>
      </c>
      <c r="C54" s="915" t="str">
        <f>'House Count'!B54</f>
        <v>CHESTER</v>
      </c>
      <c r="D54" s="915" t="str">
        <f>'House Count'!C54</f>
        <v>VIRGINIA</v>
      </c>
      <c r="E54" s="915">
        <f>'House Count'!D54</f>
        <v>23836</v>
      </c>
      <c r="F54" s="915" t="str">
        <f t="shared" si="0"/>
        <v/>
      </c>
      <c r="G54" s="915" t="str">
        <f>'House Count'!F54</f>
        <v>VL</v>
      </c>
      <c r="H54" s="915" t="str">
        <f>'House Count'!H54</f>
        <v>N</v>
      </c>
    </row>
    <row r="55" spans="1:8" x14ac:dyDescent="0.25">
      <c r="A55" s="914" t="str">
        <f>'House Count'!A55</f>
        <v>13330 INGE RD</v>
      </c>
      <c r="B55" s="915">
        <f>'House Count'!E55</f>
        <v>0</v>
      </c>
      <c r="C55" s="915" t="str">
        <f>'House Count'!B55</f>
        <v>CHESTER</v>
      </c>
      <c r="D55" s="915" t="str">
        <f>'House Count'!C55</f>
        <v>VIRGINIA</v>
      </c>
      <c r="E55" s="915">
        <f>'House Count'!D55</f>
        <v>23836</v>
      </c>
      <c r="F55" s="915" t="str">
        <f t="shared" si="0"/>
        <v>RESIDENTIAL</v>
      </c>
      <c r="G55" s="915" t="str">
        <f>'House Count'!F55</f>
        <v>RES-SFU</v>
      </c>
      <c r="H55" s="915" t="str">
        <f>'House Count'!H55</f>
        <v>Y</v>
      </c>
    </row>
    <row r="56" spans="1:8" x14ac:dyDescent="0.25">
      <c r="A56" s="914" t="str">
        <f>'House Count'!A56</f>
        <v>800 EAST HUNDRED RD</v>
      </c>
      <c r="B56" s="915">
        <f>'House Count'!E56</f>
        <v>0</v>
      </c>
      <c r="C56" s="915" t="str">
        <f>'House Count'!B56</f>
        <v>CHESTER</v>
      </c>
      <c r="D56" s="915" t="str">
        <f>'House Count'!C56</f>
        <v>VIRGINIA</v>
      </c>
      <c r="E56" s="915">
        <f>'House Count'!D56</f>
        <v>23836</v>
      </c>
      <c r="F56" s="915" t="str">
        <f t="shared" si="0"/>
        <v>BUSINESS</v>
      </c>
      <c r="G56" s="915" t="str">
        <f>'House Count'!F56</f>
        <v>COMM-SU</v>
      </c>
      <c r="H56" s="915" t="str">
        <f>'House Count'!H56</f>
        <v>Y</v>
      </c>
    </row>
    <row r="57" spans="1:8" x14ac:dyDescent="0.25">
      <c r="A57" s="914" t="str">
        <f>'House Count'!A57</f>
        <v>13335 KINGSTON AVE</v>
      </c>
      <c r="B57" s="915">
        <f>'House Count'!E57</f>
        <v>0</v>
      </c>
      <c r="C57" s="915" t="str">
        <f>'House Count'!B57</f>
        <v>CHESTER</v>
      </c>
      <c r="D57" s="915" t="str">
        <f>'House Count'!C57</f>
        <v>VIRGINIA</v>
      </c>
      <c r="E57" s="915">
        <f>'House Count'!D57</f>
        <v>23836</v>
      </c>
      <c r="F57" s="915" t="str">
        <f t="shared" si="0"/>
        <v>RESIDENTIAL</v>
      </c>
      <c r="G57" s="915" t="str">
        <f>'House Count'!F57</f>
        <v>RES-SFU</v>
      </c>
      <c r="H57" s="915" t="str">
        <f>'House Count'!H57</f>
        <v>Y</v>
      </c>
    </row>
    <row r="58" spans="1:8" x14ac:dyDescent="0.25">
      <c r="A58" s="914" t="str">
        <f>'House Count'!A58</f>
        <v>13200 EAST HUNDRED RD</v>
      </c>
      <c r="B58" s="915">
        <f>'House Count'!E58</f>
        <v>0</v>
      </c>
      <c r="C58" s="915" t="str">
        <f>'House Count'!B58</f>
        <v>CHESTER</v>
      </c>
      <c r="D58" s="915" t="str">
        <f>'House Count'!C58</f>
        <v>VIRGINIA</v>
      </c>
      <c r="E58" s="915">
        <f>'House Count'!D58</f>
        <v>23836</v>
      </c>
      <c r="F58" s="915" t="str">
        <f t="shared" si="0"/>
        <v>BUSINESS</v>
      </c>
      <c r="G58" s="915" t="str">
        <f>'House Count'!F58</f>
        <v>COMM-SU</v>
      </c>
      <c r="H58" s="915" t="str">
        <f>'House Count'!H58</f>
        <v>Y</v>
      </c>
    </row>
    <row r="59" spans="1:8" x14ac:dyDescent="0.25">
      <c r="A59" s="914" t="str">
        <f>'House Count'!A59</f>
        <v>531 E HUNDRED RD</v>
      </c>
      <c r="B59" s="915">
        <f>'House Count'!E59</f>
        <v>0</v>
      </c>
      <c r="C59" s="915" t="str">
        <f>'House Count'!B59</f>
        <v>CHESTER</v>
      </c>
      <c r="D59" s="915" t="str">
        <f>'House Count'!C59</f>
        <v>VIRGINIA</v>
      </c>
      <c r="E59" s="915">
        <f>'House Count'!D59</f>
        <v>23836</v>
      </c>
      <c r="F59" s="915" t="str">
        <f t="shared" si="0"/>
        <v>RESIDENTIAL</v>
      </c>
      <c r="G59" s="915" t="str">
        <f>'House Count'!F59</f>
        <v>RES-SFU</v>
      </c>
      <c r="H59" s="915" t="str">
        <f>'House Count'!H59</f>
        <v>Y</v>
      </c>
    </row>
    <row r="60" spans="1:8" x14ac:dyDescent="0.25">
      <c r="A60" s="914" t="str">
        <f>'House Count'!A60</f>
        <v>13201 BERMUDA ORCHARD LN</v>
      </c>
      <c r="B60" s="915">
        <f>'House Count'!E60</f>
        <v>0</v>
      </c>
      <c r="C60" s="915" t="str">
        <f>'House Count'!B60</f>
        <v>CHESTER</v>
      </c>
      <c r="D60" s="915" t="str">
        <f>'House Count'!C60</f>
        <v>VIRGINIA</v>
      </c>
      <c r="E60" s="915">
        <f>'House Count'!D60</f>
        <v>23836</v>
      </c>
      <c r="F60" s="915" t="str">
        <f t="shared" si="0"/>
        <v>BUSINESS</v>
      </c>
      <c r="G60" s="915" t="str">
        <f>'House Count'!F60</f>
        <v>COMM-SU</v>
      </c>
      <c r="H60" s="915" t="str">
        <f>'House Count'!H60</f>
        <v>Y</v>
      </c>
    </row>
    <row r="61" spans="1:8" x14ac:dyDescent="0.25">
      <c r="A61" s="914" t="str">
        <f>'House Count'!A61</f>
        <v>351 EAST HUNDRED RD</v>
      </c>
      <c r="B61" s="915">
        <f>'House Count'!E61</f>
        <v>0</v>
      </c>
      <c r="C61" s="915" t="str">
        <f>'House Count'!B61</f>
        <v>CHESTER</v>
      </c>
      <c r="D61" s="915" t="str">
        <f>'House Count'!C61</f>
        <v>VIRGINIA</v>
      </c>
      <c r="E61" s="915">
        <f>'House Count'!D61</f>
        <v>23836</v>
      </c>
      <c r="F61" s="915" t="str">
        <f t="shared" si="0"/>
        <v>BUSINESS</v>
      </c>
      <c r="G61" s="915" t="str">
        <f>'House Count'!F61</f>
        <v>COMM-SU</v>
      </c>
      <c r="H61" s="915" t="str">
        <f>'House Count'!H61</f>
        <v>Y</v>
      </c>
    </row>
    <row r="62" spans="1:8" x14ac:dyDescent="0.25">
      <c r="A62" s="914" t="str">
        <f>'House Count'!A62</f>
        <v>381 EAST HUNDRED RD</v>
      </c>
      <c r="B62" s="915">
        <f>'House Count'!E62</f>
        <v>0</v>
      </c>
      <c r="C62" s="915" t="str">
        <f>'House Count'!B62</f>
        <v>CHESTER</v>
      </c>
      <c r="D62" s="915" t="str">
        <f>'House Count'!C62</f>
        <v>VIRGINIA</v>
      </c>
      <c r="E62" s="915">
        <f>'House Count'!D62</f>
        <v>23836</v>
      </c>
      <c r="F62" s="915" t="str">
        <f t="shared" si="0"/>
        <v/>
      </c>
      <c r="G62" s="915" t="str">
        <f>'House Count'!F62</f>
        <v>VL</v>
      </c>
      <c r="H62" s="915" t="str">
        <f>'House Count'!H62</f>
        <v>N</v>
      </c>
    </row>
    <row r="63" spans="1:8" x14ac:dyDescent="0.25">
      <c r="A63" s="914" t="str">
        <f>'House Count'!A63</f>
        <v>421 EAST HUNDRED RD</v>
      </c>
      <c r="B63" s="915">
        <f>'House Count'!E63</f>
        <v>0</v>
      </c>
      <c r="C63" s="915" t="str">
        <f>'House Count'!B63</f>
        <v>CHESTER</v>
      </c>
      <c r="D63" s="915" t="str">
        <f>'House Count'!C63</f>
        <v>VIRGINIA</v>
      </c>
      <c r="E63" s="915">
        <f>'House Count'!D63</f>
        <v>23836</v>
      </c>
      <c r="F63" s="915" t="str">
        <f t="shared" si="0"/>
        <v>RESIDENTIAL</v>
      </c>
      <c r="G63" s="915" t="str">
        <f>'House Count'!F63</f>
        <v>RES-SFU</v>
      </c>
      <c r="H63" s="915" t="str">
        <f>'House Count'!H63</f>
        <v>Y</v>
      </c>
    </row>
    <row r="64" spans="1:8" x14ac:dyDescent="0.25">
      <c r="A64" s="914" t="str">
        <f>'House Count'!A64</f>
        <v>580 EAST HUNDRED RD</v>
      </c>
      <c r="B64" s="915">
        <f>'House Count'!E64</f>
        <v>0</v>
      </c>
      <c r="C64" s="915" t="str">
        <f>'House Count'!B64</f>
        <v>CHESTER</v>
      </c>
      <c r="D64" s="915" t="str">
        <f>'House Count'!C64</f>
        <v>VIRGINIA</v>
      </c>
      <c r="E64" s="915">
        <f>'House Count'!D64</f>
        <v>23836</v>
      </c>
      <c r="F64" s="915" t="str">
        <f t="shared" si="0"/>
        <v/>
      </c>
      <c r="G64" s="915" t="str">
        <f>'House Count'!F64</f>
        <v>VL</v>
      </c>
      <c r="H64" s="915" t="str">
        <f>'House Count'!H64</f>
        <v>N</v>
      </c>
    </row>
    <row r="65" spans="1:8" x14ac:dyDescent="0.25">
      <c r="A65" s="914" t="str">
        <f>'House Count'!A65</f>
        <v>530 EAST HUNDRED RD</v>
      </c>
      <c r="B65" s="915">
        <f>'House Count'!E65</f>
        <v>0</v>
      </c>
      <c r="C65" s="915" t="str">
        <f>'House Count'!B65</f>
        <v>CHESTER</v>
      </c>
      <c r="D65" s="915" t="str">
        <f>'House Count'!C65</f>
        <v>VIRGINIA</v>
      </c>
      <c r="E65" s="915">
        <f>'House Count'!D65</f>
        <v>23836</v>
      </c>
      <c r="F65" s="915" t="str">
        <f t="shared" si="0"/>
        <v>RESIDENTIAL</v>
      </c>
      <c r="G65" s="915" t="str">
        <f>'House Count'!F65</f>
        <v>RES-SFU</v>
      </c>
      <c r="H65" s="915" t="str">
        <f>'House Count'!H65</f>
        <v>Y</v>
      </c>
    </row>
    <row r="66" spans="1:8" x14ac:dyDescent="0.25">
      <c r="A66" s="914" t="str">
        <f>'House Count'!A66</f>
        <v>500 EAST HUNDRED RD</v>
      </c>
      <c r="B66" s="915">
        <f>'House Count'!E66</f>
        <v>0</v>
      </c>
      <c r="C66" s="915" t="str">
        <f>'House Count'!B66</f>
        <v>CHESTER</v>
      </c>
      <c r="D66" s="915" t="str">
        <f>'House Count'!C66</f>
        <v>VIRGINIA</v>
      </c>
      <c r="E66" s="915">
        <f>'House Count'!D66</f>
        <v>23836</v>
      </c>
      <c r="F66" s="915" t="str">
        <f t="shared" si="0"/>
        <v>RESIDENTIAL</v>
      </c>
      <c r="G66" s="915" t="str">
        <f>'House Count'!F66</f>
        <v>RES-SFU</v>
      </c>
      <c r="H66" s="915" t="str">
        <f>'House Count'!H66</f>
        <v>Y</v>
      </c>
    </row>
    <row r="67" spans="1:8" x14ac:dyDescent="0.25">
      <c r="A67" s="914" t="str">
        <f>'House Count'!A67</f>
        <v>370 EAST HUNDRED RD</v>
      </c>
      <c r="B67" s="915">
        <f>'House Count'!E67</f>
        <v>0</v>
      </c>
      <c r="C67" s="915" t="str">
        <f>'House Count'!B67</f>
        <v>CHESTER</v>
      </c>
      <c r="D67" s="915" t="str">
        <f>'House Count'!C67</f>
        <v>VIRGINIA</v>
      </c>
      <c r="E67" s="915">
        <f>'House Count'!D67</f>
        <v>23836</v>
      </c>
      <c r="F67" s="915" t="str">
        <f t="shared" ref="F67:F130" si="1">IF(G67="RES-SFU","RESIDENTIAL",IF(G67="RES-HOA","RESIDENTIAL",IF(G67="RES-MDU","RESIDENTIAL",IF(G67="COMM-SU","BUSINESS",IF(G67="COM-MTU","BUSINESS",IF(G67="ENT","BUSINESS",""))))))</f>
        <v>BUSINESS</v>
      </c>
      <c r="G67" s="915" t="str">
        <f>'House Count'!F67</f>
        <v>COMM-SU</v>
      </c>
      <c r="H67" s="915" t="str">
        <f>'House Count'!H67</f>
        <v>Y</v>
      </c>
    </row>
    <row r="68" spans="1:8" x14ac:dyDescent="0.25">
      <c r="A68" s="914" t="str">
        <f>'House Count'!A68</f>
        <v>100 E HUNDRED RD</v>
      </c>
      <c r="B68" s="915">
        <f>'House Count'!E68</f>
        <v>0</v>
      </c>
      <c r="C68" s="915" t="str">
        <f>'House Count'!B68</f>
        <v>CHESTER</v>
      </c>
      <c r="D68" s="915" t="str">
        <f>'House Count'!C68</f>
        <v>VIRGINIA</v>
      </c>
      <c r="E68" s="915">
        <f>'House Count'!D68</f>
        <v>23836</v>
      </c>
      <c r="F68" s="915" t="str">
        <f t="shared" si="1"/>
        <v>BUSINESS</v>
      </c>
      <c r="G68" s="915" t="str">
        <f>'House Count'!F68</f>
        <v>COM-MTU</v>
      </c>
      <c r="H68" s="915" t="str">
        <f>'House Count'!H68</f>
        <v>Y</v>
      </c>
    </row>
    <row r="69" spans="1:8" x14ac:dyDescent="0.25">
      <c r="A69" s="914" t="str">
        <f>'House Count'!A69</f>
        <v>200 E HUNDRED RD</v>
      </c>
      <c r="B69" s="915">
        <f>'House Count'!E69</f>
        <v>0</v>
      </c>
      <c r="C69" s="915" t="str">
        <f>'House Count'!B69</f>
        <v>CHESTER</v>
      </c>
      <c r="D69" s="915" t="str">
        <f>'House Count'!C69</f>
        <v>VIRGINIA</v>
      </c>
      <c r="E69" s="915">
        <f>'House Count'!D69</f>
        <v>23836</v>
      </c>
      <c r="F69" s="915" t="str">
        <f t="shared" si="1"/>
        <v>BUSINESS</v>
      </c>
      <c r="G69" s="915" t="str">
        <f>'House Count'!F69</f>
        <v>COMM-SU</v>
      </c>
      <c r="H69" s="915" t="str">
        <f>'House Count'!H69</f>
        <v>Y</v>
      </c>
    </row>
    <row r="70" spans="1:8" x14ac:dyDescent="0.25">
      <c r="A70" s="914" t="str">
        <f>'House Count'!A70</f>
        <v>230 E HUNDRED RD</v>
      </c>
      <c r="B70" s="915">
        <f>'House Count'!E70</f>
        <v>0</v>
      </c>
      <c r="C70" s="915" t="str">
        <f>'House Count'!B70</f>
        <v>CHESTER</v>
      </c>
      <c r="D70" s="915" t="str">
        <f>'House Count'!C70</f>
        <v>VIRGINIA</v>
      </c>
      <c r="E70" s="915">
        <f>'House Count'!D70</f>
        <v>23836</v>
      </c>
      <c r="F70" s="915" t="str">
        <f t="shared" si="1"/>
        <v/>
      </c>
      <c r="G70" s="915" t="str">
        <f>'House Count'!F70</f>
        <v>VL</v>
      </c>
      <c r="H70" s="915" t="str">
        <f>'House Count'!H70</f>
        <v>N</v>
      </c>
    </row>
    <row r="71" spans="1:8" x14ac:dyDescent="0.25">
      <c r="A71" s="914" t="str">
        <f>'House Count'!A71</f>
        <v>348 EAST HUNDRED RD</v>
      </c>
      <c r="B71" s="915">
        <f>'House Count'!E71</f>
        <v>0</v>
      </c>
      <c r="C71" s="915" t="str">
        <f>'House Count'!B71</f>
        <v>CHESTER</v>
      </c>
      <c r="D71" s="915" t="str">
        <f>'House Count'!C71</f>
        <v>VIRGINIA</v>
      </c>
      <c r="E71" s="915">
        <f>'House Count'!D71</f>
        <v>23836</v>
      </c>
      <c r="F71" s="915" t="str">
        <f t="shared" si="1"/>
        <v>BUSINESS</v>
      </c>
      <c r="G71" s="915" t="str">
        <f>'House Count'!F71</f>
        <v>COMM-SU</v>
      </c>
      <c r="H71" s="915" t="str">
        <f>'House Count'!H71</f>
        <v>Y</v>
      </c>
    </row>
    <row r="72" spans="1:8" x14ac:dyDescent="0.25">
      <c r="A72" s="914">
        <f>'House Count'!A72</f>
        <v>0</v>
      </c>
      <c r="B72" s="915">
        <f>'House Count'!E72</f>
        <v>0</v>
      </c>
      <c r="C72" s="915">
        <f>'House Count'!B72</f>
        <v>0</v>
      </c>
      <c r="D72" s="915">
        <f>'House Count'!C72</f>
        <v>0</v>
      </c>
      <c r="E72" s="915">
        <f>'House Count'!D72</f>
        <v>0</v>
      </c>
      <c r="F72" s="915" t="str">
        <f t="shared" si="1"/>
        <v/>
      </c>
      <c r="G72" s="915">
        <f>'House Count'!F72</f>
        <v>0</v>
      </c>
      <c r="H72" s="915">
        <f>'House Count'!H72</f>
        <v>0</v>
      </c>
    </row>
    <row r="73" spans="1:8" x14ac:dyDescent="0.25">
      <c r="A73" s="914">
        <f>'House Count'!A73</f>
        <v>0</v>
      </c>
      <c r="B73" s="915">
        <f>'House Count'!E73</f>
        <v>0</v>
      </c>
      <c r="C73" s="915">
        <f>'House Count'!B73</f>
        <v>0</v>
      </c>
      <c r="D73" s="915">
        <f>'House Count'!C73</f>
        <v>0</v>
      </c>
      <c r="E73" s="915">
        <f>'House Count'!D73</f>
        <v>0</v>
      </c>
      <c r="F73" s="915" t="str">
        <f t="shared" si="1"/>
        <v/>
      </c>
      <c r="G73" s="915">
        <f>'House Count'!F73</f>
        <v>0</v>
      </c>
      <c r="H73" s="915">
        <f>'House Count'!H73</f>
        <v>0</v>
      </c>
    </row>
    <row r="74" spans="1:8" x14ac:dyDescent="0.25">
      <c r="A74" s="914">
        <f>'House Count'!A74</f>
        <v>0</v>
      </c>
      <c r="B74" s="915">
        <f>'House Count'!E74</f>
        <v>0</v>
      </c>
      <c r="C74" s="915">
        <f>'House Count'!B74</f>
        <v>0</v>
      </c>
      <c r="D74" s="915">
        <f>'House Count'!C74</f>
        <v>0</v>
      </c>
      <c r="E74" s="915">
        <f>'House Count'!D74</f>
        <v>0</v>
      </c>
      <c r="F74" s="915" t="str">
        <f t="shared" si="1"/>
        <v/>
      </c>
      <c r="G74" s="915">
        <f>'House Count'!F74</f>
        <v>0</v>
      </c>
      <c r="H74" s="915">
        <f>'House Count'!H74</f>
        <v>0</v>
      </c>
    </row>
    <row r="75" spans="1:8" x14ac:dyDescent="0.25">
      <c r="A75" s="914">
        <f>'House Count'!A75</f>
        <v>0</v>
      </c>
      <c r="B75" s="915">
        <f>'House Count'!E75</f>
        <v>0</v>
      </c>
      <c r="C75" s="915">
        <f>'House Count'!B75</f>
        <v>0</v>
      </c>
      <c r="D75" s="915">
        <f>'House Count'!C75</f>
        <v>0</v>
      </c>
      <c r="E75" s="915">
        <f>'House Count'!D75</f>
        <v>0</v>
      </c>
      <c r="F75" s="915" t="str">
        <f t="shared" si="1"/>
        <v/>
      </c>
      <c r="G75" s="915">
        <f>'House Count'!F75</f>
        <v>0</v>
      </c>
      <c r="H75" s="915">
        <f>'House Count'!H75</f>
        <v>0</v>
      </c>
    </row>
    <row r="76" spans="1:8" x14ac:dyDescent="0.25">
      <c r="A76" s="914">
        <f>'House Count'!A76</f>
        <v>0</v>
      </c>
      <c r="B76" s="915">
        <f>'House Count'!E76</f>
        <v>0</v>
      </c>
      <c r="C76" s="915">
        <f>'House Count'!B76</f>
        <v>0</v>
      </c>
      <c r="D76" s="915">
        <f>'House Count'!C76</f>
        <v>0</v>
      </c>
      <c r="E76" s="915">
        <f>'House Count'!D76</f>
        <v>0</v>
      </c>
      <c r="F76" s="915" t="str">
        <f t="shared" si="1"/>
        <v/>
      </c>
      <c r="G76" s="915">
        <f>'House Count'!F76</f>
        <v>0</v>
      </c>
      <c r="H76" s="915">
        <f>'House Count'!H76</f>
        <v>0</v>
      </c>
    </row>
    <row r="77" spans="1:8" x14ac:dyDescent="0.25">
      <c r="A77" s="914">
        <f>'House Count'!A77</f>
        <v>0</v>
      </c>
      <c r="B77" s="915">
        <f>'House Count'!E77</f>
        <v>0</v>
      </c>
      <c r="C77" s="915">
        <f>'House Count'!B77</f>
        <v>0</v>
      </c>
      <c r="D77" s="915">
        <f>'House Count'!C77</f>
        <v>0</v>
      </c>
      <c r="E77" s="915">
        <f>'House Count'!D77</f>
        <v>0</v>
      </c>
      <c r="F77" s="915" t="str">
        <f t="shared" si="1"/>
        <v/>
      </c>
      <c r="G77" s="915">
        <f>'House Count'!F77</f>
        <v>0</v>
      </c>
      <c r="H77" s="915">
        <f>'House Count'!H77</f>
        <v>0</v>
      </c>
    </row>
    <row r="78" spans="1:8" x14ac:dyDescent="0.25">
      <c r="A78" s="914">
        <f>'House Count'!A78</f>
        <v>0</v>
      </c>
      <c r="B78" s="915">
        <f>'House Count'!E78</f>
        <v>0</v>
      </c>
      <c r="C78" s="915">
        <f>'House Count'!B78</f>
        <v>0</v>
      </c>
      <c r="D78" s="915">
        <f>'House Count'!C78</f>
        <v>0</v>
      </c>
      <c r="E78" s="915">
        <f>'House Count'!D78</f>
        <v>0</v>
      </c>
      <c r="F78" s="915" t="str">
        <f t="shared" si="1"/>
        <v/>
      </c>
      <c r="G78" s="915">
        <f>'House Count'!F78</f>
        <v>0</v>
      </c>
      <c r="H78" s="915">
        <f>'House Count'!H78</f>
        <v>0</v>
      </c>
    </row>
    <row r="79" spans="1:8" x14ac:dyDescent="0.25">
      <c r="A79" s="914">
        <f>'House Count'!A79</f>
        <v>0</v>
      </c>
      <c r="B79" s="915">
        <f>'House Count'!E79</f>
        <v>0</v>
      </c>
      <c r="C79" s="915">
        <f>'House Count'!B79</f>
        <v>0</v>
      </c>
      <c r="D79" s="915">
        <f>'House Count'!C79</f>
        <v>0</v>
      </c>
      <c r="E79" s="915">
        <f>'House Count'!D79</f>
        <v>0</v>
      </c>
      <c r="F79" s="915" t="str">
        <f t="shared" si="1"/>
        <v/>
      </c>
      <c r="G79" s="915">
        <f>'House Count'!F79</f>
        <v>0</v>
      </c>
      <c r="H79" s="915">
        <f>'House Count'!H79</f>
        <v>0</v>
      </c>
    </row>
    <row r="80" spans="1:8" x14ac:dyDescent="0.25">
      <c r="A80" s="914">
        <f>'House Count'!A80</f>
        <v>0</v>
      </c>
      <c r="B80" s="915">
        <f>'House Count'!E80</f>
        <v>0</v>
      </c>
      <c r="C80" s="915">
        <f>'House Count'!B80</f>
        <v>0</v>
      </c>
      <c r="D80" s="915">
        <f>'House Count'!C80</f>
        <v>0</v>
      </c>
      <c r="E80" s="915">
        <f>'House Count'!D80</f>
        <v>0</v>
      </c>
      <c r="F80" s="915" t="str">
        <f t="shared" si="1"/>
        <v/>
      </c>
      <c r="G80" s="915">
        <f>'House Count'!F80</f>
        <v>0</v>
      </c>
      <c r="H80" s="915">
        <f>'House Count'!H80</f>
        <v>0</v>
      </c>
    </row>
    <row r="81" spans="1:8" x14ac:dyDescent="0.25">
      <c r="A81" s="914">
        <f>'House Count'!A81</f>
        <v>0</v>
      </c>
      <c r="B81" s="915">
        <f>'House Count'!E81</f>
        <v>0</v>
      </c>
      <c r="C81" s="915">
        <f>'House Count'!B81</f>
        <v>0</v>
      </c>
      <c r="D81" s="915">
        <f>'House Count'!C81</f>
        <v>0</v>
      </c>
      <c r="E81" s="915">
        <f>'House Count'!D81</f>
        <v>0</v>
      </c>
      <c r="F81" s="915" t="str">
        <f t="shared" si="1"/>
        <v/>
      </c>
      <c r="G81" s="915">
        <f>'House Count'!F81</f>
        <v>0</v>
      </c>
      <c r="H81" s="915">
        <f>'House Count'!H81</f>
        <v>0</v>
      </c>
    </row>
    <row r="82" spans="1:8" x14ac:dyDescent="0.25">
      <c r="A82" s="914">
        <f>'House Count'!A82</f>
        <v>0</v>
      </c>
      <c r="B82" s="915">
        <f>'House Count'!E82</f>
        <v>0</v>
      </c>
      <c r="C82" s="915">
        <f>'House Count'!B82</f>
        <v>0</v>
      </c>
      <c r="D82" s="915">
        <f>'House Count'!C82</f>
        <v>0</v>
      </c>
      <c r="E82" s="915">
        <f>'House Count'!D82</f>
        <v>0</v>
      </c>
      <c r="F82" s="915" t="str">
        <f t="shared" si="1"/>
        <v/>
      </c>
      <c r="G82" s="915">
        <f>'House Count'!F82</f>
        <v>0</v>
      </c>
      <c r="H82" s="915">
        <f>'House Count'!H82</f>
        <v>0</v>
      </c>
    </row>
    <row r="83" spans="1:8" x14ac:dyDescent="0.25">
      <c r="A83" s="914">
        <f>'House Count'!A83</f>
        <v>0</v>
      </c>
      <c r="B83" s="915">
        <f>'House Count'!E83</f>
        <v>0</v>
      </c>
      <c r="C83" s="915">
        <f>'House Count'!B83</f>
        <v>0</v>
      </c>
      <c r="D83" s="915">
        <f>'House Count'!C83</f>
        <v>0</v>
      </c>
      <c r="E83" s="915">
        <f>'House Count'!D83</f>
        <v>0</v>
      </c>
      <c r="F83" s="915" t="str">
        <f t="shared" si="1"/>
        <v/>
      </c>
      <c r="G83" s="915">
        <f>'House Count'!F83</f>
        <v>0</v>
      </c>
      <c r="H83" s="915">
        <f>'House Count'!H83</f>
        <v>0</v>
      </c>
    </row>
    <row r="84" spans="1:8" x14ac:dyDescent="0.25">
      <c r="A84" s="914">
        <f>'House Count'!A84</f>
        <v>0</v>
      </c>
      <c r="B84" s="915">
        <f>'House Count'!E84</f>
        <v>0</v>
      </c>
      <c r="C84" s="915">
        <f>'House Count'!B84</f>
        <v>0</v>
      </c>
      <c r="D84" s="915">
        <f>'House Count'!C84</f>
        <v>0</v>
      </c>
      <c r="E84" s="915">
        <f>'House Count'!D84</f>
        <v>0</v>
      </c>
      <c r="F84" s="915" t="str">
        <f t="shared" si="1"/>
        <v/>
      </c>
      <c r="G84" s="915">
        <f>'House Count'!F84</f>
        <v>0</v>
      </c>
      <c r="H84" s="915">
        <f>'House Count'!H84</f>
        <v>0</v>
      </c>
    </row>
    <row r="85" spans="1:8" x14ac:dyDescent="0.25">
      <c r="A85" s="914">
        <f>'House Count'!A85</f>
        <v>0</v>
      </c>
      <c r="B85" s="915">
        <f>'House Count'!E85</f>
        <v>0</v>
      </c>
      <c r="C85" s="915">
        <f>'House Count'!B85</f>
        <v>0</v>
      </c>
      <c r="D85" s="915">
        <f>'House Count'!C85</f>
        <v>0</v>
      </c>
      <c r="E85" s="915">
        <f>'House Count'!D85</f>
        <v>0</v>
      </c>
      <c r="F85" s="915" t="str">
        <f t="shared" si="1"/>
        <v/>
      </c>
      <c r="G85" s="915">
        <f>'House Count'!F85</f>
        <v>0</v>
      </c>
      <c r="H85" s="915">
        <f>'House Count'!H85</f>
        <v>0</v>
      </c>
    </row>
    <row r="86" spans="1:8" x14ac:dyDescent="0.25">
      <c r="A86" s="914">
        <f>'House Count'!A86</f>
        <v>0</v>
      </c>
      <c r="B86" s="915">
        <f>'House Count'!E86</f>
        <v>0</v>
      </c>
      <c r="C86" s="915">
        <f>'House Count'!B86</f>
        <v>0</v>
      </c>
      <c r="D86" s="915">
        <f>'House Count'!C86</f>
        <v>0</v>
      </c>
      <c r="E86" s="915">
        <f>'House Count'!D86</f>
        <v>0</v>
      </c>
      <c r="F86" s="915" t="str">
        <f t="shared" si="1"/>
        <v/>
      </c>
      <c r="G86" s="915">
        <f>'House Count'!F86</f>
        <v>0</v>
      </c>
      <c r="H86" s="915">
        <f>'House Count'!H86</f>
        <v>0</v>
      </c>
    </row>
    <row r="87" spans="1:8" x14ac:dyDescent="0.25">
      <c r="A87" s="914">
        <f>'House Count'!A87</f>
        <v>0</v>
      </c>
      <c r="B87" s="915">
        <f>'House Count'!E87</f>
        <v>0</v>
      </c>
      <c r="C87" s="915">
        <f>'House Count'!B87</f>
        <v>0</v>
      </c>
      <c r="D87" s="915">
        <f>'House Count'!C87</f>
        <v>0</v>
      </c>
      <c r="E87" s="915">
        <f>'House Count'!D87</f>
        <v>0</v>
      </c>
      <c r="F87" s="915" t="str">
        <f t="shared" si="1"/>
        <v/>
      </c>
      <c r="G87" s="915">
        <f>'House Count'!F87</f>
        <v>0</v>
      </c>
      <c r="H87" s="915">
        <f>'House Count'!H87</f>
        <v>0</v>
      </c>
    </row>
    <row r="88" spans="1:8" x14ac:dyDescent="0.25">
      <c r="A88" s="914">
        <f>'House Count'!A88</f>
        <v>0</v>
      </c>
      <c r="B88" s="915">
        <f>'House Count'!E88</f>
        <v>0</v>
      </c>
      <c r="C88" s="915">
        <f>'House Count'!B88</f>
        <v>0</v>
      </c>
      <c r="D88" s="915">
        <f>'House Count'!C88</f>
        <v>0</v>
      </c>
      <c r="E88" s="915">
        <f>'House Count'!D88</f>
        <v>0</v>
      </c>
      <c r="F88" s="915" t="str">
        <f t="shared" si="1"/>
        <v/>
      </c>
      <c r="G88" s="915">
        <f>'House Count'!F88</f>
        <v>0</v>
      </c>
      <c r="H88" s="915">
        <f>'House Count'!H88</f>
        <v>0</v>
      </c>
    </row>
    <row r="89" spans="1:8" x14ac:dyDescent="0.25">
      <c r="A89" s="914">
        <f>'House Count'!A89</f>
        <v>0</v>
      </c>
      <c r="B89" s="915">
        <f>'House Count'!E89</f>
        <v>0</v>
      </c>
      <c r="C89" s="915">
        <f>'House Count'!B89</f>
        <v>0</v>
      </c>
      <c r="D89" s="915">
        <f>'House Count'!C89</f>
        <v>0</v>
      </c>
      <c r="E89" s="915">
        <f>'House Count'!D89</f>
        <v>0</v>
      </c>
      <c r="F89" s="915" t="str">
        <f t="shared" si="1"/>
        <v/>
      </c>
      <c r="G89" s="915">
        <f>'House Count'!F89</f>
        <v>0</v>
      </c>
      <c r="H89" s="915">
        <f>'House Count'!H89</f>
        <v>0</v>
      </c>
    </row>
    <row r="90" spans="1:8" x14ac:dyDescent="0.25">
      <c r="A90" s="914">
        <f>'House Count'!A90</f>
        <v>0</v>
      </c>
      <c r="B90" s="915">
        <f>'House Count'!E90</f>
        <v>0</v>
      </c>
      <c r="C90" s="915">
        <f>'House Count'!B90</f>
        <v>0</v>
      </c>
      <c r="D90" s="915">
        <f>'House Count'!C90</f>
        <v>0</v>
      </c>
      <c r="E90" s="915">
        <f>'House Count'!D90</f>
        <v>0</v>
      </c>
      <c r="F90" s="915" t="str">
        <f t="shared" si="1"/>
        <v/>
      </c>
      <c r="G90" s="915">
        <f>'House Count'!F90</f>
        <v>0</v>
      </c>
      <c r="H90" s="915">
        <f>'House Count'!H90</f>
        <v>0</v>
      </c>
    </row>
    <row r="91" spans="1:8" x14ac:dyDescent="0.25">
      <c r="A91" s="914">
        <f>'House Count'!A91</f>
        <v>0</v>
      </c>
      <c r="B91" s="915">
        <f>'House Count'!E91</f>
        <v>0</v>
      </c>
      <c r="C91" s="915">
        <f>'House Count'!B91</f>
        <v>0</v>
      </c>
      <c r="D91" s="915">
        <f>'House Count'!C91</f>
        <v>0</v>
      </c>
      <c r="E91" s="915">
        <f>'House Count'!D91</f>
        <v>0</v>
      </c>
      <c r="F91" s="915" t="str">
        <f t="shared" si="1"/>
        <v/>
      </c>
      <c r="G91" s="915">
        <f>'House Count'!F91</f>
        <v>0</v>
      </c>
      <c r="H91" s="915">
        <f>'House Count'!H91</f>
        <v>0</v>
      </c>
    </row>
    <row r="92" spans="1:8" x14ac:dyDescent="0.25">
      <c r="A92" s="914">
        <f>'House Count'!A92</f>
        <v>0</v>
      </c>
      <c r="B92" s="915">
        <f>'House Count'!E92</f>
        <v>0</v>
      </c>
      <c r="C92" s="915">
        <f>'House Count'!B92</f>
        <v>0</v>
      </c>
      <c r="D92" s="915">
        <f>'House Count'!C92</f>
        <v>0</v>
      </c>
      <c r="E92" s="915">
        <f>'House Count'!D92</f>
        <v>0</v>
      </c>
      <c r="F92" s="915" t="str">
        <f t="shared" si="1"/>
        <v/>
      </c>
      <c r="G92" s="915">
        <f>'House Count'!F92</f>
        <v>0</v>
      </c>
      <c r="H92" s="915">
        <f>'House Count'!H92</f>
        <v>0</v>
      </c>
    </row>
    <row r="93" spans="1:8" x14ac:dyDescent="0.25">
      <c r="A93" s="914">
        <f>'House Count'!A93</f>
        <v>0</v>
      </c>
      <c r="B93" s="915">
        <f>'House Count'!E93</f>
        <v>0</v>
      </c>
      <c r="C93" s="915">
        <f>'House Count'!B93</f>
        <v>0</v>
      </c>
      <c r="D93" s="915">
        <f>'House Count'!C93</f>
        <v>0</v>
      </c>
      <c r="E93" s="915">
        <f>'House Count'!D93</f>
        <v>0</v>
      </c>
      <c r="F93" s="915" t="str">
        <f t="shared" si="1"/>
        <v/>
      </c>
      <c r="G93" s="915">
        <f>'House Count'!F93</f>
        <v>0</v>
      </c>
      <c r="H93" s="915">
        <f>'House Count'!H93</f>
        <v>0</v>
      </c>
    </row>
    <row r="94" spans="1:8" x14ac:dyDescent="0.25">
      <c r="A94" s="914">
        <f>'House Count'!A94</f>
        <v>0</v>
      </c>
      <c r="B94" s="915">
        <f>'House Count'!E94</f>
        <v>0</v>
      </c>
      <c r="C94" s="915">
        <f>'House Count'!B94</f>
        <v>0</v>
      </c>
      <c r="D94" s="915">
        <f>'House Count'!C94</f>
        <v>0</v>
      </c>
      <c r="E94" s="915">
        <f>'House Count'!D94</f>
        <v>0</v>
      </c>
      <c r="F94" s="915" t="str">
        <f t="shared" si="1"/>
        <v/>
      </c>
      <c r="G94" s="915">
        <f>'House Count'!F94</f>
        <v>0</v>
      </c>
      <c r="H94" s="915">
        <f>'House Count'!H94</f>
        <v>0</v>
      </c>
    </row>
    <row r="95" spans="1:8" x14ac:dyDescent="0.25">
      <c r="A95" s="914">
        <f>'House Count'!A95</f>
        <v>0</v>
      </c>
      <c r="B95" s="915">
        <f>'House Count'!E95</f>
        <v>0</v>
      </c>
      <c r="C95" s="915">
        <f>'House Count'!B95</f>
        <v>0</v>
      </c>
      <c r="D95" s="915">
        <f>'House Count'!C95</f>
        <v>0</v>
      </c>
      <c r="E95" s="915">
        <f>'House Count'!D95</f>
        <v>0</v>
      </c>
      <c r="F95" s="915" t="str">
        <f t="shared" si="1"/>
        <v/>
      </c>
      <c r="G95" s="915">
        <f>'House Count'!F95</f>
        <v>0</v>
      </c>
      <c r="H95" s="915">
        <f>'House Count'!H95</f>
        <v>0</v>
      </c>
    </row>
    <row r="96" spans="1:8" x14ac:dyDescent="0.25">
      <c r="A96" s="914">
        <f>'House Count'!A96</f>
        <v>0</v>
      </c>
      <c r="B96" s="915">
        <f>'House Count'!E96</f>
        <v>0</v>
      </c>
      <c r="C96" s="915">
        <f>'House Count'!B96</f>
        <v>0</v>
      </c>
      <c r="D96" s="915">
        <f>'House Count'!C96</f>
        <v>0</v>
      </c>
      <c r="E96" s="915">
        <f>'House Count'!D96</f>
        <v>0</v>
      </c>
      <c r="F96" s="915" t="str">
        <f t="shared" si="1"/>
        <v/>
      </c>
      <c r="G96" s="915">
        <f>'House Count'!F96</f>
        <v>0</v>
      </c>
      <c r="H96" s="915">
        <f>'House Count'!H96</f>
        <v>0</v>
      </c>
    </row>
    <row r="97" spans="1:8" x14ac:dyDescent="0.25">
      <c r="A97" s="914">
        <f>'House Count'!A97</f>
        <v>0</v>
      </c>
      <c r="B97" s="915">
        <f>'House Count'!E97</f>
        <v>0</v>
      </c>
      <c r="C97" s="915">
        <f>'House Count'!B97</f>
        <v>0</v>
      </c>
      <c r="D97" s="915">
        <f>'House Count'!C97</f>
        <v>0</v>
      </c>
      <c r="E97" s="915">
        <f>'House Count'!D97</f>
        <v>0</v>
      </c>
      <c r="F97" s="915" t="str">
        <f t="shared" si="1"/>
        <v/>
      </c>
      <c r="G97" s="915">
        <f>'House Count'!F97</f>
        <v>0</v>
      </c>
      <c r="H97" s="915">
        <f>'House Count'!H97</f>
        <v>0</v>
      </c>
    </row>
    <row r="98" spans="1:8" x14ac:dyDescent="0.25">
      <c r="A98" s="914">
        <f>'House Count'!A98</f>
        <v>0</v>
      </c>
      <c r="B98" s="915">
        <f>'House Count'!E98</f>
        <v>0</v>
      </c>
      <c r="C98" s="915">
        <f>'House Count'!B98</f>
        <v>0</v>
      </c>
      <c r="D98" s="915">
        <f>'House Count'!C98</f>
        <v>0</v>
      </c>
      <c r="E98" s="915">
        <f>'House Count'!D98</f>
        <v>0</v>
      </c>
      <c r="F98" s="915" t="str">
        <f t="shared" si="1"/>
        <v/>
      </c>
      <c r="G98" s="915">
        <f>'House Count'!F98</f>
        <v>0</v>
      </c>
      <c r="H98" s="915">
        <f>'House Count'!H98</f>
        <v>0</v>
      </c>
    </row>
    <row r="99" spans="1:8" x14ac:dyDescent="0.25">
      <c r="A99" s="914">
        <f>'House Count'!A99</f>
        <v>0</v>
      </c>
      <c r="B99" s="915">
        <f>'House Count'!E99</f>
        <v>0</v>
      </c>
      <c r="C99" s="915">
        <f>'House Count'!B99</f>
        <v>0</v>
      </c>
      <c r="D99" s="915">
        <f>'House Count'!C99</f>
        <v>0</v>
      </c>
      <c r="E99" s="915">
        <f>'House Count'!D99</f>
        <v>0</v>
      </c>
      <c r="F99" s="915" t="str">
        <f t="shared" si="1"/>
        <v/>
      </c>
      <c r="G99" s="915">
        <f>'House Count'!F99</f>
        <v>0</v>
      </c>
      <c r="H99" s="915">
        <f>'House Count'!H99</f>
        <v>0</v>
      </c>
    </row>
    <row r="100" spans="1:8" x14ac:dyDescent="0.25">
      <c r="A100" s="914">
        <f>'House Count'!A100</f>
        <v>0</v>
      </c>
      <c r="B100" s="915">
        <f>'House Count'!E100</f>
        <v>0</v>
      </c>
      <c r="C100" s="915">
        <f>'House Count'!B100</f>
        <v>0</v>
      </c>
      <c r="D100" s="915">
        <f>'House Count'!C100</f>
        <v>0</v>
      </c>
      <c r="E100" s="915">
        <f>'House Count'!D100</f>
        <v>0</v>
      </c>
      <c r="F100" s="915" t="str">
        <f t="shared" si="1"/>
        <v/>
      </c>
      <c r="G100" s="915">
        <f>'House Count'!F100</f>
        <v>0</v>
      </c>
      <c r="H100" s="915">
        <f>'House Count'!H100</f>
        <v>0</v>
      </c>
    </row>
    <row r="101" spans="1:8" x14ac:dyDescent="0.25">
      <c r="A101" s="914">
        <f>'House Count'!A101</f>
        <v>0</v>
      </c>
      <c r="B101" s="915">
        <f>'House Count'!E101</f>
        <v>0</v>
      </c>
      <c r="C101" s="915">
        <f>'House Count'!B101</f>
        <v>0</v>
      </c>
      <c r="D101" s="915">
        <f>'House Count'!C101</f>
        <v>0</v>
      </c>
      <c r="E101" s="915">
        <f>'House Count'!D101</f>
        <v>0</v>
      </c>
      <c r="F101" s="915" t="str">
        <f t="shared" si="1"/>
        <v/>
      </c>
      <c r="G101" s="915">
        <f>'House Count'!F101</f>
        <v>0</v>
      </c>
      <c r="H101" s="915">
        <f>'House Count'!H101</f>
        <v>0</v>
      </c>
    </row>
    <row r="102" spans="1:8" x14ac:dyDescent="0.25">
      <c r="A102" s="914">
        <f>'House Count'!A102</f>
        <v>0</v>
      </c>
      <c r="B102" s="915">
        <f>'House Count'!E102</f>
        <v>0</v>
      </c>
      <c r="C102" s="915">
        <f>'House Count'!B102</f>
        <v>0</v>
      </c>
      <c r="D102" s="915">
        <f>'House Count'!C102</f>
        <v>0</v>
      </c>
      <c r="E102" s="915">
        <f>'House Count'!D102</f>
        <v>0</v>
      </c>
      <c r="F102" s="915" t="str">
        <f t="shared" si="1"/>
        <v/>
      </c>
      <c r="G102" s="915">
        <f>'House Count'!F102</f>
        <v>0</v>
      </c>
      <c r="H102" s="915">
        <f>'House Count'!H102</f>
        <v>0</v>
      </c>
    </row>
    <row r="103" spans="1:8" x14ac:dyDescent="0.25">
      <c r="A103" s="914">
        <f>'House Count'!A103</f>
        <v>0</v>
      </c>
      <c r="B103" s="915">
        <f>'House Count'!E103</f>
        <v>0</v>
      </c>
      <c r="C103" s="915">
        <f>'House Count'!B103</f>
        <v>0</v>
      </c>
      <c r="D103" s="915">
        <f>'House Count'!C103</f>
        <v>0</v>
      </c>
      <c r="E103" s="915">
        <f>'House Count'!D103</f>
        <v>0</v>
      </c>
      <c r="F103" s="915" t="str">
        <f t="shared" si="1"/>
        <v/>
      </c>
      <c r="G103" s="915">
        <f>'House Count'!F103</f>
        <v>0</v>
      </c>
      <c r="H103" s="915">
        <f>'House Count'!H103</f>
        <v>0</v>
      </c>
    </row>
    <row r="104" spans="1:8" x14ac:dyDescent="0.25">
      <c r="A104" s="914">
        <f>'House Count'!A104</f>
        <v>0</v>
      </c>
      <c r="B104" s="915">
        <f>'House Count'!E104</f>
        <v>0</v>
      </c>
      <c r="C104" s="915">
        <f>'House Count'!B104</f>
        <v>0</v>
      </c>
      <c r="D104" s="915">
        <f>'House Count'!C104</f>
        <v>0</v>
      </c>
      <c r="E104" s="915">
        <f>'House Count'!D104</f>
        <v>0</v>
      </c>
      <c r="F104" s="915" t="str">
        <f t="shared" si="1"/>
        <v/>
      </c>
      <c r="G104" s="915">
        <f>'House Count'!F104</f>
        <v>0</v>
      </c>
      <c r="H104" s="915">
        <f>'House Count'!H104</f>
        <v>0</v>
      </c>
    </row>
    <row r="105" spans="1:8" x14ac:dyDescent="0.25">
      <c r="A105" s="914">
        <f>'House Count'!A105</f>
        <v>0</v>
      </c>
      <c r="B105" s="915">
        <f>'House Count'!E105</f>
        <v>0</v>
      </c>
      <c r="C105" s="915">
        <f>'House Count'!B105</f>
        <v>0</v>
      </c>
      <c r="D105" s="915">
        <f>'House Count'!C105</f>
        <v>0</v>
      </c>
      <c r="E105" s="915">
        <f>'House Count'!D105</f>
        <v>0</v>
      </c>
      <c r="F105" s="915" t="str">
        <f t="shared" si="1"/>
        <v/>
      </c>
      <c r="G105" s="915">
        <f>'House Count'!F105</f>
        <v>0</v>
      </c>
      <c r="H105" s="915">
        <f>'House Count'!H105</f>
        <v>0</v>
      </c>
    </row>
    <row r="106" spans="1:8" x14ac:dyDescent="0.25">
      <c r="A106" s="914">
        <f>'House Count'!A106</f>
        <v>0</v>
      </c>
      <c r="B106" s="915">
        <f>'House Count'!E106</f>
        <v>0</v>
      </c>
      <c r="C106" s="915">
        <f>'House Count'!B106</f>
        <v>0</v>
      </c>
      <c r="D106" s="915">
        <f>'House Count'!C106</f>
        <v>0</v>
      </c>
      <c r="E106" s="915">
        <f>'House Count'!D106</f>
        <v>0</v>
      </c>
      <c r="F106" s="915" t="str">
        <f t="shared" si="1"/>
        <v/>
      </c>
      <c r="G106" s="915">
        <f>'House Count'!F106</f>
        <v>0</v>
      </c>
      <c r="H106" s="915">
        <f>'House Count'!H106</f>
        <v>0</v>
      </c>
    </row>
    <row r="107" spans="1:8" x14ac:dyDescent="0.25">
      <c r="A107" s="914">
        <f>'House Count'!A107</f>
        <v>0</v>
      </c>
      <c r="B107" s="915">
        <f>'House Count'!E107</f>
        <v>0</v>
      </c>
      <c r="C107" s="915">
        <f>'House Count'!B107</f>
        <v>0</v>
      </c>
      <c r="D107" s="915">
        <f>'House Count'!C107</f>
        <v>0</v>
      </c>
      <c r="E107" s="915">
        <f>'House Count'!D107</f>
        <v>0</v>
      </c>
      <c r="F107" s="915" t="str">
        <f t="shared" si="1"/>
        <v/>
      </c>
      <c r="G107" s="915">
        <f>'House Count'!F107</f>
        <v>0</v>
      </c>
      <c r="H107" s="915">
        <f>'House Count'!H107</f>
        <v>0</v>
      </c>
    </row>
    <row r="108" spans="1:8" x14ac:dyDescent="0.25">
      <c r="A108" s="914">
        <f>'House Count'!A108</f>
        <v>0</v>
      </c>
      <c r="B108" s="915">
        <f>'House Count'!E108</f>
        <v>0</v>
      </c>
      <c r="C108" s="915">
        <f>'House Count'!B108</f>
        <v>0</v>
      </c>
      <c r="D108" s="915">
        <f>'House Count'!C108</f>
        <v>0</v>
      </c>
      <c r="E108" s="915">
        <f>'House Count'!D108</f>
        <v>0</v>
      </c>
      <c r="F108" s="915" t="str">
        <f t="shared" si="1"/>
        <v/>
      </c>
      <c r="G108" s="915">
        <f>'House Count'!F108</f>
        <v>0</v>
      </c>
      <c r="H108" s="915">
        <f>'House Count'!H108</f>
        <v>0</v>
      </c>
    </row>
    <row r="109" spans="1:8" x14ac:dyDescent="0.25">
      <c r="A109" s="914">
        <f>'House Count'!A109</f>
        <v>0</v>
      </c>
      <c r="B109" s="915">
        <f>'House Count'!E109</f>
        <v>0</v>
      </c>
      <c r="C109" s="915">
        <f>'House Count'!B109</f>
        <v>0</v>
      </c>
      <c r="D109" s="915">
        <f>'House Count'!C109</f>
        <v>0</v>
      </c>
      <c r="E109" s="915">
        <f>'House Count'!D109</f>
        <v>0</v>
      </c>
      <c r="F109" s="915" t="str">
        <f t="shared" si="1"/>
        <v/>
      </c>
      <c r="G109" s="915">
        <f>'House Count'!F109</f>
        <v>0</v>
      </c>
      <c r="H109" s="915">
        <f>'House Count'!H109</f>
        <v>0</v>
      </c>
    </row>
    <row r="110" spans="1:8" x14ac:dyDescent="0.25">
      <c r="A110" s="914">
        <f>'House Count'!A110</f>
        <v>0</v>
      </c>
      <c r="B110" s="915">
        <f>'House Count'!E110</f>
        <v>0</v>
      </c>
      <c r="C110" s="915">
        <f>'House Count'!B110</f>
        <v>0</v>
      </c>
      <c r="D110" s="915">
        <f>'House Count'!C110</f>
        <v>0</v>
      </c>
      <c r="E110" s="915">
        <f>'House Count'!D110</f>
        <v>0</v>
      </c>
      <c r="F110" s="915" t="str">
        <f t="shared" si="1"/>
        <v/>
      </c>
      <c r="G110" s="915">
        <f>'House Count'!F110</f>
        <v>0</v>
      </c>
      <c r="H110" s="915">
        <f>'House Count'!H110</f>
        <v>0</v>
      </c>
    </row>
    <row r="111" spans="1:8" x14ac:dyDescent="0.25">
      <c r="A111" s="914">
        <f>'House Count'!A111</f>
        <v>0</v>
      </c>
      <c r="B111" s="915">
        <f>'House Count'!E111</f>
        <v>0</v>
      </c>
      <c r="C111" s="915">
        <f>'House Count'!B111</f>
        <v>0</v>
      </c>
      <c r="D111" s="915">
        <f>'House Count'!C111</f>
        <v>0</v>
      </c>
      <c r="E111" s="915">
        <f>'House Count'!D111</f>
        <v>0</v>
      </c>
      <c r="F111" s="915" t="str">
        <f t="shared" si="1"/>
        <v/>
      </c>
      <c r="G111" s="915">
        <f>'House Count'!F111</f>
        <v>0</v>
      </c>
      <c r="H111" s="915">
        <f>'House Count'!H111</f>
        <v>0</v>
      </c>
    </row>
    <row r="112" spans="1:8" x14ac:dyDescent="0.25">
      <c r="A112" s="914">
        <f>'House Count'!A112</f>
        <v>0</v>
      </c>
      <c r="B112" s="915">
        <f>'House Count'!E112</f>
        <v>0</v>
      </c>
      <c r="C112" s="915">
        <f>'House Count'!B112</f>
        <v>0</v>
      </c>
      <c r="D112" s="915">
        <f>'House Count'!C112</f>
        <v>0</v>
      </c>
      <c r="E112" s="915">
        <f>'House Count'!D112</f>
        <v>0</v>
      </c>
      <c r="F112" s="915" t="str">
        <f t="shared" si="1"/>
        <v/>
      </c>
      <c r="G112" s="915">
        <f>'House Count'!F112</f>
        <v>0</v>
      </c>
      <c r="H112" s="915">
        <f>'House Count'!H112</f>
        <v>0</v>
      </c>
    </row>
    <row r="113" spans="1:8" x14ac:dyDescent="0.25">
      <c r="A113" s="914">
        <f>'House Count'!A113</f>
        <v>0</v>
      </c>
      <c r="B113" s="915">
        <f>'House Count'!E113</f>
        <v>0</v>
      </c>
      <c r="C113" s="915">
        <f>'House Count'!B113</f>
        <v>0</v>
      </c>
      <c r="D113" s="915">
        <f>'House Count'!C113</f>
        <v>0</v>
      </c>
      <c r="E113" s="915">
        <f>'House Count'!D113</f>
        <v>0</v>
      </c>
      <c r="F113" s="915" t="str">
        <f t="shared" si="1"/>
        <v/>
      </c>
      <c r="G113" s="915">
        <f>'House Count'!F113</f>
        <v>0</v>
      </c>
      <c r="H113" s="915">
        <f>'House Count'!H113</f>
        <v>0</v>
      </c>
    </row>
    <row r="114" spans="1:8" x14ac:dyDescent="0.25">
      <c r="A114" s="914">
        <f>'House Count'!A114</f>
        <v>0</v>
      </c>
      <c r="B114" s="915">
        <f>'House Count'!E114</f>
        <v>0</v>
      </c>
      <c r="C114" s="915">
        <f>'House Count'!B114</f>
        <v>0</v>
      </c>
      <c r="D114" s="915">
        <f>'House Count'!C114</f>
        <v>0</v>
      </c>
      <c r="E114" s="915">
        <f>'House Count'!D114</f>
        <v>0</v>
      </c>
      <c r="F114" s="915" t="str">
        <f t="shared" si="1"/>
        <v/>
      </c>
      <c r="G114" s="915">
        <f>'House Count'!F114</f>
        <v>0</v>
      </c>
      <c r="H114" s="915">
        <f>'House Count'!H114</f>
        <v>0</v>
      </c>
    </row>
    <row r="115" spans="1:8" x14ac:dyDescent="0.25">
      <c r="A115" s="914">
        <f>'House Count'!A115</f>
        <v>0</v>
      </c>
      <c r="B115" s="915">
        <f>'House Count'!E115</f>
        <v>0</v>
      </c>
      <c r="C115" s="915">
        <f>'House Count'!B115</f>
        <v>0</v>
      </c>
      <c r="D115" s="915">
        <f>'House Count'!C115</f>
        <v>0</v>
      </c>
      <c r="E115" s="915">
        <f>'House Count'!D115</f>
        <v>0</v>
      </c>
      <c r="F115" s="915" t="str">
        <f t="shared" si="1"/>
        <v/>
      </c>
      <c r="G115" s="915">
        <f>'House Count'!F115</f>
        <v>0</v>
      </c>
      <c r="H115" s="915">
        <f>'House Count'!H115</f>
        <v>0</v>
      </c>
    </row>
    <row r="116" spans="1:8" x14ac:dyDescent="0.25">
      <c r="A116" s="914">
        <f>'House Count'!A116</f>
        <v>0</v>
      </c>
      <c r="B116" s="915">
        <f>'House Count'!E116</f>
        <v>0</v>
      </c>
      <c r="C116" s="915">
        <f>'House Count'!B116</f>
        <v>0</v>
      </c>
      <c r="D116" s="915">
        <f>'House Count'!C116</f>
        <v>0</v>
      </c>
      <c r="E116" s="915">
        <f>'House Count'!D116</f>
        <v>0</v>
      </c>
      <c r="F116" s="915" t="str">
        <f t="shared" si="1"/>
        <v/>
      </c>
      <c r="G116" s="915">
        <f>'House Count'!F116</f>
        <v>0</v>
      </c>
      <c r="H116" s="915">
        <f>'House Count'!H116</f>
        <v>0</v>
      </c>
    </row>
    <row r="117" spans="1:8" x14ac:dyDescent="0.25">
      <c r="A117" s="914">
        <f>'House Count'!A117</f>
        <v>0</v>
      </c>
      <c r="B117" s="915">
        <f>'House Count'!E117</f>
        <v>0</v>
      </c>
      <c r="C117" s="915">
        <f>'House Count'!B117</f>
        <v>0</v>
      </c>
      <c r="D117" s="915">
        <f>'House Count'!C117</f>
        <v>0</v>
      </c>
      <c r="E117" s="915">
        <f>'House Count'!D117</f>
        <v>0</v>
      </c>
      <c r="F117" s="915" t="str">
        <f t="shared" si="1"/>
        <v/>
      </c>
      <c r="G117" s="915">
        <f>'House Count'!F117</f>
        <v>0</v>
      </c>
      <c r="H117" s="915">
        <f>'House Count'!H117</f>
        <v>0</v>
      </c>
    </row>
    <row r="118" spans="1:8" x14ac:dyDescent="0.25">
      <c r="A118" s="914">
        <f>'House Count'!A118</f>
        <v>0</v>
      </c>
      <c r="B118" s="915">
        <f>'House Count'!E118</f>
        <v>0</v>
      </c>
      <c r="C118" s="915">
        <f>'House Count'!B118</f>
        <v>0</v>
      </c>
      <c r="D118" s="915">
        <f>'House Count'!C118</f>
        <v>0</v>
      </c>
      <c r="E118" s="915">
        <f>'House Count'!D118</f>
        <v>0</v>
      </c>
      <c r="F118" s="915" t="str">
        <f t="shared" si="1"/>
        <v/>
      </c>
      <c r="G118" s="915">
        <f>'House Count'!F118</f>
        <v>0</v>
      </c>
      <c r="H118" s="915">
        <f>'House Count'!H118</f>
        <v>0</v>
      </c>
    </row>
    <row r="119" spans="1:8" x14ac:dyDescent="0.25">
      <c r="A119" s="914">
        <f>'House Count'!A119</f>
        <v>0</v>
      </c>
      <c r="B119" s="915">
        <f>'House Count'!E119</f>
        <v>0</v>
      </c>
      <c r="C119" s="915">
        <f>'House Count'!B119</f>
        <v>0</v>
      </c>
      <c r="D119" s="915">
        <f>'House Count'!C119</f>
        <v>0</v>
      </c>
      <c r="E119" s="915">
        <f>'House Count'!D119</f>
        <v>0</v>
      </c>
      <c r="F119" s="915" t="str">
        <f t="shared" si="1"/>
        <v/>
      </c>
      <c r="G119" s="915">
        <f>'House Count'!F119</f>
        <v>0</v>
      </c>
      <c r="H119" s="915">
        <f>'House Count'!H119</f>
        <v>0</v>
      </c>
    </row>
    <row r="120" spans="1:8" x14ac:dyDescent="0.25">
      <c r="A120" s="914">
        <f>'House Count'!A120</f>
        <v>0</v>
      </c>
      <c r="B120" s="915">
        <f>'House Count'!E120</f>
        <v>0</v>
      </c>
      <c r="C120" s="915">
        <f>'House Count'!B120</f>
        <v>0</v>
      </c>
      <c r="D120" s="915">
        <f>'House Count'!C120</f>
        <v>0</v>
      </c>
      <c r="E120" s="915">
        <f>'House Count'!D120</f>
        <v>0</v>
      </c>
      <c r="F120" s="915" t="str">
        <f t="shared" si="1"/>
        <v/>
      </c>
      <c r="G120" s="915">
        <f>'House Count'!F120</f>
        <v>0</v>
      </c>
      <c r="H120" s="915">
        <f>'House Count'!H120</f>
        <v>0</v>
      </c>
    </row>
    <row r="121" spans="1:8" x14ac:dyDescent="0.25">
      <c r="A121" s="914">
        <f>'House Count'!A121</f>
        <v>0</v>
      </c>
      <c r="B121" s="915">
        <f>'House Count'!E121</f>
        <v>0</v>
      </c>
      <c r="C121" s="915">
        <f>'House Count'!B121</f>
        <v>0</v>
      </c>
      <c r="D121" s="915">
        <f>'House Count'!C121</f>
        <v>0</v>
      </c>
      <c r="E121" s="915">
        <f>'House Count'!D121</f>
        <v>0</v>
      </c>
      <c r="F121" s="915" t="str">
        <f t="shared" si="1"/>
        <v/>
      </c>
      <c r="G121" s="915">
        <f>'House Count'!F121</f>
        <v>0</v>
      </c>
      <c r="H121" s="915">
        <f>'House Count'!H121</f>
        <v>0</v>
      </c>
    </row>
    <row r="122" spans="1:8" x14ac:dyDescent="0.25">
      <c r="A122" s="914">
        <f>'House Count'!A122</f>
        <v>0</v>
      </c>
      <c r="B122" s="915">
        <f>'House Count'!E122</f>
        <v>0</v>
      </c>
      <c r="C122" s="915">
        <f>'House Count'!B122</f>
        <v>0</v>
      </c>
      <c r="D122" s="915">
        <f>'House Count'!C122</f>
        <v>0</v>
      </c>
      <c r="E122" s="915">
        <f>'House Count'!D122</f>
        <v>0</v>
      </c>
      <c r="F122" s="915" t="str">
        <f t="shared" si="1"/>
        <v/>
      </c>
      <c r="G122" s="915">
        <f>'House Count'!F122</f>
        <v>0</v>
      </c>
      <c r="H122" s="915">
        <f>'House Count'!H122</f>
        <v>0</v>
      </c>
    </row>
    <row r="123" spans="1:8" x14ac:dyDescent="0.25">
      <c r="A123" s="914">
        <f>'House Count'!A123</f>
        <v>0</v>
      </c>
      <c r="B123" s="915">
        <f>'House Count'!E123</f>
        <v>0</v>
      </c>
      <c r="C123" s="915">
        <f>'House Count'!B123</f>
        <v>0</v>
      </c>
      <c r="D123" s="915">
        <f>'House Count'!C123</f>
        <v>0</v>
      </c>
      <c r="E123" s="915">
        <f>'House Count'!D123</f>
        <v>0</v>
      </c>
      <c r="F123" s="915" t="str">
        <f t="shared" si="1"/>
        <v/>
      </c>
      <c r="G123" s="915">
        <f>'House Count'!F123</f>
        <v>0</v>
      </c>
      <c r="H123" s="915">
        <f>'House Count'!H123</f>
        <v>0</v>
      </c>
    </row>
    <row r="124" spans="1:8" x14ac:dyDescent="0.25">
      <c r="A124" s="914">
        <f>'House Count'!A124</f>
        <v>0</v>
      </c>
      <c r="B124" s="915">
        <f>'House Count'!E124</f>
        <v>0</v>
      </c>
      <c r="C124" s="915">
        <f>'House Count'!B124</f>
        <v>0</v>
      </c>
      <c r="D124" s="915">
        <f>'House Count'!C124</f>
        <v>0</v>
      </c>
      <c r="E124" s="915">
        <f>'House Count'!D124</f>
        <v>0</v>
      </c>
      <c r="F124" s="915" t="str">
        <f t="shared" si="1"/>
        <v/>
      </c>
      <c r="G124" s="915">
        <f>'House Count'!F124</f>
        <v>0</v>
      </c>
      <c r="H124" s="915">
        <f>'House Count'!H124</f>
        <v>0</v>
      </c>
    </row>
    <row r="125" spans="1:8" x14ac:dyDescent="0.25">
      <c r="A125" s="914">
        <f>'House Count'!A125</f>
        <v>0</v>
      </c>
      <c r="B125" s="915">
        <f>'House Count'!E125</f>
        <v>0</v>
      </c>
      <c r="C125" s="915">
        <f>'House Count'!B125</f>
        <v>0</v>
      </c>
      <c r="D125" s="915">
        <f>'House Count'!C125</f>
        <v>0</v>
      </c>
      <c r="E125" s="915">
        <f>'House Count'!D125</f>
        <v>0</v>
      </c>
      <c r="F125" s="915" t="str">
        <f t="shared" si="1"/>
        <v/>
      </c>
      <c r="G125" s="915">
        <f>'House Count'!F125</f>
        <v>0</v>
      </c>
      <c r="H125" s="915">
        <f>'House Count'!H125</f>
        <v>0</v>
      </c>
    </row>
    <row r="126" spans="1:8" x14ac:dyDescent="0.25">
      <c r="A126" s="914">
        <f>'House Count'!A126</f>
        <v>0</v>
      </c>
      <c r="B126" s="915">
        <f>'House Count'!E126</f>
        <v>0</v>
      </c>
      <c r="C126" s="915">
        <f>'House Count'!B126</f>
        <v>0</v>
      </c>
      <c r="D126" s="915">
        <f>'House Count'!C126</f>
        <v>0</v>
      </c>
      <c r="E126" s="915">
        <f>'House Count'!D126</f>
        <v>0</v>
      </c>
      <c r="F126" s="915" t="str">
        <f t="shared" si="1"/>
        <v/>
      </c>
      <c r="G126" s="915">
        <f>'House Count'!F126</f>
        <v>0</v>
      </c>
      <c r="H126" s="915">
        <f>'House Count'!H126</f>
        <v>0</v>
      </c>
    </row>
    <row r="127" spans="1:8" x14ac:dyDescent="0.25">
      <c r="A127" s="914">
        <f>'House Count'!A127</f>
        <v>0</v>
      </c>
      <c r="B127" s="915">
        <f>'House Count'!E127</f>
        <v>0</v>
      </c>
      <c r="C127" s="915">
        <f>'House Count'!B127</f>
        <v>0</v>
      </c>
      <c r="D127" s="915">
        <f>'House Count'!C127</f>
        <v>0</v>
      </c>
      <c r="E127" s="915">
        <f>'House Count'!D127</f>
        <v>0</v>
      </c>
      <c r="F127" s="915" t="str">
        <f t="shared" si="1"/>
        <v/>
      </c>
      <c r="G127" s="915">
        <f>'House Count'!F127</f>
        <v>0</v>
      </c>
      <c r="H127" s="915">
        <f>'House Count'!H127</f>
        <v>0</v>
      </c>
    </row>
    <row r="128" spans="1:8" x14ac:dyDescent="0.25">
      <c r="A128" s="914">
        <f>'House Count'!A128</f>
        <v>0</v>
      </c>
      <c r="B128" s="915">
        <f>'House Count'!E128</f>
        <v>0</v>
      </c>
      <c r="C128" s="915">
        <f>'House Count'!B128</f>
        <v>0</v>
      </c>
      <c r="D128" s="915">
        <f>'House Count'!C128</f>
        <v>0</v>
      </c>
      <c r="E128" s="915">
        <f>'House Count'!D128</f>
        <v>0</v>
      </c>
      <c r="F128" s="915" t="str">
        <f t="shared" si="1"/>
        <v/>
      </c>
      <c r="G128" s="915">
        <f>'House Count'!F128</f>
        <v>0</v>
      </c>
      <c r="H128" s="915">
        <f>'House Count'!H128</f>
        <v>0</v>
      </c>
    </row>
    <row r="129" spans="1:8" x14ac:dyDescent="0.25">
      <c r="A129" s="914">
        <f>'House Count'!A129</f>
        <v>0</v>
      </c>
      <c r="B129" s="915">
        <f>'House Count'!E129</f>
        <v>0</v>
      </c>
      <c r="C129" s="915">
        <f>'House Count'!B129</f>
        <v>0</v>
      </c>
      <c r="D129" s="915">
        <f>'House Count'!C129</f>
        <v>0</v>
      </c>
      <c r="E129" s="915">
        <f>'House Count'!D129</f>
        <v>0</v>
      </c>
      <c r="F129" s="915" t="str">
        <f t="shared" si="1"/>
        <v/>
      </c>
      <c r="G129" s="915">
        <f>'House Count'!F129</f>
        <v>0</v>
      </c>
      <c r="H129" s="915">
        <f>'House Count'!H129</f>
        <v>0</v>
      </c>
    </row>
    <row r="130" spans="1:8" x14ac:dyDescent="0.25">
      <c r="A130" s="914">
        <f>'House Count'!A130</f>
        <v>0</v>
      </c>
      <c r="B130" s="915">
        <f>'House Count'!E130</f>
        <v>0</v>
      </c>
      <c r="C130" s="915">
        <f>'House Count'!B130</f>
        <v>0</v>
      </c>
      <c r="D130" s="915">
        <f>'House Count'!C130</f>
        <v>0</v>
      </c>
      <c r="E130" s="915">
        <f>'House Count'!D130</f>
        <v>0</v>
      </c>
      <c r="F130" s="915" t="str">
        <f t="shared" si="1"/>
        <v/>
      </c>
      <c r="G130" s="915">
        <f>'House Count'!F130</f>
        <v>0</v>
      </c>
      <c r="H130" s="915">
        <f>'House Count'!H130</f>
        <v>0</v>
      </c>
    </row>
    <row r="131" spans="1:8" x14ac:dyDescent="0.25">
      <c r="A131" s="914">
        <f>'House Count'!A131</f>
        <v>0</v>
      </c>
      <c r="B131" s="915">
        <f>'House Count'!E131</f>
        <v>0</v>
      </c>
      <c r="C131" s="915">
        <f>'House Count'!B131</f>
        <v>0</v>
      </c>
      <c r="D131" s="915">
        <f>'House Count'!C131</f>
        <v>0</v>
      </c>
      <c r="E131" s="915">
        <f>'House Count'!D131</f>
        <v>0</v>
      </c>
      <c r="F131" s="915" t="str">
        <f t="shared" ref="F131:F194" si="2">IF(G131="RES-SFU","RESIDENTIAL",IF(G131="RES-HOA","RESIDENTIAL",IF(G131="RES-MDU","RESIDENTIAL",IF(G131="COMM-SU","BUSINESS",IF(G131="COM-MTU","BUSINESS",IF(G131="ENT","BUSINESS",""))))))</f>
        <v/>
      </c>
      <c r="G131" s="915">
        <f>'House Count'!F131</f>
        <v>0</v>
      </c>
      <c r="H131" s="915">
        <f>'House Count'!H131</f>
        <v>0</v>
      </c>
    </row>
    <row r="132" spans="1:8" x14ac:dyDescent="0.25">
      <c r="A132" s="914">
        <f>'House Count'!A132</f>
        <v>0</v>
      </c>
      <c r="B132" s="915">
        <f>'House Count'!E132</f>
        <v>0</v>
      </c>
      <c r="C132" s="915">
        <f>'House Count'!B132</f>
        <v>0</v>
      </c>
      <c r="D132" s="915">
        <f>'House Count'!C132</f>
        <v>0</v>
      </c>
      <c r="E132" s="915">
        <f>'House Count'!D132</f>
        <v>0</v>
      </c>
      <c r="F132" s="915" t="str">
        <f t="shared" si="2"/>
        <v/>
      </c>
      <c r="G132" s="915">
        <f>'House Count'!F132</f>
        <v>0</v>
      </c>
      <c r="H132" s="915">
        <f>'House Count'!H132</f>
        <v>0</v>
      </c>
    </row>
    <row r="133" spans="1:8" x14ac:dyDescent="0.25">
      <c r="A133" s="914">
        <f>'House Count'!A133</f>
        <v>0</v>
      </c>
      <c r="B133" s="915">
        <f>'House Count'!E133</f>
        <v>0</v>
      </c>
      <c r="C133" s="915">
        <f>'House Count'!B133</f>
        <v>0</v>
      </c>
      <c r="D133" s="915">
        <f>'House Count'!C133</f>
        <v>0</v>
      </c>
      <c r="E133" s="915">
        <f>'House Count'!D133</f>
        <v>0</v>
      </c>
      <c r="F133" s="915" t="str">
        <f t="shared" si="2"/>
        <v/>
      </c>
      <c r="G133" s="915">
        <f>'House Count'!F133</f>
        <v>0</v>
      </c>
      <c r="H133" s="915">
        <f>'House Count'!H133</f>
        <v>0</v>
      </c>
    </row>
    <row r="134" spans="1:8" x14ac:dyDescent="0.25">
      <c r="A134" s="914">
        <f>'House Count'!A134</f>
        <v>0</v>
      </c>
      <c r="B134" s="915">
        <f>'House Count'!E134</f>
        <v>0</v>
      </c>
      <c r="C134" s="915">
        <f>'House Count'!B134</f>
        <v>0</v>
      </c>
      <c r="D134" s="915">
        <f>'House Count'!C134</f>
        <v>0</v>
      </c>
      <c r="E134" s="915">
        <f>'House Count'!D134</f>
        <v>0</v>
      </c>
      <c r="F134" s="915" t="str">
        <f t="shared" si="2"/>
        <v/>
      </c>
      <c r="G134" s="915">
        <f>'House Count'!F134</f>
        <v>0</v>
      </c>
      <c r="H134" s="915">
        <f>'House Count'!H134</f>
        <v>0</v>
      </c>
    </row>
    <row r="135" spans="1:8" x14ac:dyDescent="0.25">
      <c r="A135" s="914">
        <f>'House Count'!A135</f>
        <v>0</v>
      </c>
      <c r="B135" s="915">
        <f>'House Count'!E135</f>
        <v>0</v>
      </c>
      <c r="C135" s="915">
        <f>'House Count'!B135</f>
        <v>0</v>
      </c>
      <c r="D135" s="915">
        <f>'House Count'!C135</f>
        <v>0</v>
      </c>
      <c r="E135" s="915">
        <f>'House Count'!D135</f>
        <v>0</v>
      </c>
      <c r="F135" s="915" t="str">
        <f t="shared" si="2"/>
        <v/>
      </c>
      <c r="G135" s="915">
        <f>'House Count'!F135</f>
        <v>0</v>
      </c>
      <c r="H135" s="915">
        <f>'House Count'!H135</f>
        <v>0</v>
      </c>
    </row>
    <row r="136" spans="1:8" x14ac:dyDescent="0.25">
      <c r="A136" s="914">
        <f>'House Count'!A136</f>
        <v>0</v>
      </c>
      <c r="B136" s="915">
        <f>'House Count'!E136</f>
        <v>0</v>
      </c>
      <c r="C136" s="915">
        <f>'House Count'!B136</f>
        <v>0</v>
      </c>
      <c r="D136" s="915">
        <f>'House Count'!C136</f>
        <v>0</v>
      </c>
      <c r="E136" s="915">
        <f>'House Count'!D136</f>
        <v>0</v>
      </c>
      <c r="F136" s="915" t="str">
        <f t="shared" si="2"/>
        <v/>
      </c>
      <c r="G136" s="915">
        <f>'House Count'!F136</f>
        <v>0</v>
      </c>
      <c r="H136" s="915">
        <f>'House Count'!H136</f>
        <v>0</v>
      </c>
    </row>
    <row r="137" spans="1:8" x14ac:dyDescent="0.25">
      <c r="A137" s="914">
        <f>'House Count'!A137</f>
        <v>0</v>
      </c>
      <c r="B137" s="915">
        <f>'House Count'!E137</f>
        <v>0</v>
      </c>
      <c r="C137" s="915">
        <f>'House Count'!B137</f>
        <v>0</v>
      </c>
      <c r="D137" s="915">
        <f>'House Count'!C137</f>
        <v>0</v>
      </c>
      <c r="E137" s="915">
        <f>'House Count'!D137</f>
        <v>0</v>
      </c>
      <c r="F137" s="915" t="str">
        <f t="shared" si="2"/>
        <v/>
      </c>
      <c r="G137" s="915">
        <f>'House Count'!F137</f>
        <v>0</v>
      </c>
      <c r="H137" s="915">
        <f>'House Count'!H137</f>
        <v>0</v>
      </c>
    </row>
    <row r="138" spans="1:8" x14ac:dyDescent="0.25">
      <c r="A138" s="914">
        <f>'House Count'!A138</f>
        <v>0</v>
      </c>
      <c r="B138" s="915">
        <f>'House Count'!E138</f>
        <v>0</v>
      </c>
      <c r="C138" s="915">
        <f>'House Count'!B138</f>
        <v>0</v>
      </c>
      <c r="D138" s="915">
        <f>'House Count'!C138</f>
        <v>0</v>
      </c>
      <c r="E138" s="915">
        <f>'House Count'!D138</f>
        <v>0</v>
      </c>
      <c r="F138" s="915" t="str">
        <f t="shared" si="2"/>
        <v/>
      </c>
      <c r="G138" s="915">
        <f>'House Count'!F138</f>
        <v>0</v>
      </c>
      <c r="H138" s="915">
        <f>'House Count'!H138</f>
        <v>0</v>
      </c>
    </row>
    <row r="139" spans="1:8" x14ac:dyDescent="0.25">
      <c r="A139" s="914">
        <f>'House Count'!A139</f>
        <v>0</v>
      </c>
      <c r="B139" s="915">
        <f>'House Count'!E139</f>
        <v>0</v>
      </c>
      <c r="C139" s="915">
        <f>'House Count'!B139</f>
        <v>0</v>
      </c>
      <c r="D139" s="915">
        <f>'House Count'!C139</f>
        <v>0</v>
      </c>
      <c r="E139" s="915">
        <f>'House Count'!D139</f>
        <v>0</v>
      </c>
      <c r="F139" s="915" t="str">
        <f t="shared" si="2"/>
        <v/>
      </c>
      <c r="G139" s="915">
        <f>'House Count'!F139</f>
        <v>0</v>
      </c>
      <c r="H139" s="915">
        <f>'House Count'!H139</f>
        <v>0</v>
      </c>
    </row>
    <row r="140" spans="1:8" x14ac:dyDescent="0.25">
      <c r="A140" s="914">
        <f>'House Count'!A140</f>
        <v>0</v>
      </c>
      <c r="B140" s="915">
        <f>'House Count'!E140</f>
        <v>0</v>
      </c>
      <c r="C140" s="915">
        <f>'House Count'!B140</f>
        <v>0</v>
      </c>
      <c r="D140" s="915">
        <f>'House Count'!C140</f>
        <v>0</v>
      </c>
      <c r="E140" s="915">
        <f>'House Count'!D140</f>
        <v>0</v>
      </c>
      <c r="F140" s="915" t="str">
        <f t="shared" si="2"/>
        <v/>
      </c>
      <c r="G140" s="915">
        <f>'House Count'!F140</f>
        <v>0</v>
      </c>
      <c r="H140" s="915">
        <f>'House Count'!H140</f>
        <v>0</v>
      </c>
    </row>
    <row r="141" spans="1:8" x14ac:dyDescent="0.25">
      <c r="A141" s="914">
        <f>'House Count'!A141</f>
        <v>0</v>
      </c>
      <c r="B141" s="915">
        <f>'House Count'!E141</f>
        <v>0</v>
      </c>
      <c r="C141" s="915">
        <f>'House Count'!B141</f>
        <v>0</v>
      </c>
      <c r="D141" s="915">
        <f>'House Count'!C141</f>
        <v>0</v>
      </c>
      <c r="E141" s="915">
        <f>'House Count'!D141</f>
        <v>0</v>
      </c>
      <c r="F141" s="915" t="str">
        <f t="shared" si="2"/>
        <v/>
      </c>
      <c r="G141" s="915">
        <f>'House Count'!F141</f>
        <v>0</v>
      </c>
      <c r="H141" s="915">
        <f>'House Count'!H141</f>
        <v>0</v>
      </c>
    </row>
    <row r="142" spans="1:8" x14ac:dyDescent="0.25">
      <c r="A142" s="914">
        <f>'House Count'!A142</f>
        <v>0</v>
      </c>
      <c r="B142" s="915">
        <f>'House Count'!E142</f>
        <v>0</v>
      </c>
      <c r="C142" s="915">
        <f>'House Count'!B142</f>
        <v>0</v>
      </c>
      <c r="D142" s="915">
        <f>'House Count'!C142</f>
        <v>0</v>
      </c>
      <c r="E142" s="915">
        <f>'House Count'!D142</f>
        <v>0</v>
      </c>
      <c r="F142" s="915" t="str">
        <f t="shared" si="2"/>
        <v/>
      </c>
      <c r="G142" s="915">
        <f>'House Count'!F142</f>
        <v>0</v>
      </c>
      <c r="H142" s="915">
        <f>'House Count'!H142</f>
        <v>0</v>
      </c>
    </row>
    <row r="143" spans="1:8" x14ac:dyDescent="0.25">
      <c r="A143" s="914">
        <f>'House Count'!A143</f>
        <v>0</v>
      </c>
      <c r="B143" s="915">
        <f>'House Count'!E143</f>
        <v>0</v>
      </c>
      <c r="C143" s="915">
        <f>'House Count'!B143</f>
        <v>0</v>
      </c>
      <c r="D143" s="915">
        <f>'House Count'!C143</f>
        <v>0</v>
      </c>
      <c r="E143" s="915">
        <f>'House Count'!D143</f>
        <v>0</v>
      </c>
      <c r="F143" s="915" t="str">
        <f t="shared" si="2"/>
        <v/>
      </c>
      <c r="G143" s="915">
        <f>'House Count'!F143</f>
        <v>0</v>
      </c>
      <c r="H143" s="915">
        <f>'House Count'!H143</f>
        <v>0</v>
      </c>
    </row>
    <row r="144" spans="1:8" x14ac:dyDescent="0.25">
      <c r="A144" s="914">
        <f>'House Count'!A144</f>
        <v>0</v>
      </c>
      <c r="B144" s="915">
        <f>'House Count'!E144</f>
        <v>0</v>
      </c>
      <c r="C144" s="915">
        <f>'House Count'!B144</f>
        <v>0</v>
      </c>
      <c r="D144" s="915">
        <f>'House Count'!C144</f>
        <v>0</v>
      </c>
      <c r="E144" s="915">
        <f>'House Count'!D144</f>
        <v>0</v>
      </c>
      <c r="F144" s="915" t="str">
        <f t="shared" si="2"/>
        <v/>
      </c>
      <c r="G144" s="915">
        <f>'House Count'!F144</f>
        <v>0</v>
      </c>
      <c r="H144" s="915">
        <f>'House Count'!H144</f>
        <v>0</v>
      </c>
    </row>
    <row r="145" spans="1:8" x14ac:dyDescent="0.25">
      <c r="A145" s="914">
        <f>'House Count'!A145</f>
        <v>0</v>
      </c>
      <c r="B145" s="915">
        <f>'House Count'!E145</f>
        <v>0</v>
      </c>
      <c r="C145" s="915">
        <f>'House Count'!B145</f>
        <v>0</v>
      </c>
      <c r="D145" s="915">
        <f>'House Count'!C145</f>
        <v>0</v>
      </c>
      <c r="E145" s="915">
        <f>'House Count'!D145</f>
        <v>0</v>
      </c>
      <c r="F145" s="915" t="str">
        <f t="shared" si="2"/>
        <v/>
      </c>
      <c r="G145" s="915">
        <f>'House Count'!F145</f>
        <v>0</v>
      </c>
      <c r="H145" s="915">
        <f>'House Count'!H145</f>
        <v>0</v>
      </c>
    </row>
    <row r="146" spans="1:8" x14ac:dyDescent="0.25">
      <c r="A146" s="914">
        <f>'House Count'!A146</f>
        <v>0</v>
      </c>
      <c r="B146" s="915">
        <f>'House Count'!E146</f>
        <v>0</v>
      </c>
      <c r="C146" s="915">
        <f>'House Count'!B146</f>
        <v>0</v>
      </c>
      <c r="D146" s="915">
        <f>'House Count'!C146</f>
        <v>0</v>
      </c>
      <c r="E146" s="915">
        <f>'House Count'!D146</f>
        <v>0</v>
      </c>
      <c r="F146" s="915" t="str">
        <f t="shared" si="2"/>
        <v/>
      </c>
      <c r="G146" s="915">
        <f>'House Count'!F146</f>
        <v>0</v>
      </c>
      <c r="H146" s="915">
        <f>'House Count'!H146</f>
        <v>0</v>
      </c>
    </row>
    <row r="147" spans="1:8" x14ac:dyDescent="0.25">
      <c r="A147" s="914">
        <f>'House Count'!A147</f>
        <v>0</v>
      </c>
      <c r="B147" s="915">
        <f>'House Count'!E147</f>
        <v>0</v>
      </c>
      <c r="C147" s="915">
        <f>'House Count'!B147</f>
        <v>0</v>
      </c>
      <c r="D147" s="915">
        <f>'House Count'!C147</f>
        <v>0</v>
      </c>
      <c r="E147" s="915">
        <f>'House Count'!D147</f>
        <v>0</v>
      </c>
      <c r="F147" s="915" t="str">
        <f t="shared" si="2"/>
        <v/>
      </c>
      <c r="G147" s="915">
        <f>'House Count'!F147</f>
        <v>0</v>
      </c>
      <c r="H147" s="915">
        <f>'House Count'!H147</f>
        <v>0</v>
      </c>
    </row>
    <row r="148" spans="1:8" x14ac:dyDescent="0.25">
      <c r="A148" s="914">
        <f>'House Count'!A148</f>
        <v>0</v>
      </c>
      <c r="B148" s="915">
        <f>'House Count'!E148</f>
        <v>0</v>
      </c>
      <c r="C148" s="915">
        <f>'House Count'!B148</f>
        <v>0</v>
      </c>
      <c r="D148" s="915">
        <f>'House Count'!C148</f>
        <v>0</v>
      </c>
      <c r="E148" s="915">
        <f>'House Count'!D148</f>
        <v>0</v>
      </c>
      <c r="F148" s="915" t="str">
        <f t="shared" si="2"/>
        <v/>
      </c>
      <c r="G148" s="915">
        <f>'House Count'!F148</f>
        <v>0</v>
      </c>
      <c r="H148" s="915">
        <f>'House Count'!H148</f>
        <v>0</v>
      </c>
    </row>
    <row r="149" spans="1:8" x14ac:dyDescent="0.25">
      <c r="A149" s="914">
        <f>'House Count'!A149</f>
        <v>0</v>
      </c>
      <c r="B149" s="915">
        <f>'House Count'!E149</f>
        <v>0</v>
      </c>
      <c r="C149" s="915">
        <f>'House Count'!B149</f>
        <v>0</v>
      </c>
      <c r="D149" s="915">
        <f>'House Count'!C149</f>
        <v>0</v>
      </c>
      <c r="E149" s="915">
        <f>'House Count'!D149</f>
        <v>0</v>
      </c>
      <c r="F149" s="915" t="str">
        <f t="shared" si="2"/>
        <v/>
      </c>
      <c r="G149" s="915">
        <f>'House Count'!F149</f>
        <v>0</v>
      </c>
      <c r="H149" s="915">
        <f>'House Count'!H149</f>
        <v>0</v>
      </c>
    </row>
    <row r="150" spans="1:8" x14ac:dyDescent="0.25">
      <c r="A150" s="914">
        <f>'House Count'!A150</f>
        <v>0</v>
      </c>
      <c r="B150" s="915">
        <f>'House Count'!E150</f>
        <v>0</v>
      </c>
      <c r="C150" s="915">
        <f>'House Count'!B150</f>
        <v>0</v>
      </c>
      <c r="D150" s="915">
        <f>'House Count'!C150</f>
        <v>0</v>
      </c>
      <c r="E150" s="915">
        <f>'House Count'!D150</f>
        <v>0</v>
      </c>
      <c r="F150" s="915" t="str">
        <f t="shared" si="2"/>
        <v/>
      </c>
      <c r="G150" s="915">
        <f>'House Count'!F150</f>
        <v>0</v>
      </c>
      <c r="H150" s="915">
        <f>'House Count'!H150</f>
        <v>0</v>
      </c>
    </row>
    <row r="151" spans="1:8" x14ac:dyDescent="0.25">
      <c r="A151" s="914">
        <f>'House Count'!A151</f>
        <v>0</v>
      </c>
      <c r="B151" s="915">
        <f>'House Count'!E151</f>
        <v>0</v>
      </c>
      <c r="C151" s="915">
        <f>'House Count'!B151</f>
        <v>0</v>
      </c>
      <c r="D151" s="915">
        <f>'House Count'!C151</f>
        <v>0</v>
      </c>
      <c r="E151" s="915">
        <f>'House Count'!D151</f>
        <v>0</v>
      </c>
      <c r="F151" s="915" t="str">
        <f t="shared" si="2"/>
        <v/>
      </c>
      <c r="G151" s="915">
        <f>'House Count'!F151</f>
        <v>0</v>
      </c>
      <c r="H151" s="915">
        <f>'House Count'!H151</f>
        <v>0</v>
      </c>
    </row>
    <row r="152" spans="1:8" x14ac:dyDescent="0.25">
      <c r="A152" s="914">
        <f>'House Count'!A152</f>
        <v>0</v>
      </c>
      <c r="B152" s="915">
        <f>'House Count'!E152</f>
        <v>0</v>
      </c>
      <c r="C152" s="915">
        <f>'House Count'!B152</f>
        <v>0</v>
      </c>
      <c r="D152" s="915">
        <f>'House Count'!C152</f>
        <v>0</v>
      </c>
      <c r="E152" s="915">
        <f>'House Count'!D152</f>
        <v>0</v>
      </c>
      <c r="F152" s="915" t="str">
        <f t="shared" si="2"/>
        <v/>
      </c>
      <c r="G152" s="915">
        <f>'House Count'!F152</f>
        <v>0</v>
      </c>
      <c r="H152" s="915">
        <f>'House Count'!H152</f>
        <v>0</v>
      </c>
    </row>
    <row r="153" spans="1:8" x14ac:dyDescent="0.25">
      <c r="A153" s="914">
        <f>'House Count'!A153</f>
        <v>0</v>
      </c>
      <c r="B153" s="915">
        <f>'House Count'!E153</f>
        <v>0</v>
      </c>
      <c r="C153" s="915">
        <f>'House Count'!B153</f>
        <v>0</v>
      </c>
      <c r="D153" s="915">
        <f>'House Count'!C153</f>
        <v>0</v>
      </c>
      <c r="E153" s="915">
        <f>'House Count'!D153</f>
        <v>0</v>
      </c>
      <c r="F153" s="915" t="str">
        <f t="shared" si="2"/>
        <v/>
      </c>
      <c r="G153" s="915">
        <f>'House Count'!F153</f>
        <v>0</v>
      </c>
      <c r="H153" s="915">
        <f>'House Count'!H153</f>
        <v>0</v>
      </c>
    </row>
    <row r="154" spans="1:8" x14ac:dyDescent="0.25">
      <c r="A154" s="914">
        <f>'House Count'!A154</f>
        <v>0</v>
      </c>
      <c r="B154" s="915">
        <f>'House Count'!E154</f>
        <v>0</v>
      </c>
      <c r="C154" s="915">
        <f>'House Count'!B154</f>
        <v>0</v>
      </c>
      <c r="D154" s="915">
        <f>'House Count'!C154</f>
        <v>0</v>
      </c>
      <c r="E154" s="915">
        <f>'House Count'!D154</f>
        <v>0</v>
      </c>
      <c r="F154" s="915" t="str">
        <f t="shared" si="2"/>
        <v/>
      </c>
      <c r="G154" s="915">
        <f>'House Count'!F154</f>
        <v>0</v>
      </c>
      <c r="H154" s="915">
        <f>'House Count'!H154</f>
        <v>0</v>
      </c>
    </row>
    <row r="155" spans="1:8" x14ac:dyDescent="0.25">
      <c r="A155" s="914">
        <f>'House Count'!A155</f>
        <v>0</v>
      </c>
      <c r="B155" s="915">
        <f>'House Count'!E155</f>
        <v>0</v>
      </c>
      <c r="C155" s="915">
        <f>'House Count'!B155</f>
        <v>0</v>
      </c>
      <c r="D155" s="915">
        <f>'House Count'!C155</f>
        <v>0</v>
      </c>
      <c r="E155" s="915">
        <f>'House Count'!D155</f>
        <v>0</v>
      </c>
      <c r="F155" s="915" t="str">
        <f t="shared" si="2"/>
        <v/>
      </c>
      <c r="G155" s="915">
        <f>'House Count'!F155</f>
        <v>0</v>
      </c>
      <c r="H155" s="915">
        <f>'House Count'!H155</f>
        <v>0</v>
      </c>
    </row>
    <row r="156" spans="1:8" x14ac:dyDescent="0.25">
      <c r="A156" s="914">
        <f>'House Count'!A156</f>
        <v>0</v>
      </c>
      <c r="B156" s="915">
        <f>'House Count'!E156</f>
        <v>0</v>
      </c>
      <c r="C156" s="915">
        <f>'House Count'!B156</f>
        <v>0</v>
      </c>
      <c r="D156" s="915">
        <f>'House Count'!C156</f>
        <v>0</v>
      </c>
      <c r="E156" s="915">
        <f>'House Count'!D156</f>
        <v>0</v>
      </c>
      <c r="F156" s="915" t="str">
        <f t="shared" si="2"/>
        <v/>
      </c>
      <c r="G156" s="915">
        <f>'House Count'!F156</f>
        <v>0</v>
      </c>
      <c r="H156" s="915">
        <f>'House Count'!H156</f>
        <v>0</v>
      </c>
    </row>
    <row r="157" spans="1:8" x14ac:dyDescent="0.25">
      <c r="A157" s="914">
        <f>'House Count'!A157</f>
        <v>0</v>
      </c>
      <c r="B157" s="915">
        <f>'House Count'!E157</f>
        <v>0</v>
      </c>
      <c r="C157" s="915">
        <f>'House Count'!B157</f>
        <v>0</v>
      </c>
      <c r="D157" s="915">
        <f>'House Count'!C157</f>
        <v>0</v>
      </c>
      <c r="E157" s="915">
        <f>'House Count'!D157</f>
        <v>0</v>
      </c>
      <c r="F157" s="915" t="str">
        <f t="shared" si="2"/>
        <v/>
      </c>
      <c r="G157" s="915">
        <f>'House Count'!F157</f>
        <v>0</v>
      </c>
      <c r="H157" s="915">
        <f>'House Count'!H157</f>
        <v>0</v>
      </c>
    </row>
    <row r="158" spans="1:8" x14ac:dyDescent="0.25">
      <c r="A158" s="914">
        <f>'House Count'!A158</f>
        <v>0</v>
      </c>
      <c r="B158" s="915">
        <f>'House Count'!E158</f>
        <v>0</v>
      </c>
      <c r="C158" s="915">
        <f>'House Count'!B158</f>
        <v>0</v>
      </c>
      <c r="D158" s="915">
        <f>'House Count'!C158</f>
        <v>0</v>
      </c>
      <c r="E158" s="915">
        <f>'House Count'!D158</f>
        <v>0</v>
      </c>
      <c r="F158" s="915" t="str">
        <f t="shared" si="2"/>
        <v/>
      </c>
      <c r="G158" s="915">
        <f>'House Count'!F158</f>
        <v>0</v>
      </c>
      <c r="H158" s="915">
        <f>'House Count'!H158</f>
        <v>0</v>
      </c>
    </row>
    <row r="159" spans="1:8" x14ac:dyDescent="0.25">
      <c r="A159" s="914">
        <f>'House Count'!A159</f>
        <v>0</v>
      </c>
      <c r="B159" s="915">
        <f>'House Count'!E159</f>
        <v>0</v>
      </c>
      <c r="C159" s="915">
        <f>'House Count'!B159</f>
        <v>0</v>
      </c>
      <c r="D159" s="915">
        <f>'House Count'!C159</f>
        <v>0</v>
      </c>
      <c r="E159" s="915">
        <f>'House Count'!D159</f>
        <v>0</v>
      </c>
      <c r="F159" s="915" t="str">
        <f t="shared" si="2"/>
        <v/>
      </c>
      <c r="G159" s="915">
        <f>'House Count'!F159</f>
        <v>0</v>
      </c>
      <c r="H159" s="915">
        <f>'House Count'!H159</f>
        <v>0</v>
      </c>
    </row>
    <row r="160" spans="1:8" x14ac:dyDescent="0.25">
      <c r="A160" s="914">
        <f>'House Count'!A160</f>
        <v>0</v>
      </c>
      <c r="B160" s="915">
        <f>'House Count'!E160</f>
        <v>0</v>
      </c>
      <c r="C160" s="915">
        <f>'House Count'!B160</f>
        <v>0</v>
      </c>
      <c r="D160" s="915">
        <f>'House Count'!C160</f>
        <v>0</v>
      </c>
      <c r="E160" s="915">
        <f>'House Count'!D160</f>
        <v>0</v>
      </c>
      <c r="F160" s="915" t="str">
        <f t="shared" si="2"/>
        <v/>
      </c>
      <c r="G160" s="915">
        <f>'House Count'!F160</f>
        <v>0</v>
      </c>
      <c r="H160" s="915">
        <f>'House Count'!H160</f>
        <v>0</v>
      </c>
    </row>
    <row r="161" spans="1:8" x14ac:dyDescent="0.25">
      <c r="A161" s="914">
        <f>'House Count'!A161</f>
        <v>0</v>
      </c>
      <c r="B161" s="915">
        <f>'House Count'!E161</f>
        <v>0</v>
      </c>
      <c r="C161" s="915">
        <f>'House Count'!B161</f>
        <v>0</v>
      </c>
      <c r="D161" s="915">
        <f>'House Count'!C161</f>
        <v>0</v>
      </c>
      <c r="E161" s="915">
        <f>'House Count'!D161</f>
        <v>0</v>
      </c>
      <c r="F161" s="915" t="str">
        <f t="shared" si="2"/>
        <v/>
      </c>
      <c r="G161" s="915">
        <f>'House Count'!F161</f>
        <v>0</v>
      </c>
      <c r="H161" s="915">
        <f>'House Count'!H161</f>
        <v>0</v>
      </c>
    </row>
    <row r="162" spans="1:8" x14ac:dyDescent="0.25">
      <c r="A162" s="914">
        <f>'House Count'!A162</f>
        <v>0</v>
      </c>
      <c r="B162" s="915">
        <f>'House Count'!E162</f>
        <v>0</v>
      </c>
      <c r="C162" s="915">
        <f>'House Count'!B162</f>
        <v>0</v>
      </c>
      <c r="D162" s="915">
        <f>'House Count'!C162</f>
        <v>0</v>
      </c>
      <c r="E162" s="915">
        <f>'House Count'!D162</f>
        <v>0</v>
      </c>
      <c r="F162" s="915" t="str">
        <f t="shared" si="2"/>
        <v/>
      </c>
      <c r="G162" s="915">
        <f>'House Count'!F162</f>
        <v>0</v>
      </c>
      <c r="H162" s="915">
        <f>'House Count'!H162</f>
        <v>0</v>
      </c>
    </row>
    <row r="163" spans="1:8" x14ac:dyDescent="0.25">
      <c r="A163" s="914">
        <f>'House Count'!A163</f>
        <v>0</v>
      </c>
      <c r="B163" s="915">
        <f>'House Count'!E163</f>
        <v>0</v>
      </c>
      <c r="C163" s="915">
        <f>'House Count'!B163</f>
        <v>0</v>
      </c>
      <c r="D163" s="915">
        <f>'House Count'!C163</f>
        <v>0</v>
      </c>
      <c r="E163" s="915">
        <f>'House Count'!D163</f>
        <v>0</v>
      </c>
      <c r="F163" s="915" t="str">
        <f t="shared" si="2"/>
        <v/>
      </c>
      <c r="G163" s="915">
        <f>'House Count'!F163</f>
        <v>0</v>
      </c>
      <c r="H163" s="915">
        <f>'House Count'!H163</f>
        <v>0</v>
      </c>
    </row>
    <row r="164" spans="1:8" x14ac:dyDescent="0.25">
      <c r="A164" s="914">
        <f>'House Count'!A164</f>
        <v>0</v>
      </c>
      <c r="B164" s="915">
        <f>'House Count'!E164</f>
        <v>0</v>
      </c>
      <c r="C164" s="915">
        <f>'House Count'!B164</f>
        <v>0</v>
      </c>
      <c r="D164" s="915">
        <f>'House Count'!C164</f>
        <v>0</v>
      </c>
      <c r="E164" s="915">
        <f>'House Count'!D164</f>
        <v>0</v>
      </c>
      <c r="F164" s="915" t="str">
        <f t="shared" si="2"/>
        <v/>
      </c>
      <c r="G164" s="915">
        <f>'House Count'!F164</f>
        <v>0</v>
      </c>
      <c r="H164" s="915">
        <f>'House Count'!H164</f>
        <v>0</v>
      </c>
    </row>
    <row r="165" spans="1:8" x14ac:dyDescent="0.25">
      <c r="A165" s="914">
        <f>'House Count'!A165</f>
        <v>0</v>
      </c>
      <c r="B165" s="915">
        <f>'House Count'!E165</f>
        <v>0</v>
      </c>
      <c r="C165" s="915">
        <f>'House Count'!B165</f>
        <v>0</v>
      </c>
      <c r="D165" s="915">
        <f>'House Count'!C165</f>
        <v>0</v>
      </c>
      <c r="E165" s="915">
        <f>'House Count'!D165</f>
        <v>0</v>
      </c>
      <c r="F165" s="915" t="str">
        <f t="shared" si="2"/>
        <v/>
      </c>
      <c r="G165" s="915">
        <f>'House Count'!F165</f>
        <v>0</v>
      </c>
      <c r="H165" s="915">
        <f>'House Count'!H165</f>
        <v>0</v>
      </c>
    </row>
    <row r="166" spans="1:8" x14ac:dyDescent="0.25">
      <c r="A166" s="914">
        <f>'House Count'!A166</f>
        <v>0</v>
      </c>
      <c r="B166" s="915">
        <f>'House Count'!E166</f>
        <v>0</v>
      </c>
      <c r="C166" s="915">
        <f>'House Count'!B166</f>
        <v>0</v>
      </c>
      <c r="D166" s="915">
        <f>'House Count'!C166</f>
        <v>0</v>
      </c>
      <c r="E166" s="915">
        <f>'House Count'!D166</f>
        <v>0</v>
      </c>
      <c r="F166" s="915" t="str">
        <f t="shared" si="2"/>
        <v/>
      </c>
      <c r="G166" s="915">
        <f>'House Count'!F166</f>
        <v>0</v>
      </c>
      <c r="H166" s="915">
        <f>'House Count'!H166</f>
        <v>0</v>
      </c>
    </row>
    <row r="167" spans="1:8" x14ac:dyDescent="0.25">
      <c r="A167" s="914">
        <f>'House Count'!A167</f>
        <v>0</v>
      </c>
      <c r="B167" s="915">
        <f>'House Count'!E167</f>
        <v>0</v>
      </c>
      <c r="C167" s="915">
        <f>'House Count'!B167</f>
        <v>0</v>
      </c>
      <c r="D167" s="915">
        <f>'House Count'!C167</f>
        <v>0</v>
      </c>
      <c r="E167" s="915">
        <f>'House Count'!D167</f>
        <v>0</v>
      </c>
      <c r="F167" s="915" t="str">
        <f t="shared" si="2"/>
        <v/>
      </c>
      <c r="G167" s="915">
        <f>'House Count'!F167</f>
        <v>0</v>
      </c>
      <c r="H167" s="915">
        <f>'House Count'!H167</f>
        <v>0</v>
      </c>
    </row>
    <row r="168" spans="1:8" x14ac:dyDescent="0.25">
      <c r="A168" s="914">
        <f>'House Count'!A168</f>
        <v>0</v>
      </c>
      <c r="B168" s="915">
        <f>'House Count'!E168</f>
        <v>0</v>
      </c>
      <c r="C168" s="915">
        <f>'House Count'!B168</f>
        <v>0</v>
      </c>
      <c r="D168" s="915">
        <f>'House Count'!C168</f>
        <v>0</v>
      </c>
      <c r="E168" s="915">
        <f>'House Count'!D168</f>
        <v>0</v>
      </c>
      <c r="F168" s="915" t="str">
        <f t="shared" si="2"/>
        <v/>
      </c>
      <c r="G168" s="915">
        <f>'House Count'!F168</f>
        <v>0</v>
      </c>
      <c r="H168" s="915">
        <f>'House Count'!H168</f>
        <v>0</v>
      </c>
    </row>
    <row r="169" spans="1:8" x14ac:dyDescent="0.25">
      <c r="A169" s="914">
        <f>'House Count'!A169</f>
        <v>0</v>
      </c>
      <c r="B169" s="915">
        <f>'House Count'!E169</f>
        <v>0</v>
      </c>
      <c r="C169" s="915">
        <f>'House Count'!B169</f>
        <v>0</v>
      </c>
      <c r="D169" s="915">
        <f>'House Count'!C169</f>
        <v>0</v>
      </c>
      <c r="E169" s="915">
        <f>'House Count'!D169</f>
        <v>0</v>
      </c>
      <c r="F169" s="915" t="str">
        <f t="shared" si="2"/>
        <v/>
      </c>
      <c r="G169" s="915">
        <f>'House Count'!F169</f>
        <v>0</v>
      </c>
      <c r="H169" s="915">
        <f>'House Count'!H169</f>
        <v>0</v>
      </c>
    </row>
    <row r="170" spans="1:8" x14ac:dyDescent="0.25">
      <c r="A170" s="914">
        <f>'House Count'!A170</f>
        <v>0</v>
      </c>
      <c r="B170" s="915">
        <f>'House Count'!E170</f>
        <v>0</v>
      </c>
      <c r="C170" s="915">
        <f>'House Count'!B170</f>
        <v>0</v>
      </c>
      <c r="D170" s="915">
        <f>'House Count'!C170</f>
        <v>0</v>
      </c>
      <c r="E170" s="915">
        <f>'House Count'!D170</f>
        <v>0</v>
      </c>
      <c r="F170" s="915" t="str">
        <f t="shared" si="2"/>
        <v/>
      </c>
      <c r="G170" s="915">
        <f>'House Count'!F170</f>
        <v>0</v>
      </c>
      <c r="H170" s="915">
        <f>'House Count'!H170</f>
        <v>0</v>
      </c>
    </row>
    <row r="171" spans="1:8" x14ac:dyDescent="0.25">
      <c r="A171" s="914">
        <f>'House Count'!A171</f>
        <v>0</v>
      </c>
      <c r="B171" s="915">
        <f>'House Count'!E171</f>
        <v>0</v>
      </c>
      <c r="C171" s="915">
        <f>'House Count'!B171</f>
        <v>0</v>
      </c>
      <c r="D171" s="915">
        <f>'House Count'!C171</f>
        <v>0</v>
      </c>
      <c r="E171" s="915">
        <f>'House Count'!D171</f>
        <v>0</v>
      </c>
      <c r="F171" s="915" t="str">
        <f t="shared" si="2"/>
        <v/>
      </c>
      <c r="G171" s="915">
        <f>'House Count'!F171</f>
        <v>0</v>
      </c>
      <c r="H171" s="915">
        <f>'House Count'!H171</f>
        <v>0</v>
      </c>
    </row>
    <row r="172" spans="1:8" x14ac:dyDescent="0.25">
      <c r="A172" s="914">
        <f>'House Count'!A172</f>
        <v>0</v>
      </c>
      <c r="B172" s="915">
        <f>'House Count'!E172</f>
        <v>0</v>
      </c>
      <c r="C172" s="915">
        <f>'House Count'!B172</f>
        <v>0</v>
      </c>
      <c r="D172" s="915">
        <f>'House Count'!C172</f>
        <v>0</v>
      </c>
      <c r="E172" s="915">
        <f>'House Count'!D172</f>
        <v>0</v>
      </c>
      <c r="F172" s="915" t="str">
        <f t="shared" si="2"/>
        <v/>
      </c>
      <c r="G172" s="915">
        <f>'House Count'!F172</f>
        <v>0</v>
      </c>
      <c r="H172" s="915">
        <f>'House Count'!H172</f>
        <v>0</v>
      </c>
    </row>
    <row r="173" spans="1:8" x14ac:dyDescent="0.25">
      <c r="A173" s="914">
        <f>'House Count'!A173</f>
        <v>0</v>
      </c>
      <c r="B173" s="915">
        <f>'House Count'!E173</f>
        <v>0</v>
      </c>
      <c r="C173" s="915">
        <f>'House Count'!B173</f>
        <v>0</v>
      </c>
      <c r="D173" s="915">
        <f>'House Count'!C173</f>
        <v>0</v>
      </c>
      <c r="E173" s="915">
        <f>'House Count'!D173</f>
        <v>0</v>
      </c>
      <c r="F173" s="915" t="str">
        <f t="shared" si="2"/>
        <v/>
      </c>
      <c r="G173" s="915">
        <f>'House Count'!F173</f>
        <v>0</v>
      </c>
      <c r="H173" s="915">
        <f>'House Count'!H173</f>
        <v>0</v>
      </c>
    </row>
    <row r="174" spans="1:8" x14ac:dyDescent="0.25">
      <c r="A174" s="914">
        <f>'House Count'!A174</f>
        <v>0</v>
      </c>
      <c r="B174" s="915">
        <f>'House Count'!E174</f>
        <v>0</v>
      </c>
      <c r="C174" s="915">
        <f>'House Count'!B174</f>
        <v>0</v>
      </c>
      <c r="D174" s="915">
        <f>'House Count'!C174</f>
        <v>0</v>
      </c>
      <c r="E174" s="915">
        <f>'House Count'!D174</f>
        <v>0</v>
      </c>
      <c r="F174" s="915" t="str">
        <f t="shared" si="2"/>
        <v/>
      </c>
      <c r="G174" s="915">
        <f>'House Count'!F174</f>
        <v>0</v>
      </c>
      <c r="H174" s="915">
        <f>'House Count'!H174</f>
        <v>0</v>
      </c>
    </row>
    <row r="175" spans="1:8" x14ac:dyDescent="0.25">
      <c r="A175" s="914">
        <f>'House Count'!A175</f>
        <v>0</v>
      </c>
      <c r="B175" s="915">
        <f>'House Count'!E175</f>
        <v>0</v>
      </c>
      <c r="C175" s="915">
        <f>'House Count'!B175</f>
        <v>0</v>
      </c>
      <c r="D175" s="915">
        <f>'House Count'!C175</f>
        <v>0</v>
      </c>
      <c r="E175" s="915">
        <f>'House Count'!D175</f>
        <v>0</v>
      </c>
      <c r="F175" s="915" t="str">
        <f t="shared" si="2"/>
        <v/>
      </c>
      <c r="G175" s="915">
        <f>'House Count'!F175</f>
        <v>0</v>
      </c>
      <c r="H175" s="915">
        <f>'House Count'!H175</f>
        <v>0</v>
      </c>
    </row>
    <row r="176" spans="1:8" x14ac:dyDescent="0.25">
      <c r="A176" s="914">
        <f>'House Count'!A176</f>
        <v>0</v>
      </c>
      <c r="B176" s="915">
        <f>'House Count'!E176</f>
        <v>0</v>
      </c>
      <c r="C176" s="915">
        <f>'House Count'!B176</f>
        <v>0</v>
      </c>
      <c r="D176" s="915">
        <f>'House Count'!C176</f>
        <v>0</v>
      </c>
      <c r="E176" s="915">
        <f>'House Count'!D176</f>
        <v>0</v>
      </c>
      <c r="F176" s="915" t="str">
        <f t="shared" si="2"/>
        <v/>
      </c>
      <c r="G176" s="915">
        <f>'House Count'!F176</f>
        <v>0</v>
      </c>
      <c r="H176" s="915">
        <f>'House Count'!H176</f>
        <v>0</v>
      </c>
    </row>
    <row r="177" spans="1:8" x14ac:dyDescent="0.25">
      <c r="A177" s="914">
        <f>'House Count'!A177</f>
        <v>0</v>
      </c>
      <c r="B177" s="915">
        <f>'House Count'!E177</f>
        <v>0</v>
      </c>
      <c r="C177" s="915">
        <f>'House Count'!B177</f>
        <v>0</v>
      </c>
      <c r="D177" s="915">
        <f>'House Count'!C177</f>
        <v>0</v>
      </c>
      <c r="E177" s="915">
        <f>'House Count'!D177</f>
        <v>0</v>
      </c>
      <c r="F177" s="915" t="str">
        <f t="shared" si="2"/>
        <v/>
      </c>
      <c r="G177" s="915">
        <f>'House Count'!F177</f>
        <v>0</v>
      </c>
      <c r="H177" s="915">
        <f>'House Count'!H177</f>
        <v>0</v>
      </c>
    </row>
    <row r="178" spans="1:8" x14ac:dyDescent="0.25">
      <c r="A178" s="914">
        <f>'House Count'!A178</f>
        <v>0</v>
      </c>
      <c r="B178" s="915">
        <f>'House Count'!E178</f>
        <v>0</v>
      </c>
      <c r="C178" s="915">
        <f>'House Count'!B178</f>
        <v>0</v>
      </c>
      <c r="D178" s="915">
        <f>'House Count'!C178</f>
        <v>0</v>
      </c>
      <c r="E178" s="915">
        <f>'House Count'!D178</f>
        <v>0</v>
      </c>
      <c r="F178" s="915" t="str">
        <f t="shared" si="2"/>
        <v/>
      </c>
      <c r="G178" s="915">
        <f>'House Count'!F178</f>
        <v>0</v>
      </c>
      <c r="H178" s="915">
        <f>'House Count'!H178</f>
        <v>0</v>
      </c>
    </row>
    <row r="179" spans="1:8" x14ac:dyDescent="0.25">
      <c r="A179" s="914">
        <f>'House Count'!A179</f>
        <v>0</v>
      </c>
      <c r="B179" s="915">
        <f>'House Count'!E179</f>
        <v>0</v>
      </c>
      <c r="C179" s="915">
        <f>'House Count'!B179</f>
        <v>0</v>
      </c>
      <c r="D179" s="915">
        <f>'House Count'!C179</f>
        <v>0</v>
      </c>
      <c r="E179" s="915">
        <f>'House Count'!D179</f>
        <v>0</v>
      </c>
      <c r="F179" s="915" t="str">
        <f t="shared" si="2"/>
        <v/>
      </c>
      <c r="G179" s="915">
        <f>'House Count'!F179</f>
        <v>0</v>
      </c>
      <c r="H179" s="915">
        <f>'House Count'!H179</f>
        <v>0</v>
      </c>
    </row>
    <row r="180" spans="1:8" x14ac:dyDescent="0.25">
      <c r="A180" s="914">
        <f>'House Count'!A180</f>
        <v>0</v>
      </c>
      <c r="B180" s="915">
        <f>'House Count'!E180</f>
        <v>0</v>
      </c>
      <c r="C180" s="915">
        <f>'House Count'!B180</f>
        <v>0</v>
      </c>
      <c r="D180" s="915">
        <f>'House Count'!C180</f>
        <v>0</v>
      </c>
      <c r="E180" s="915">
        <f>'House Count'!D180</f>
        <v>0</v>
      </c>
      <c r="F180" s="915" t="str">
        <f t="shared" si="2"/>
        <v/>
      </c>
      <c r="G180" s="915">
        <f>'House Count'!F180</f>
        <v>0</v>
      </c>
      <c r="H180" s="915">
        <f>'House Count'!H180</f>
        <v>0</v>
      </c>
    </row>
    <row r="181" spans="1:8" x14ac:dyDescent="0.25">
      <c r="A181" s="914">
        <f>'House Count'!A181</f>
        <v>0</v>
      </c>
      <c r="B181" s="915">
        <f>'House Count'!E181</f>
        <v>0</v>
      </c>
      <c r="C181" s="915">
        <f>'House Count'!B181</f>
        <v>0</v>
      </c>
      <c r="D181" s="915">
        <f>'House Count'!C181</f>
        <v>0</v>
      </c>
      <c r="E181" s="915">
        <f>'House Count'!D181</f>
        <v>0</v>
      </c>
      <c r="F181" s="915" t="str">
        <f t="shared" si="2"/>
        <v/>
      </c>
      <c r="G181" s="915">
        <f>'House Count'!F181</f>
        <v>0</v>
      </c>
      <c r="H181" s="915">
        <f>'House Count'!H181</f>
        <v>0</v>
      </c>
    </row>
    <row r="182" spans="1:8" x14ac:dyDescent="0.25">
      <c r="A182" s="914">
        <f>'House Count'!A182</f>
        <v>0</v>
      </c>
      <c r="B182" s="915">
        <f>'House Count'!E182</f>
        <v>0</v>
      </c>
      <c r="C182" s="915">
        <f>'House Count'!B182</f>
        <v>0</v>
      </c>
      <c r="D182" s="915">
        <f>'House Count'!C182</f>
        <v>0</v>
      </c>
      <c r="E182" s="915">
        <f>'House Count'!D182</f>
        <v>0</v>
      </c>
      <c r="F182" s="915" t="str">
        <f t="shared" si="2"/>
        <v/>
      </c>
      <c r="G182" s="915">
        <f>'House Count'!F182</f>
        <v>0</v>
      </c>
      <c r="H182" s="915">
        <f>'House Count'!H182</f>
        <v>0</v>
      </c>
    </row>
    <row r="183" spans="1:8" x14ac:dyDescent="0.25">
      <c r="A183" s="914">
        <f>'House Count'!A183</f>
        <v>0</v>
      </c>
      <c r="B183" s="915">
        <f>'House Count'!E183</f>
        <v>0</v>
      </c>
      <c r="C183" s="915">
        <f>'House Count'!B183</f>
        <v>0</v>
      </c>
      <c r="D183" s="915">
        <f>'House Count'!C183</f>
        <v>0</v>
      </c>
      <c r="E183" s="915">
        <f>'House Count'!D183</f>
        <v>0</v>
      </c>
      <c r="F183" s="915" t="str">
        <f t="shared" si="2"/>
        <v/>
      </c>
      <c r="G183" s="915">
        <f>'House Count'!F183</f>
        <v>0</v>
      </c>
      <c r="H183" s="915">
        <f>'House Count'!H183</f>
        <v>0</v>
      </c>
    </row>
    <row r="184" spans="1:8" x14ac:dyDescent="0.25">
      <c r="A184" s="914">
        <f>'House Count'!A184</f>
        <v>0</v>
      </c>
      <c r="B184" s="915">
        <f>'House Count'!E184</f>
        <v>0</v>
      </c>
      <c r="C184" s="915">
        <f>'House Count'!B184</f>
        <v>0</v>
      </c>
      <c r="D184" s="915">
        <f>'House Count'!C184</f>
        <v>0</v>
      </c>
      <c r="E184" s="915">
        <f>'House Count'!D184</f>
        <v>0</v>
      </c>
      <c r="F184" s="915" t="str">
        <f t="shared" si="2"/>
        <v/>
      </c>
      <c r="G184" s="915">
        <f>'House Count'!F184</f>
        <v>0</v>
      </c>
      <c r="H184" s="915">
        <f>'House Count'!H184</f>
        <v>0</v>
      </c>
    </row>
    <row r="185" spans="1:8" x14ac:dyDescent="0.25">
      <c r="A185" s="914">
        <f>'House Count'!A185</f>
        <v>0</v>
      </c>
      <c r="B185" s="915">
        <f>'House Count'!E185</f>
        <v>0</v>
      </c>
      <c r="C185" s="915">
        <f>'House Count'!B185</f>
        <v>0</v>
      </c>
      <c r="D185" s="915">
        <f>'House Count'!C185</f>
        <v>0</v>
      </c>
      <c r="E185" s="915">
        <f>'House Count'!D185</f>
        <v>0</v>
      </c>
      <c r="F185" s="915" t="str">
        <f t="shared" si="2"/>
        <v/>
      </c>
      <c r="G185" s="915">
        <f>'House Count'!F185</f>
        <v>0</v>
      </c>
      <c r="H185" s="915">
        <f>'House Count'!H185</f>
        <v>0</v>
      </c>
    </row>
    <row r="186" spans="1:8" x14ac:dyDescent="0.25">
      <c r="A186" s="914">
        <f>'House Count'!A186</f>
        <v>0</v>
      </c>
      <c r="B186" s="915">
        <f>'House Count'!E186</f>
        <v>0</v>
      </c>
      <c r="C186" s="915">
        <f>'House Count'!B186</f>
        <v>0</v>
      </c>
      <c r="D186" s="915">
        <f>'House Count'!C186</f>
        <v>0</v>
      </c>
      <c r="E186" s="915">
        <f>'House Count'!D186</f>
        <v>0</v>
      </c>
      <c r="F186" s="915" t="str">
        <f t="shared" si="2"/>
        <v/>
      </c>
      <c r="G186" s="915">
        <f>'House Count'!F186</f>
        <v>0</v>
      </c>
      <c r="H186" s="915">
        <f>'House Count'!H186</f>
        <v>0</v>
      </c>
    </row>
    <row r="187" spans="1:8" x14ac:dyDescent="0.25">
      <c r="A187" s="914">
        <f>'House Count'!A187</f>
        <v>0</v>
      </c>
      <c r="B187" s="915">
        <f>'House Count'!E187</f>
        <v>0</v>
      </c>
      <c r="C187" s="915">
        <f>'House Count'!B187</f>
        <v>0</v>
      </c>
      <c r="D187" s="915">
        <f>'House Count'!C187</f>
        <v>0</v>
      </c>
      <c r="E187" s="915">
        <f>'House Count'!D187</f>
        <v>0</v>
      </c>
      <c r="F187" s="915" t="str">
        <f t="shared" si="2"/>
        <v/>
      </c>
      <c r="G187" s="915">
        <f>'House Count'!F187</f>
        <v>0</v>
      </c>
      <c r="H187" s="915">
        <f>'House Count'!H187</f>
        <v>0</v>
      </c>
    </row>
    <row r="188" spans="1:8" x14ac:dyDescent="0.25">
      <c r="A188" s="914">
        <f>'House Count'!A188</f>
        <v>0</v>
      </c>
      <c r="B188" s="915">
        <f>'House Count'!E188</f>
        <v>0</v>
      </c>
      <c r="C188" s="915">
        <f>'House Count'!B188</f>
        <v>0</v>
      </c>
      <c r="D188" s="915">
        <f>'House Count'!C188</f>
        <v>0</v>
      </c>
      <c r="E188" s="915">
        <f>'House Count'!D188</f>
        <v>0</v>
      </c>
      <c r="F188" s="915" t="str">
        <f t="shared" si="2"/>
        <v/>
      </c>
      <c r="G188" s="915">
        <f>'House Count'!F188</f>
        <v>0</v>
      </c>
      <c r="H188" s="915">
        <f>'House Count'!H188</f>
        <v>0</v>
      </c>
    </row>
    <row r="189" spans="1:8" x14ac:dyDescent="0.25">
      <c r="A189" s="914">
        <f>'House Count'!A189</f>
        <v>0</v>
      </c>
      <c r="B189" s="915">
        <f>'House Count'!E189</f>
        <v>0</v>
      </c>
      <c r="C189" s="915">
        <f>'House Count'!B189</f>
        <v>0</v>
      </c>
      <c r="D189" s="915">
        <f>'House Count'!C189</f>
        <v>0</v>
      </c>
      <c r="E189" s="915">
        <f>'House Count'!D189</f>
        <v>0</v>
      </c>
      <c r="F189" s="915" t="str">
        <f t="shared" si="2"/>
        <v/>
      </c>
      <c r="G189" s="915">
        <f>'House Count'!F189</f>
        <v>0</v>
      </c>
      <c r="H189" s="915">
        <f>'House Count'!H189</f>
        <v>0</v>
      </c>
    </row>
    <row r="190" spans="1:8" x14ac:dyDescent="0.25">
      <c r="A190" s="914">
        <f>'House Count'!A190</f>
        <v>0</v>
      </c>
      <c r="B190" s="915">
        <f>'House Count'!E190</f>
        <v>0</v>
      </c>
      <c r="C190" s="915">
        <f>'House Count'!B190</f>
        <v>0</v>
      </c>
      <c r="D190" s="915">
        <f>'House Count'!C190</f>
        <v>0</v>
      </c>
      <c r="E190" s="915">
        <f>'House Count'!D190</f>
        <v>0</v>
      </c>
      <c r="F190" s="915" t="str">
        <f t="shared" si="2"/>
        <v/>
      </c>
      <c r="G190" s="915">
        <f>'House Count'!F190</f>
        <v>0</v>
      </c>
      <c r="H190" s="915">
        <f>'House Count'!H190</f>
        <v>0</v>
      </c>
    </row>
    <row r="191" spans="1:8" x14ac:dyDescent="0.25">
      <c r="A191" s="914">
        <f>'House Count'!A191</f>
        <v>0</v>
      </c>
      <c r="B191" s="915">
        <f>'House Count'!E191</f>
        <v>0</v>
      </c>
      <c r="C191" s="915">
        <f>'House Count'!B191</f>
        <v>0</v>
      </c>
      <c r="D191" s="915">
        <f>'House Count'!C191</f>
        <v>0</v>
      </c>
      <c r="E191" s="915">
        <f>'House Count'!D191</f>
        <v>0</v>
      </c>
      <c r="F191" s="915" t="str">
        <f t="shared" si="2"/>
        <v/>
      </c>
      <c r="G191" s="915">
        <f>'House Count'!F191</f>
        <v>0</v>
      </c>
      <c r="H191" s="915">
        <f>'House Count'!H191</f>
        <v>0</v>
      </c>
    </row>
    <row r="192" spans="1:8" x14ac:dyDescent="0.25">
      <c r="A192" s="914">
        <f>'House Count'!A192</f>
        <v>0</v>
      </c>
      <c r="B192" s="915">
        <f>'House Count'!E192</f>
        <v>0</v>
      </c>
      <c r="C192" s="915">
        <f>'House Count'!B192</f>
        <v>0</v>
      </c>
      <c r="D192" s="915">
        <f>'House Count'!C192</f>
        <v>0</v>
      </c>
      <c r="E192" s="915">
        <f>'House Count'!D192</f>
        <v>0</v>
      </c>
      <c r="F192" s="915" t="str">
        <f t="shared" si="2"/>
        <v/>
      </c>
      <c r="G192" s="915">
        <f>'House Count'!F192</f>
        <v>0</v>
      </c>
      <c r="H192" s="915">
        <f>'House Count'!H192</f>
        <v>0</v>
      </c>
    </row>
    <row r="193" spans="1:8" x14ac:dyDescent="0.25">
      <c r="A193" s="914">
        <f>'House Count'!A193</f>
        <v>0</v>
      </c>
      <c r="B193" s="915">
        <f>'House Count'!E193</f>
        <v>0</v>
      </c>
      <c r="C193" s="915">
        <f>'House Count'!B193</f>
        <v>0</v>
      </c>
      <c r="D193" s="915">
        <f>'House Count'!C193</f>
        <v>0</v>
      </c>
      <c r="E193" s="915">
        <f>'House Count'!D193</f>
        <v>0</v>
      </c>
      <c r="F193" s="915" t="str">
        <f t="shared" si="2"/>
        <v/>
      </c>
      <c r="G193" s="915">
        <f>'House Count'!F193</f>
        <v>0</v>
      </c>
      <c r="H193" s="915">
        <f>'House Count'!H193</f>
        <v>0</v>
      </c>
    </row>
    <row r="194" spans="1:8" x14ac:dyDescent="0.25">
      <c r="A194" s="914">
        <f>'House Count'!A194</f>
        <v>0</v>
      </c>
      <c r="B194" s="915">
        <f>'House Count'!E194</f>
        <v>0</v>
      </c>
      <c r="C194" s="915">
        <f>'House Count'!B194</f>
        <v>0</v>
      </c>
      <c r="D194" s="915">
        <f>'House Count'!C194</f>
        <v>0</v>
      </c>
      <c r="E194" s="915">
        <f>'House Count'!D194</f>
        <v>0</v>
      </c>
      <c r="F194" s="915" t="str">
        <f t="shared" si="2"/>
        <v/>
      </c>
      <c r="G194" s="915">
        <f>'House Count'!F194</f>
        <v>0</v>
      </c>
      <c r="H194" s="915">
        <f>'House Count'!H194</f>
        <v>0</v>
      </c>
    </row>
    <row r="195" spans="1:8" x14ac:dyDescent="0.25">
      <c r="A195" s="914">
        <f>'House Count'!A195</f>
        <v>0</v>
      </c>
      <c r="B195" s="915">
        <f>'House Count'!E195</f>
        <v>0</v>
      </c>
      <c r="C195" s="915">
        <f>'House Count'!B195</f>
        <v>0</v>
      </c>
      <c r="D195" s="915">
        <f>'House Count'!C195</f>
        <v>0</v>
      </c>
      <c r="E195" s="915">
        <f>'House Count'!D195</f>
        <v>0</v>
      </c>
      <c r="F195" s="915" t="str">
        <f t="shared" ref="F195:F258" si="3">IF(G195="RES-SFU","RESIDENTIAL",IF(G195="RES-HOA","RESIDENTIAL",IF(G195="RES-MDU","RESIDENTIAL",IF(G195="COMM-SU","BUSINESS",IF(G195="COM-MTU","BUSINESS",IF(G195="ENT","BUSINESS",""))))))</f>
        <v/>
      </c>
      <c r="G195" s="915">
        <f>'House Count'!F195</f>
        <v>0</v>
      </c>
      <c r="H195" s="915">
        <f>'House Count'!H195</f>
        <v>0</v>
      </c>
    </row>
    <row r="196" spans="1:8" x14ac:dyDescent="0.25">
      <c r="A196" s="914">
        <f>'House Count'!A196</f>
        <v>0</v>
      </c>
      <c r="B196" s="915">
        <f>'House Count'!E196</f>
        <v>0</v>
      </c>
      <c r="C196" s="915">
        <f>'House Count'!B196</f>
        <v>0</v>
      </c>
      <c r="D196" s="915">
        <f>'House Count'!C196</f>
        <v>0</v>
      </c>
      <c r="E196" s="915">
        <f>'House Count'!D196</f>
        <v>0</v>
      </c>
      <c r="F196" s="915" t="str">
        <f t="shared" si="3"/>
        <v/>
      </c>
      <c r="G196" s="915">
        <f>'House Count'!F196</f>
        <v>0</v>
      </c>
      <c r="H196" s="915">
        <f>'House Count'!H196</f>
        <v>0</v>
      </c>
    </row>
    <row r="197" spans="1:8" x14ac:dyDescent="0.25">
      <c r="A197" s="914">
        <f>'House Count'!A197</f>
        <v>0</v>
      </c>
      <c r="B197" s="915">
        <f>'House Count'!E197</f>
        <v>0</v>
      </c>
      <c r="C197" s="915">
        <f>'House Count'!B197</f>
        <v>0</v>
      </c>
      <c r="D197" s="915">
        <f>'House Count'!C197</f>
        <v>0</v>
      </c>
      <c r="E197" s="915">
        <f>'House Count'!D197</f>
        <v>0</v>
      </c>
      <c r="F197" s="915" t="str">
        <f t="shared" si="3"/>
        <v/>
      </c>
      <c r="G197" s="915">
        <f>'House Count'!F197</f>
        <v>0</v>
      </c>
      <c r="H197" s="915">
        <f>'House Count'!H197</f>
        <v>0</v>
      </c>
    </row>
    <row r="198" spans="1:8" x14ac:dyDescent="0.25">
      <c r="A198" s="914">
        <f>'House Count'!A198</f>
        <v>0</v>
      </c>
      <c r="B198" s="915">
        <f>'House Count'!E198</f>
        <v>0</v>
      </c>
      <c r="C198" s="915">
        <f>'House Count'!B198</f>
        <v>0</v>
      </c>
      <c r="D198" s="915">
        <f>'House Count'!C198</f>
        <v>0</v>
      </c>
      <c r="E198" s="915">
        <f>'House Count'!D198</f>
        <v>0</v>
      </c>
      <c r="F198" s="915" t="str">
        <f t="shared" si="3"/>
        <v/>
      </c>
      <c r="G198" s="915">
        <f>'House Count'!F198</f>
        <v>0</v>
      </c>
      <c r="H198" s="915">
        <f>'House Count'!H198</f>
        <v>0</v>
      </c>
    </row>
    <row r="199" spans="1:8" x14ac:dyDescent="0.25">
      <c r="A199" s="914">
        <f>'House Count'!A199</f>
        <v>0</v>
      </c>
      <c r="B199" s="915">
        <f>'House Count'!E199</f>
        <v>0</v>
      </c>
      <c r="C199" s="915">
        <f>'House Count'!B199</f>
        <v>0</v>
      </c>
      <c r="D199" s="915">
        <f>'House Count'!C199</f>
        <v>0</v>
      </c>
      <c r="E199" s="915">
        <f>'House Count'!D199</f>
        <v>0</v>
      </c>
      <c r="F199" s="915" t="str">
        <f t="shared" si="3"/>
        <v/>
      </c>
      <c r="G199" s="915">
        <f>'House Count'!F199</f>
        <v>0</v>
      </c>
      <c r="H199" s="915">
        <f>'House Count'!H199</f>
        <v>0</v>
      </c>
    </row>
    <row r="200" spans="1:8" x14ac:dyDescent="0.25">
      <c r="A200" s="914">
        <f>'House Count'!A200</f>
        <v>0</v>
      </c>
      <c r="B200" s="915">
        <f>'House Count'!E200</f>
        <v>0</v>
      </c>
      <c r="C200" s="915">
        <f>'House Count'!B200</f>
        <v>0</v>
      </c>
      <c r="D200" s="915">
        <f>'House Count'!C200</f>
        <v>0</v>
      </c>
      <c r="E200" s="915">
        <f>'House Count'!D200</f>
        <v>0</v>
      </c>
      <c r="F200" s="915" t="str">
        <f t="shared" si="3"/>
        <v/>
      </c>
      <c r="G200" s="915">
        <f>'House Count'!F200</f>
        <v>0</v>
      </c>
      <c r="H200" s="915">
        <f>'House Count'!H200</f>
        <v>0</v>
      </c>
    </row>
    <row r="201" spans="1:8" x14ac:dyDescent="0.25">
      <c r="A201" s="914">
        <f>'House Count'!A201</f>
        <v>0</v>
      </c>
      <c r="B201" s="915">
        <f>'House Count'!E201</f>
        <v>0</v>
      </c>
      <c r="C201" s="915">
        <f>'House Count'!B201</f>
        <v>0</v>
      </c>
      <c r="D201" s="915">
        <f>'House Count'!C201</f>
        <v>0</v>
      </c>
      <c r="E201" s="915">
        <f>'House Count'!D201</f>
        <v>0</v>
      </c>
      <c r="F201" s="915" t="str">
        <f t="shared" si="3"/>
        <v/>
      </c>
      <c r="G201" s="915">
        <f>'House Count'!F201</f>
        <v>0</v>
      </c>
      <c r="H201" s="915">
        <f>'House Count'!H201</f>
        <v>0</v>
      </c>
    </row>
    <row r="202" spans="1:8" x14ac:dyDescent="0.25">
      <c r="A202" s="914">
        <f>'House Count'!A202</f>
        <v>0</v>
      </c>
      <c r="B202" s="915">
        <f>'House Count'!E202</f>
        <v>0</v>
      </c>
      <c r="C202" s="915">
        <f>'House Count'!B202</f>
        <v>0</v>
      </c>
      <c r="D202" s="915">
        <f>'House Count'!C202</f>
        <v>0</v>
      </c>
      <c r="E202" s="915">
        <f>'House Count'!D202</f>
        <v>0</v>
      </c>
      <c r="F202" s="915" t="str">
        <f t="shared" si="3"/>
        <v/>
      </c>
      <c r="G202" s="915">
        <f>'House Count'!F202</f>
        <v>0</v>
      </c>
      <c r="H202" s="915">
        <f>'House Count'!H202</f>
        <v>0</v>
      </c>
    </row>
    <row r="203" spans="1:8" x14ac:dyDescent="0.25">
      <c r="A203" s="914">
        <f>'House Count'!A203</f>
        <v>0</v>
      </c>
      <c r="B203" s="915">
        <f>'House Count'!E203</f>
        <v>0</v>
      </c>
      <c r="C203" s="915">
        <f>'House Count'!B203</f>
        <v>0</v>
      </c>
      <c r="D203" s="915">
        <f>'House Count'!C203</f>
        <v>0</v>
      </c>
      <c r="E203" s="915">
        <f>'House Count'!D203</f>
        <v>0</v>
      </c>
      <c r="F203" s="915" t="str">
        <f t="shared" si="3"/>
        <v/>
      </c>
      <c r="G203" s="915">
        <f>'House Count'!F203</f>
        <v>0</v>
      </c>
      <c r="H203" s="915">
        <f>'House Count'!H203</f>
        <v>0</v>
      </c>
    </row>
    <row r="204" spans="1:8" x14ac:dyDescent="0.25">
      <c r="A204" s="914">
        <f>'House Count'!A204</f>
        <v>0</v>
      </c>
      <c r="B204" s="915">
        <f>'House Count'!E204</f>
        <v>0</v>
      </c>
      <c r="C204" s="915">
        <f>'House Count'!B204</f>
        <v>0</v>
      </c>
      <c r="D204" s="915">
        <f>'House Count'!C204</f>
        <v>0</v>
      </c>
      <c r="E204" s="915">
        <f>'House Count'!D204</f>
        <v>0</v>
      </c>
      <c r="F204" s="915" t="str">
        <f t="shared" si="3"/>
        <v/>
      </c>
      <c r="G204" s="915">
        <f>'House Count'!F204</f>
        <v>0</v>
      </c>
      <c r="H204" s="915">
        <f>'House Count'!H204</f>
        <v>0</v>
      </c>
    </row>
    <row r="205" spans="1:8" x14ac:dyDescent="0.25">
      <c r="A205" s="914">
        <f>'House Count'!A205</f>
        <v>0</v>
      </c>
      <c r="B205" s="915">
        <f>'House Count'!E205</f>
        <v>0</v>
      </c>
      <c r="C205" s="915">
        <f>'House Count'!B205</f>
        <v>0</v>
      </c>
      <c r="D205" s="915">
        <f>'House Count'!C205</f>
        <v>0</v>
      </c>
      <c r="E205" s="915">
        <f>'House Count'!D205</f>
        <v>0</v>
      </c>
      <c r="F205" s="915" t="str">
        <f t="shared" si="3"/>
        <v/>
      </c>
      <c r="G205" s="915">
        <f>'House Count'!F205</f>
        <v>0</v>
      </c>
      <c r="H205" s="915">
        <f>'House Count'!H205</f>
        <v>0</v>
      </c>
    </row>
    <row r="206" spans="1:8" x14ac:dyDescent="0.25">
      <c r="A206" s="914">
        <f>'House Count'!A206</f>
        <v>0</v>
      </c>
      <c r="B206" s="915">
        <f>'House Count'!E206</f>
        <v>0</v>
      </c>
      <c r="C206" s="915">
        <f>'House Count'!B206</f>
        <v>0</v>
      </c>
      <c r="D206" s="915">
        <f>'House Count'!C206</f>
        <v>0</v>
      </c>
      <c r="E206" s="915">
        <f>'House Count'!D206</f>
        <v>0</v>
      </c>
      <c r="F206" s="915" t="str">
        <f t="shared" si="3"/>
        <v/>
      </c>
      <c r="G206" s="915">
        <f>'House Count'!F206</f>
        <v>0</v>
      </c>
      <c r="H206" s="915">
        <f>'House Count'!H206</f>
        <v>0</v>
      </c>
    </row>
    <row r="207" spans="1:8" x14ac:dyDescent="0.25">
      <c r="A207" s="914">
        <f>'House Count'!A207</f>
        <v>0</v>
      </c>
      <c r="B207" s="915">
        <f>'House Count'!E207</f>
        <v>0</v>
      </c>
      <c r="C207" s="915">
        <f>'House Count'!B207</f>
        <v>0</v>
      </c>
      <c r="D207" s="915">
        <f>'House Count'!C207</f>
        <v>0</v>
      </c>
      <c r="E207" s="915">
        <f>'House Count'!D207</f>
        <v>0</v>
      </c>
      <c r="F207" s="915" t="str">
        <f t="shared" si="3"/>
        <v/>
      </c>
      <c r="G207" s="915">
        <f>'House Count'!F207</f>
        <v>0</v>
      </c>
      <c r="H207" s="915">
        <f>'House Count'!H207</f>
        <v>0</v>
      </c>
    </row>
    <row r="208" spans="1:8" x14ac:dyDescent="0.25">
      <c r="A208" s="914">
        <f>'House Count'!A208</f>
        <v>0</v>
      </c>
      <c r="B208" s="915">
        <f>'House Count'!E208</f>
        <v>0</v>
      </c>
      <c r="C208" s="915">
        <f>'House Count'!B208</f>
        <v>0</v>
      </c>
      <c r="D208" s="915">
        <f>'House Count'!C208</f>
        <v>0</v>
      </c>
      <c r="E208" s="915">
        <f>'House Count'!D208</f>
        <v>0</v>
      </c>
      <c r="F208" s="915" t="str">
        <f t="shared" si="3"/>
        <v/>
      </c>
      <c r="G208" s="915">
        <f>'House Count'!F208</f>
        <v>0</v>
      </c>
      <c r="H208" s="915">
        <f>'House Count'!H208</f>
        <v>0</v>
      </c>
    </row>
    <row r="209" spans="1:8" x14ac:dyDescent="0.25">
      <c r="A209" s="914">
        <f>'House Count'!A209</f>
        <v>0</v>
      </c>
      <c r="B209" s="915">
        <f>'House Count'!E209</f>
        <v>0</v>
      </c>
      <c r="C209" s="915">
        <f>'House Count'!B209</f>
        <v>0</v>
      </c>
      <c r="D209" s="915">
        <f>'House Count'!C209</f>
        <v>0</v>
      </c>
      <c r="E209" s="915">
        <f>'House Count'!D209</f>
        <v>0</v>
      </c>
      <c r="F209" s="915" t="str">
        <f t="shared" si="3"/>
        <v/>
      </c>
      <c r="G209" s="915">
        <f>'House Count'!F209</f>
        <v>0</v>
      </c>
      <c r="H209" s="915">
        <f>'House Count'!H209</f>
        <v>0</v>
      </c>
    </row>
    <row r="210" spans="1:8" x14ac:dyDescent="0.25">
      <c r="A210" s="914">
        <f>'House Count'!A210</f>
        <v>0</v>
      </c>
      <c r="B210" s="915">
        <f>'House Count'!E210</f>
        <v>0</v>
      </c>
      <c r="C210" s="915">
        <f>'House Count'!B210</f>
        <v>0</v>
      </c>
      <c r="D210" s="915">
        <f>'House Count'!C210</f>
        <v>0</v>
      </c>
      <c r="E210" s="915">
        <f>'House Count'!D210</f>
        <v>0</v>
      </c>
      <c r="F210" s="915" t="str">
        <f t="shared" si="3"/>
        <v/>
      </c>
      <c r="G210" s="915">
        <f>'House Count'!F210</f>
        <v>0</v>
      </c>
      <c r="H210" s="915">
        <f>'House Count'!H210</f>
        <v>0</v>
      </c>
    </row>
    <row r="211" spans="1:8" x14ac:dyDescent="0.25">
      <c r="A211" s="914">
        <f>'House Count'!A211</f>
        <v>0</v>
      </c>
      <c r="B211" s="915">
        <f>'House Count'!E211</f>
        <v>0</v>
      </c>
      <c r="C211" s="915">
        <f>'House Count'!B211</f>
        <v>0</v>
      </c>
      <c r="D211" s="915">
        <f>'House Count'!C211</f>
        <v>0</v>
      </c>
      <c r="E211" s="915">
        <f>'House Count'!D211</f>
        <v>0</v>
      </c>
      <c r="F211" s="915" t="str">
        <f t="shared" si="3"/>
        <v/>
      </c>
      <c r="G211" s="915">
        <f>'House Count'!F211</f>
        <v>0</v>
      </c>
      <c r="H211" s="915">
        <f>'House Count'!H211</f>
        <v>0</v>
      </c>
    </row>
    <row r="212" spans="1:8" x14ac:dyDescent="0.25">
      <c r="A212" s="914">
        <f>'House Count'!A212</f>
        <v>0</v>
      </c>
      <c r="B212" s="915">
        <f>'House Count'!E212</f>
        <v>0</v>
      </c>
      <c r="C212" s="915">
        <f>'House Count'!B212</f>
        <v>0</v>
      </c>
      <c r="D212" s="915">
        <f>'House Count'!C212</f>
        <v>0</v>
      </c>
      <c r="E212" s="915">
        <f>'House Count'!D212</f>
        <v>0</v>
      </c>
      <c r="F212" s="915" t="str">
        <f t="shared" si="3"/>
        <v/>
      </c>
      <c r="G212" s="915">
        <f>'House Count'!F212</f>
        <v>0</v>
      </c>
      <c r="H212" s="915">
        <f>'House Count'!H212</f>
        <v>0</v>
      </c>
    </row>
    <row r="213" spans="1:8" x14ac:dyDescent="0.25">
      <c r="A213" s="914">
        <f>'House Count'!A213</f>
        <v>0</v>
      </c>
      <c r="B213" s="915">
        <f>'House Count'!E213</f>
        <v>0</v>
      </c>
      <c r="C213" s="915">
        <f>'House Count'!B213</f>
        <v>0</v>
      </c>
      <c r="D213" s="915">
        <f>'House Count'!C213</f>
        <v>0</v>
      </c>
      <c r="E213" s="915">
        <f>'House Count'!D213</f>
        <v>0</v>
      </c>
      <c r="F213" s="915" t="str">
        <f t="shared" si="3"/>
        <v/>
      </c>
      <c r="G213" s="915">
        <f>'House Count'!F213</f>
        <v>0</v>
      </c>
      <c r="H213" s="915">
        <f>'House Count'!H213</f>
        <v>0</v>
      </c>
    </row>
    <row r="214" spans="1:8" x14ac:dyDescent="0.25">
      <c r="A214" s="914">
        <f>'House Count'!A214</f>
        <v>0</v>
      </c>
      <c r="B214" s="915">
        <f>'House Count'!E214</f>
        <v>0</v>
      </c>
      <c r="C214" s="915">
        <f>'House Count'!B214</f>
        <v>0</v>
      </c>
      <c r="D214" s="915">
        <f>'House Count'!C214</f>
        <v>0</v>
      </c>
      <c r="E214" s="915">
        <f>'House Count'!D214</f>
        <v>0</v>
      </c>
      <c r="F214" s="915" t="str">
        <f t="shared" si="3"/>
        <v/>
      </c>
      <c r="G214" s="915">
        <f>'House Count'!F214</f>
        <v>0</v>
      </c>
      <c r="H214" s="915">
        <f>'House Count'!H214</f>
        <v>0</v>
      </c>
    </row>
    <row r="215" spans="1:8" x14ac:dyDescent="0.25">
      <c r="A215" s="914">
        <f>'House Count'!A215</f>
        <v>0</v>
      </c>
      <c r="B215" s="915">
        <f>'House Count'!E215</f>
        <v>0</v>
      </c>
      <c r="C215" s="915">
        <f>'House Count'!B215</f>
        <v>0</v>
      </c>
      <c r="D215" s="915">
        <f>'House Count'!C215</f>
        <v>0</v>
      </c>
      <c r="E215" s="915">
        <f>'House Count'!D215</f>
        <v>0</v>
      </c>
      <c r="F215" s="915" t="str">
        <f t="shared" si="3"/>
        <v/>
      </c>
      <c r="G215" s="915">
        <f>'House Count'!F215</f>
        <v>0</v>
      </c>
      <c r="H215" s="915">
        <f>'House Count'!H215</f>
        <v>0</v>
      </c>
    </row>
    <row r="216" spans="1:8" x14ac:dyDescent="0.25">
      <c r="A216" s="914">
        <f>'House Count'!A216</f>
        <v>0</v>
      </c>
      <c r="B216" s="915">
        <f>'House Count'!E216</f>
        <v>0</v>
      </c>
      <c r="C216" s="915">
        <f>'House Count'!B216</f>
        <v>0</v>
      </c>
      <c r="D216" s="915">
        <f>'House Count'!C216</f>
        <v>0</v>
      </c>
      <c r="E216" s="915">
        <f>'House Count'!D216</f>
        <v>0</v>
      </c>
      <c r="F216" s="915" t="str">
        <f t="shared" si="3"/>
        <v/>
      </c>
      <c r="G216" s="915">
        <f>'House Count'!F216</f>
        <v>0</v>
      </c>
      <c r="H216" s="915">
        <f>'House Count'!H216</f>
        <v>0</v>
      </c>
    </row>
    <row r="217" spans="1:8" x14ac:dyDescent="0.25">
      <c r="A217" s="914">
        <f>'House Count'!A217</f>
        <v>0</v>
      </c>
      <c r="B217" s="915">
        <f>'House Count'!E217</f>
        <v>0</v>
      </c>
      <c r="C217" s="915">
        <f>'House Count'!B217</f>
        <v>0</v>
      </c>
      <c r="D217" s="915">
        <f>'House Count'!C217</f>
        <v>0</v>
      </c>
      <c r="E217" s="915">
        <f>'House Count'!D217</f>
        <v>0</v>
      </c>
      <c r="F217" s="915" t="str">
        <f t="shared" si="3"/>
        <v/>
      </c>
      <c r="G217" s="915">
        <f>'House Count'!F217</f>
        <v>0</v>
      </c>
      <c r="H217" s="915">
        <f>'House Count'!H217</f>
        <v>0</v>
      </c>
    </row>
    <row r="218" spans="1:8" x14ac:dyDescent="0.25">
      <c r="A218" s="914">
        <f>'House Count'!A218</f>
        <v>0</v>
      </c>
      <c r="B218" s="915">
        <f>'House Count'!E218</f>
        <v>0</v>
      </c>
      <c r="C218" s="915">
        <f>'House Count'!B218</f>
        <v>0</v>
      </c>
      <c r="D218" s="915">
        <f>'House Count'!C218</f>
        <v>0</v>
      </c>
      <c r="E218" s="915">
        <f>'House Count'!D218</f>
        <v>0</v>
      </c>
      <c r="F218" s="915" t="str">
        <f t="shared" si="3"/>
        <v/>
      </c>
      <c r="G218" s="915">
        <f>'House Count'!F218</f>
        <v>0</v>
      </c>
      <c r="H218" s="915">
        <f>'House Count'!H218</f>
        <v>0</v>
      </c>
    </row>
    <row r="219" spans="1:8" x14ac:dyDescent="0.25">
      <c r="A219" s="914">
        <f>'House Count'!A219</f>
        <v>0</v>
      </c>
      <c r="B219" s="915">
        <f>'House Count'!E219</f>
        <v>0</v>
      </c>
      <c r="C219" s="915">
        <f>'House Count'!B219</f>
        <v>0</v>
      </c>
      <c r="D219" s="915">
        <f>'House Count'!C219</f>
        <v>0</v>
      </c>
      <c r="E219" s="915">
        <f>'House Count'!D219</f>
        <v>0</v>
      </c>
      <c r="F219" s="915" t="str">
        <f t="shared" si="3"/>
        <v/>
      </c>
      <c r="G219" s="915">
        <f>'House Count'!F219</f>
        <v>0</v>
      </c>
      <c r="H219" s="915">
        <f>'House Count'!H219</f>
        <v>0</v>
      </c>
    </row>
    <row r="220" spans="1:8" x14ac:dyDescent="0.25">
      <c r="A220" s="914">
        <f>'House Count'!A220</f>
        <v>0</v>
      </c>
      <c r="B220" s="915">
        <f>'House Count'!E220</f>
        <v>0</v>
      </c>
      <c r="C220" s="915">
        <f>'House Count'!B220</f>
        <v>0</v>
      </c>
      <c r="D220" s="915">
        <f>'House Count'!C220</f>
        <v>0</v>
      </c>
      <c r="E220" s="915">
        <f>'House Count'!D220</f>
        <v>0</v>
      </c>
      <c r="F220" s="915" t="str">
        <f t="shared" si="3"/>
        <v/>
      </c>
      <c r="G220" s="915">
        <f>'House Count'!F220</f>
        <v>0</v>
      </c>
      <c r="H220" s="915">
        <f>'House Count'!H220</f>
        <v>0</v>
      </c>
    </row>
    <row r="221" spans="1:8" x14ac:dyDescent="0.25">
      <c r="A221" s="914">
        <f>'House Count'!A221</f>
        <v>0</v>
      </c>
      <c r="B221" s="915">
        <f>'House Count'!E221</f>
        <v>0</v>
      </c>
      <c r="C221" s="915">
        <f>'House Count'!B221</f>
        <v>0</v>
      </c>
      <c r="D221" s="915">
        <f>'House Count'!C221</f>
        <v>0</v>
      </c>
      <c r="E221" s="915">
        <f>'House Count'!D221</f>
        <v>0</v>
      </c>
      <c r="F221" s="915" t="str">
        <f t="shared" si="3"/>
        <v/>
      </c>
      <c r="G221" s="915">
        <f>'House Count'!F221</f>
        <v>0</v>
      </c>
      <c r="H221" s="915">
        <f>'House Count'!H221</f>
        <v>0</v>
      </c>
    </row>
    <row r="222" spans="1:8" x14ac:dyDescent="0.25">
      <c r="A222" s="914">
        <f>'House Count'!A222</f>
        <v>0</v>
      </c>
      <c r="B222" s="915">
        <f>'House Count'!E222</f>
        <v>0</v>
      </c>
      <c r="C222" s="915">
        <f>'House Count'!B222</f>
        <v>0</v>
      </c>
      <c r="D222" s="915">
        <f>'House Count'!C222</f>
        <v>0</v>
      </c>
      <c r="E222" s="915">
        <f>'House Count'!D222</f>
        <v>0</v>
      </c>
      <c r="F222" s="915" t="str">
        <f t="shared" si="3"/>
        <v/>
      </c>
      <c r="G222" s="915">
        <f>'House Count'!F222</f>
        <v>0</v>
      </c>
      <c r="H222" s="915">
        <f>'House Count'!H222</f>
        <v>0</v>
      </c>
    </row>
    <row r="223" spans="1:8" x14ac:dyDescent="0.25">
      <c r="A223" s="914">
        <f>'House Count'!A223</f>
        <v>0</v>
      </c>
      <c r="B223" s="915">
        <f>'House Count'!E223</f>
        <v>0</v>
      </c>
      <c r="C223" s="915">
        <f>'House Count'!B223</f>
        <v>0</v>
      </c>
      <c r="D223" s="915">
        <f>'House Count'!C223</f>
        <v>0</v>
      </c>
      <c r="E223" s="915">
        <f>'House Count'!D223</f>
        <v>0</v>
      </c>
      <c r="F223" s="915" t="str">
        <f t="shared" si="3"/>
        <v/>
      </c>
      <c r="G223" s="915">
        <f>'House Count'!F223</f>
        <v>0</v>
      </c>
      <c r="H223" s="915">
        <f>'House Count'!H223</f>
        <v>0</v>
      </c>
    </row>
    <row r="224" spans="1:8" x14ac:dyDescent="0.25">
      <c r="A224" s="914">
        <f>'House Count'!A224</f>
        <v>0</v>
      </c>
      <c r="B224" s="915">
        <f>'House Count'!E224</f>
        <v>0</v>
      </c>
      <c r="C224" s="915">
        <f>'House Count'!B224</f>
        <v>0</v>
      </c>
      <c r="D224" s="915">
        <f>'House Count'!C224</f>
        <v>0</v>
      </c>
      <c r="E224" s="915">
        <f>'House Count'!D224</f>
        <v>0</v>
      </c>
      <c r="F224" s="915" t="str">
        <f t="shared" si="3"/>
        <v/>
      </c>
      <c r="G224" s="915">
        <f>'House Count'!F224</f>
        <v>0</v>
      </c>
      <c r="H224" s="915">
        <f>'House Count'!H224</f>
        <v>0</v>
      </c>
    </row>
    <row r="225" spans="1:8" x14ac:dyDescent="0.25">
      <c r="A225" s="914">
        <f>'House Count'!A225</f>
        <v>0</v>
      </c>
      <c r="B225" s="915">
        <f>'House Count'!E225</f>
        <v>0</v>
      </c>
      <c r="C225" s="915">
        <f>'House Count'!B225</f>
        <v>0</v>
      </c>
      <c r="D225" s="915">
        <f>'House Count'!C225</f>
        <v>0</v>
      </c>
      <c r="E225" s="915">
        <f>'House Count'!D225</f>
        <v>0</v>
      </c>
      <c r="F225" s="915" t="str">
        <f t="shared" si="3"/>
        <v/>
      </c>
      <c r="G225" s="915">
        <f>'House Count'!F225</f>
        <v>0</v>
      </c>
      <c r="H225" s="915">
        <f>'House Count'!H225</f>
        <v>0</v>
      </c>
    </row>
    <row r="226" spans="1:8" x14ac:dyDescent="0.25">
      <c r="A226" s="914">
        <f>'House Count'!A226</f>
        <v>0</v>
      </c>
      <c r="B226" s="915">
        <f>'House Count'!E226</f>
        <v>0</v>
      </c>
      <c r="C226" s="915">
        <f>'House Count'!B226</f>
        <v>0</v>
      </c>
      <c r="D226" s="915">
        <f>'House Count'!C226</f>
        <v>0</v>
      </c>
      <c r="E226" s="915">
        <f>'House Count'!D226</f>
        <v>0</v>
      </c>
      <c r="F226" s="915" t="str">
        <f t="shared" si="3"/>
        <v/>
      </c>
      <c r="G226" s="915">
        <f>'House Count'!F226</f>
        <v>0</v>
      </c>
      <c r="H226" s="915">
        <f>'House Count'!H226</f>
        <v>0</v>
      </c>
    </row>
    <row r="227" spans="1:8" x14ac:dyDescent="0.25">
      <c r="A227" s="914">
        <f>'House Count'!A227</f>
        <v>0</v>
      </c>
      <c r="B227" s="915">
        <f>'House Count'!E227</f>
        <v>0</v>
      </c>
      <c r="C227" s="915">
        <f>'House Count'!B227</f>
        <v>0</v>
      </c>
      <c r="D227" s="915">
        <f>'House Count'!C227</f>
        <v>0</v>
      </c>
      <c r="E227" s="915">
        <f>'House Count'!D227</f>
        <v>0</v>
      </c>
      <c r="F227" s="915" t="str">
        <f t="shared" si="3"/>
        <v/>
      </c>
      <c r="G227" s="915">
        <f>'House Count'!F227</f>
        <v>0</v>
      </c>
      <c r="H227" s="915">
        <f>'House Count'!H227</f>
        <v>0</v>
      </c>
    </row>
    <row r="228" spans="1:8" x14ac:dyDescent="0.25">
      <c r="A228" s="914">
        <f>'House Count'!A228</f>
        <v>0</v>
      </c>
      <c r="B228" s="915">
        <f>'House Count'!E228</f>
        <v>0</v>
      </c>
      <c r="C228" s="915">
        <f>'House Count'!B228</f>
        <v>0</v>
      </c>
      <c r="D228" s="915">
        <f>'House Count'!C228</f>
        <v>0</v>
      </c>
      <c r="E228" s="915">
        <f>'House Count'!D228</f>
        <v>0</v>
      </c>
      <c r="F228" s="915" t="str">
        <f t="shared" si="3"/>
        <v/>
      </c>
      <c r="G228" s="915">
        <f>'House Count'!F228</f>
        <v>0</v>
      </c>
      <c r="H228" s="915">
        <f>'House Count'!H228</f>
        <v>0</v>
      </c>
    </row>
    <row r="229" spans="1:8" x14ac:dyDescent="0.25">
      <c r="A229" s="914">
        <f>'House Count'!A229</f>
        <v>0</v>
      </c>
      <c r="B229" s="915">
        <f>'House Count'!E229</f>
        <v>0</v>
      </c>
      <c r="C229" s="915">
        <f>'House Count'!B229</f>
        <v>0</v>
      </c>
      <c r="D229" s="915">
        <f>'House Count'!C229</f>
        <v>0</v>
      </c>
      <c r="E229" s="915">
        <f>'House Count'!D229</f>
        <v>0</v>
      </c>
      <c r="F229" s="915" t="str">
        <f t="shared" si="3"/>
        <v/>
      </c>
      <c r="G229" s="915">
        <f>'House Count'!F229</f>
        <v>0</v>
      </c>
      <c r="H229" s="915">
        <f>'House Count'!H229</f>
        <v>0</v>
      </c>
    </row>
    <row r="230" spans="1:8" x14ac:dyDescent="0.25">
      <c r="A230" s="914">
        <f>'House Count'!A230</f>
        <v>0</v>
      </c>
      <c r="B230" s="915">
        <f>'House Count'!E230</f>
        <v>0</v>
      </c>
      <c r="C230" s="915">
        <f>'House Count'!B230</f>
        <v>0</v>
      </c>
      <c r="D230" s="915">
        <f>'House Count'!C230</f>
        <v>0</v>
      </c>
      <c r="E230" s="915">
        <f>'House Count'!D230</f>
        <v>0</v>
      </c>
      <c r="F230" s="915" t="str">
        <f t="shared" si="3"/>
        <v/>
      </c>
      <c r="G230" s="915">
        <f>'House Count'!F230</f>
        <v>0</v>
      </c>
      <c r="H230" s="915">
        <f>'House Count'!H230</f>
        <v>0</v>
      </c>
    </row>
    <row r="231" spans="1:8" x14ac:dyDescent="0.25">
      <c r="A231" s="914">
        <f>'House Count'!A231</f>
        <v>0</v>
      </c>
      <c r="B231" s="915">
        <f>'House Count'!E231</f>
        <v>0</v>
      </c>
      <c r="C231" s="915">
        <f>'House Count'!B231</f>
        <v>0</v>
      </c>
      <c r="D231" s="915">
        <f>'House Count'!C231</f>
        <v>0</v>
      </c>
      <c r="E231" s="915">
        <f>'House Count'!D231</f>
        <v>0</v>
      </c>
      <c r="F231" s="915" t="str">
        <f t="shared" si="3"/>
        <v/>
      </c>
      <c r="G231" s="915">
        <f>'House Count'!F231</f>
        <v>0</v>
      </c>
      <c r="H231" s="915">
        <f>'House Count'!H231</f>
        <v>0</v>
      </c>
    </row>
    <row r="232" spans="1:8" x14ac:dyDescent="0.25">
      <c r="A232" s="914">
        <f>'House Count'!A232</f>
        <v>0</v>
      </c>
      <c r="B232" s="915">
        <f>'House Count'!E232</f>
        <v>0</v>
      </c>
      <c r="C232" s="915">
        <f>'House Count'!B232</f>
        <v>0</v>
      </c>
      <c r="D232" s="915">
        <f>'House Count'!C232</f>
        <v>0</v>
      </c>
      <c r="E232" s="915">
        <f>'House Count'!D232</f>
        <v>0</v>
      </c>
      <c r="F232" s="915" t="str">
        <f t="shared" si="3"/>
        <v/>
      </c>
      <c r="G232" s="915">
        <f>'House Count'!F232</f>
        <v>0</v>
      </c>
      <c r="H232" s="915">
        <f>'House Count'!H232</f>
        <v>0</v>
      </c>
    </row>
    <row r="233" spans="1:8" x14ac:dyDescent="0.25">
      <c r="A233" s="914">
        <f>'House Count'!A233</f>
        <v>0</v>
      </c>
      <c r="B233" s="915">
        <f>'House Count'!E233</f>
        <v>0</v>
      </c>
      <c r="C233" s="915">
        <f>'House Count'!B233</f>
        <v>0</v>
      </c>
      <c r="D233" s="915">
        <f>'House Count'!C233</f>
        <v>0</v>
      </c>
      <c r="E233" s="915">
        <f>'House Count'!D233</f>
        <v>0</v>
      </c>
      <c r="F233" s="915" t="str">
        <f t="shared" si="3"/>
        <v/>
      </c>
      <c r="G233" s="915">
        <f>'House Count'!F233</f>
        <v>0</v>
      </c>
      <c r="H233" s="915">
        <f>'House Count'!H233</f>
        <v>0</v>
      </c>
    </row>
    <row r="234" spans="1:8" x14ac:dyDescent="0.25">
      <c r="A234" s="914">
        <f>'House Count'!A234</f>
        <v>0</v>
      </c>
      <c r="B234" s="915">
        <f>'House Count'!E234</f>
        <v>0</v>
      </c>
      <c r="C234" s="915">
        <f>'House Count'!B234</f>
        <v>0</v>
      </c>
      <c r="D234" s="915">
        <f>'House Count'!C234</f>
        <v>0</v>
      </c>
      <c r="E234" s="915">
        <f>'House Count'!D234</f>
        <v>0</v>
      </c>
      <c r="F234" s="915" t="str">
        <f t="shared" si="3"/>
        <v/>
      </c>
      <c r="G234" s="915">
        <f>'House Count'!F234</f>
        <v>0</v>
      </c>
      <c r="H234" s="915">
        <f>'House Count'!H234</f>
        <v>0</v>
      </c>
    </row>
    <row r="235" spans="1:8" x14ac:dyDescent="0.25">
      <c r="A235" s="914">
        <f>'House Count'!A235</f>
        <v>0</v>
      </c>
      <c r="B235" s="915">
        <f>'House Count'!E235</f>
        <v>0</v>
      </c>
      <c r="C235" s="915">
        <f>'House Count'!B235</f>
        <v>0</v>
      </c>
      <c r="D235" s="915">
        <f>'House Count'!C235</f>
        <v>0</v>
      </c>
      <c r="E235" s="915">
        <f>'House Count'!D235</f>
        <v>0</v>
      </c>
      <c r="F235" s="915" t="str">
        <f t="shared" si="3"/>
        <v/>
      </c>
      <c r="G235" s="915">
        <f>'House Count'!F235</f>
        <v>0</v>
      </c>
      <c r="H235" s="915">
        <f>'House Count'!H235</f>
        <v>0</v>
      </c>
    </row>
    <row r="236" spans="1:8" x14ac:dyDescent="0.25">
      <c r="A236" s="914">
        <f>'House Count'!A236</f>
        <v>0</v>
      </c>
      <c r="B236" s="915">
        <f>'House Count'!E236</f>
        <v>0</v>
      </c>
      <c r="C236" s="915">
        <f>'House Count'!B236</f>
        <v>0</v>
      </c>
      <c r="D236" s="915">
        <f>'House Count'!C236</f>
        <v>0</v>
      </c>
      <c r="E236" s="915">
        <f>'House Count'!D236</f>
        <v>0</v>
      </c>
      <c r="F236" s="915" t="str">
        <f t="shared" si="3"/>
        <v/>
      </c>
      <c r="G236" s="915">
        <f>'House Count'!F236</f>
        <v>0</v>
      </c>
      <c r="H236" s="915">
        <f>'House Count'!H236</f>
        <v>0</v>
      </c>
    </row>
    <row r="237" spans="1:8" x14ac:dyDescent="0.25">
      <c r="A237" s="914">
        <f>'House Count'!A237</f>
        <v>0</v>
      </c>
      <c r="B237" s="915">
        <f>'House Count'!E237</f>
        <v>0</v>
      </c>
      <c r="C237" s="915">
        <f>'House Count'!B237</f>
        <v>0</v>
      </c>
      <c r="D237" s="915">
        <f>'House Count'!C237</f>
        <v>0</v>
      </c>
      <c r="E237" s="915">
        <f>'House Count'!D237</f>
        <v>0</v>
      </c>
      <c r="F237" s="915" t="str">
        <f t="shared" si="3"/>
        <v/>
      </c>
      <c r="G237" s="915">
        <f>'House Count'!F237</f>
        <v>0</v>
      </c>
      <c r="H237" s="915">
        <f>'House Count'!H237</f>
        <v>0</v>
      </c>
    </row>
    <row r="238" spans="1:8" x14ac:dyDescent="0.25">
      <c r="A238" s="914">
        <f>'House Count'!A238</f>
        <v>0</v>
      </c>
      <c r="B238" s="915">
        <f>'House Count'!E238</f>
        <v>0</v>
      </c>
      <c r="C238" s="915">
        <f>'House Count'!B238</f>
        <v>0</v>
      </c>
      <c r="D238" s="915">
        <f>'House Count'!C238</f>
        <v>0</v>
      </c>
      <c r="E238" s="915">
        <f>'House Count'!D238</f>
        <v>0</v>
      </c>
      <c r="F238" s="915" t="str">
        <f t="shared" si="3"/>
        <v/>
      </c>
      <c r="G238" s="915">
        <f>'House Count'!F238</f>
        <v>0</v>
      </c>
      <c r="H238" s="915">
        <f>'House Count'!H238</f>
        <v>0</v>
      </c>
    </row>
    <row r="239" spans="1:8" x14ac:dyDescent="0.25">
      <c r="A239" s="914">
        <f>'House Count'!A239</f>
        <v>0</v>
      </c>
      <c r="B239" s="915">
        <f>'House Count'!E239</f>
        <v>0</v>
      </c>
      <c r="C239" s="915">
        <f>'House Count'!B239</f>
        <v>0</v>
      </c>
      <c r="D239" s="915">
        <f>'House Count'!C239</f>
        <v>0</v>
      </c>
      <c r="E239" s="915">
        <f>'House Count'!D239</f>
        <v>0</v>
      </c>
      <c r="F239" s="915" t="str">
        <f t="shared" si="3"/>
        <v/>
      </c>
      <c r="G239" s="915">
        <f>'House Count'!F239</f>
        <v>0</v>
      </c>
      <c r="H239" s="915">
        <f>'House Count'!H239</f>
        <v>0</v>
      </c>
    </row>
    <row r="240" spans="1:8" x14ac:dyDescent="0.25">
      <c r="A240" s="914">
        <f>'House Count'!A240</f>
        <v>0</v>
      </c>
      <c r="B240" s="915">
        <f>'House Count'!E240</f>
        <v>0</v>
      </c>
      <c r="C240" s="915">
        <f>'House Count'!B240</f>
        <v>0</v>
      </c>
      <c r="D240" s="915">
        <f>'House Count'!C240</f>
        <v>0</v>
      </c>
      <c r="E240" s="915">
        <f>'House Count'!D240</f>
        <v>0</v>
      </c>
      <c r="F240" s="915" t="str">
        <f t="shared" si="3"/>
        <v/>
      </c>
      <c r="G240" s="915">
        <f>'House Count'!F240</f>
        <v>0</v>
      </c>
      <c r="H240" s="915">
        <f>'House Count'!H240</f>
        <v>0</v>
      </c>
    </row>
    <row r="241" spans="1:8" x14ac:dyDescent="0.25">
      <c r="A241" s="914">
        <f>'House Count'!A241</f>
        <v>0</v>
      </c>
      <c r="B241" s="915">
        <f>'House Count'!E241</f>
        <v>0</v>
      </c>
      <c r="C241" s="915">
        <f>'House Count'!B241</f>
        <v>0</v>
      </c>
      <c r="D241" s="915">
        <f>'House Count'!C241</f>
        <v>0</v>
      </c>
      <c r="E241" s="915">
        <f>'House Count'!D241</f>
        <v>0</v>
      </c>
      <c r="F241" s="915" t="str">
        <f t="shared" si="3"/>
        <v/>
      </c>
      <c r="G241" s="915">
        <f>'House Count'!F241</f>
        <v>0</v>
      </c>
      <c r="H241" s="915">
        <f>'House Count'!H241</f>
        <v>0</v>
      </c>
    </row>
    <row r="242" spans="1:8" x14ac:dyDescent="0.25">
      <c r="A242" s="914">
        <f>'House Count'!A242</f>
        <v>0</v>
      </c>
      <c r="B242" s="915">
        <f>'House Count'!E242</f>
        <v>0</v>
      </c>
      <c r="C242" s="915">
        <f>'House Count'!B242</f>
        <v>0</v>
      </c>
      <c r="D242" s="915">
        <f>'House Count'!C242</f>
        <v>0</v>
      </c>
      <c r="E242" s="915">
        <f>'House Count'!D242</f>
        <v>0</v>
      </c>
      <c r="F242" s="915" t="str">
        <f t="shared" si="3"/>
        <v/>
      </c>
      <c r="G242" s="915">
        <f>'House Count'!F242</f>
        <v>0</v>
      </c>
      <c r="H242" s="915">
        <f>'House Count'!H242</f>
        <v>0</v>
      </c>
    </row>
    <row r="243" spans="1:8" x14ac:dyDescent="0.25">
      <c r="A243" s="914">
        <f>'House Count'!A243</f>
        <v>0</v>
      </c>
      <c r="B243" s="915">
        <f>'House Count'!E243</f>
        <v>0</v>
      </c>
      <c r="C243" s="915">
        <f>'House Count'!B243</f>
        <v>0</v>
      </c>
      <c r="D243" s="915">
        <f>'House Count'!C243</f>
        <v>0</v>
      </c>
      <c r="E243" s="915">
        <f>'House Count'!D243</f>
        <v>0</v>
      </c>
      <c r="F243" s="915" t="str">
        <f t="shared" si="3"/>
        <v/>
      </c>
      <c r="G243" s="915">
        <f>'House Count'!F243</f>
        <v>0</v>
      </c>
      <c r="H243" s="915">
        <f>'House Count'!H243</f>
        <v>0</v>
      </c>
    </row>
    <row r="244" spans="1:8" x14ac:dyDescent="0.25">
      <c r="A244" s="914">
        <f>'House Count'!A244</f>
        <v>0</v>
      </c>
      <c r="B244" s="915">
        <f>'House Count'!E244</f>
        <v>0</v>
      </c>
      <c r="C244" s="915">
        <f>'House Count'!B244</f>
        <v>0</v>
      </c>
      <c r="D244" s="915">
        <f>'House Count'!C244</f>
        <v>0</v>
      </c>
      <c r="E244" s="915">
        <f>'House Count'!D244</f>
        <v>0</v>
      </c>
      <c r="F244" s="915" t="str">
        <f t="shared" si="3"/>
        <v/>
      </c>
      <c r="G244" s="915">
        <f>'House Count'!F244</f>
        <v>0</v>
      </c>
      <c r="H244" s="915">
        <f>'House Count'!H244</f>
        <v>0</v>
      </c>
    </row>
    <row r="245" spans="1:8" x14ac:dyDescent="0.25">
      <c r="A245" s="914">
        <f>'House Count'!A245</f>
        <v>0</v>
      </c>
      <c r="B245" s="915">
        <f>'House Count'!E245</f>
        <v>0</v>
      </c>
      <c r="C245" s="915">
        <f>'House Count'!B245</f>
        <v>0</v>
      </c>
      <c r="D245" s="915">
        <f>'House Count'!C245</f>
        <v>0</v>
      </c>
      <c r="E245" s="915">
        <f>'House Count'!D245</f>
        <v>0</v>
      </c>
      <c r="F245" s="915" t="str">
        <f t="shared" si="3"/>
        <v/>
      </c>
      <c r="G245" s="915">
        <f>'House Count'!F245</f>
        <v>0</v>
      </c>
      <c r="H245" s="915">
        <f>'House Count'!H245</f>
        <v>0</v>
      </c>
    </row>
    <row r="246" spans="1:8" x14ac:dyDescent="0.25">
      <c r="A246" s="914">
        <f>'House Count'!A246</f>
        <v>0</v>
      </c>
      <c r="B246" s="915">
        <f>'House Count'!E246</f>
        <v>0</v>
      </c>
      <c r="C246" s="915">
        <f>'House Count'!B246</f>
        <v>0</v>
      </c>
      <c r="D246" s="915">
        <f>'House Count'!C246</f>
        <v>0</v>
      </c>
      <c r="E246" s="915">
        <f>'House Count'!D246</f>
        <v>0</v>
      </c>
      <c r="F246" s="915" t="str">
        <f t="shared" si="3"/>
        <v/>
      </c>
      <c r="G246" s="915">
        <f>'House Count'!F246</f>
        <v>0</v>
      </c>
      <c r="H246" s="915">
        <f>'House Count'!H246</f>
        <v>0</v>
      </c>
    </row>
    <row r="247" spans="1:8" x14ac:dyDescent="0.25">
      <c r="A247" s="914">
        <f>'House Count'!A247</f>
        <v>0</v>
      </c>
      <c r="B247" s="915">
        <f>'House Count'!E247</f>
        <v>0</v>
      </c>
      <c r="C247" s="915">
        <f>'House Count'!B247</f>
        <v>0</v>
      </c>
      <c r="D247" s="915">
        <f>'House Count'!C247</f>
        <v>0</v>
      </c>
      <c r="E247" s="915">
        <f>'House Count'!D247</f>
        <v>0</v>
      </c>
      <c r="F247" s="915" t="str">
        <f t="shared" si="3"/>
        <v/>
      </c>
      <c r="G247" s="915">
        <f>'House Count'!F247</f>
        <v>0</v>
      </c>
      <c r="H247" s="915">
        <f>'House Count'!H247</f>
        <v>0</v>
      </c>
    </row>
    <row r="248" spans="1:8" x14ac:dyDescent="0.25">
      <c r="A248" s="914">
        <f>'House Count'!A248</f>
        <v>0</v>
      </c>
      <c r="B248" s="915">
        <f>'House Count'!E248</f>
        <v>0</v>
      </c>
      <c r="C248" s="915">
        <f>'House Count'!B248</f>
        <v>0</v>
      </c>
      <c r="D248" s="915">
        <f>'House Count'!C248</f>
        <v>0</v>
      </c>
      <c r="E248" s="915">
        <f>'House Count'!D248</f>
        <v>0</v>
      </c>
      <c r="F248" s="915" t="str">
        <f t="shared" si="3"/>
        <v/>
      </c>
      <c r="G248" s="915">
        <f>'House Count'!F248</f>
        <v>0</v>
      </c>
      <c r="H248" s="915">
        <f>'House Count'!H248</f>
        <v>0</v>
      </c>
    </row>
    <row r="249" spans="1:8" x14ac:dyDescent="0.25">
      <c r="A249" s="914">
        <f>'House Count'!A249</f>
        <v>0</v>
      </c>
      <c r="B249" s="915">
        <f>'House Count'!E249</f>
        <v>0</v>
      </c>
      <c r="C249" s="915">
        <f>'House Count'!B249</f>
        <v>0</v>
      </c>
      <c r="D249" s="915">
        <f>'House Count'!C249</f>
        <v>0</v>
      </c>
      <c r="E249" s="915">
        <f>'House Count'!D249</f>
        <v>0</v>
      </c>
      <c r="F249" s="915" t="str">
        <f t="shared" si="3"/>
        <v/>
      </c>
      <c r="G249" s="915">
        <f>'House Count'!F249</f>
        <v>0</v>
      </c>
      <c r="H249" s="915">
        <f>'House Count'!H249</f>
        <v>0</v>
      </c>
    </row>
    <row r="250" spans="1:8" x14ac:dyDescent="0.25">
      <c r="A250" s="914">
        <f>'House Count'!A250</f>
        <v>0</v>
      </c>
      <c r="B250" s="915">
        <f>'House Count'!E250</f>
        <v>0</v>
      </c>
      <c r="C250" s="915">
        <f>'House Count'!B250</f>
        <v>0</v>
      </c>
      <c r="D250" s="915">
        <f>'House Count'!C250</f>
        <v>0</v>
      </c>
      <c r="E250" s="915">
        <f>'House Count'!D250</f>
        <v>0</v>
      </c>
      <c r="F250" s="915" t="str">
        <f t="shared" si="3"/>
        <v/>
      </c>
      <c r="G250" s="915">
        <f>'House Count'!F250</f>
        <v>0</v>
      </c>
      <c r="H250" s="915">
        <f>'House Count'!H250</f>
        <v>0</v>
      </c>
    </row>
    <row r="251" spans="1:8" x14ac:dyDescent="0.25">
      <c r="A251" s="914">
        <f>'House Count'!A251</f>
        <v>0</v>
      </c>
      <c r="B251" s="915">
        <f>'House Count'!E251</f>
        <v>0</v>
      </c>
      <c r="C251" s="915">
        <f>'House Count'!B251</f>
        <v>0</v>
      </c>
      <c r="D251" s="915">
        <f>'House Count'!C251</f>
        <v>0</v>
      </c>
      <c r="E251" s="915">
        <f>'House Count'!D251</f>
        <v>0</v>
      </c>
      <c r="F251" s="915" t="str">
        <f t="shared" si="3"/>
        <v/>
      </c>
      <c r="G251" s="915">
        <f>'House Count'!F251</f>
        <v>0</v>
      </c>
      <c r="H251" s="915">
        <f>'House Count'!H251</f>
        <v>0</v>
      </c>
    </row>
    <row r="252" spans="1:8" x14ac:dyDescent="0.25">
      <c r="A252" s="914">
        <f>'House Count'!A252</f>
        <v>0</v>
      </c>
      <c r="B252" s="915">
        <f>'House Count'!E252</f>
        <v>0</v>
      </c>
      <c r="C252" s="915">
        <f>'House Count'!B252</f>
        <v>0</v>
      </c>
      <c r="D252" s="915">
        <f>'House Count'!C252</f>
        <v>0</v>
      </c>
      <c r="E252" s="915">
        <f>'House Count'!D252</f>
        <v>0</v>
      </c>
      <c r="F252" s="915" t="str">
        <f t="shared" si="3"/>
        <v/>
      </c>
      <c r="G252" s="915">
        <f>'House Count'!F252</f>
        <v>0</v>
      </c>
      <c r="H252" s="915">
        <f>'House Count'!H252</f>
        <v>0</v>
      </c>
    </row>
    <row r="253" spans="1:8" x14ac:dyDescent="0.25">
      <c r="A253" s="914">
        <f>'House Count'!A253</f>
        <v>0</v>
      </c>
      <c r="B253" s="915">
        <f>'House Count'!E253</f>
        <v>0</v>
      </c>
      <c r="C253" s="915">
        <f>'House Count'!B253</f>
        <v>0</v>
      </c>
      <c r="D253" s="915">
        <f>'House Count'!C253</f>
        <v>0</v>
      </c>
      <c r="E253" s="915">
        <f>'House Count'!D253</f>
        <v>0</v>
      </c>
      <c r="F253" s="915" t="str">
        <f t="shared" si="3"/>
        <v/>
      </c>
      <c r="G253" s="915">
        <f>'House Count'!F253</f>
        <v>0</v>
      </c>
      <c r="H253" s="915">
        <f>'House Count'!H253</f>
        <v>0</v>
      </c>
    </row>
    <row r="254" spans="1:8" x14ac:dyDescent="0.25">
      <c r="A254" s="914">
        <f>'House Count'!A254</f>
        <v>0</v>
      </c>
      <c r="B254" s="915">
        <f>'House Count'!E254</f>
        <v>0</v>
      </c>
      <c r="C254" s="915">
        <f>'House Count'!B254</f>
        <v>0</v>
      </c>
      <c r="D254" s="915">
        <f>'House Count'!C254</f>
        <v>0</v>
      </c>
      <c r="E254" s="915">
        <f>'House Count'!D254</f>
        <v>0</v>
      </c>
      <c r="F254" s="915" t="str">
        <f t="shared" si="3"/>
        <v/>
      </c>
      <c r="G254" s="915">
        <f>'House Count'!F254</f>
        <v>0</v>
      </c>
      <c r="H254" s="915">
        <f>'House Count'!H254</f>
        <v>0</v>
      </c>
    </row>
    <row r="255" spans="1:8" x14ac:dyDescent="0.25">
      <c r="A255" s="914">
        <f>'House Count'!A255</f>
        <v>0</v>
      </c>
      <c r="B255" s="915">
        <f>'House Count'!E255</f>
        <v>0</v>
      </c>
      <c r="C255" s="915">
        <f>'House Count'!B255</f>
        <v>0</v>
      </c>
      <c r="D255" s="915">
        <f>'House Count'!C255</f>
        <v>0</v>
      </c>
      <c r="E255" s="915">
        <f>'House Count'!D255</f>
        <v>0</v>
      </c>
      <c r="F255" s="915" t="str">
        <f t="shared" si="3"/>
        <v/>
      </c>
      <c r="G255" s="915">
        <f>'House Count'!F255</f>
        <v>0</v>
      </c>
      <c r="H255" s="915">
        <f>'House Count'!H255</f>
        <v>0</v>
      </c>
    </row>
    <row r="256" spans="1:8" x14ac:dyDescent="0.25">
      <c r="A256" s="914">
        <f>'House Count'!A256</f>
        <v>0</v>
      </c>
      <c r="B256" s="915">
        <f>'House Count'!E256</f>
        <v>0</v>
      </c>
      <c r="C256" s="915">
        <f>'House Count'!B256</f>
        <v>0</v>
      </c>
      <c r="D256" s="915">
        <f>'House Count'!C256</f>
        <v>0</v>
      </c>
      <c r="E256" s="915">
        <f>'House Count'!D256</f>
        <v>0</v>
      </c>
      <c r="F256" s="915" t="str">
        <f t="shared" si="3"/>
        <v/>
      </c>
      <c r="G256" s="915">
        <f>'House Count'!F256</f>
        <v>0</v>
      </c>
      <c r="H256" s="915">
        <f>'House Count'!H256</f>
        <v>0</v>
      </c>
    </row>
    <row r="257" spans="1:8" x14ac:dyDescent="0.25">
      <c r="A257" s="914">
        <f>'House Count'!A257</f>
        <v>0</v>
      </c>
      <c r="B257" s="915">
        <f>'House Count'!E257</f>
        <v>0</v>
      </c>
      <c r="C257" s="915">
        <f>'House Count'!B257</f>
        <v>0</v>
      </c>
      <c r="D257" s="915">
        <f>'House Count'!C257</f>
        <v>0</v>
      </c>
      <c r="E257" s="915">
        <f>'House Count'!D257</f>
        <v>0</v>
      </c>
      <c r="F257" s="915" t="str">
        <f t="shared" si="3"/>
        <v/>
      </c>
      <c r="G257" s="915">
        <f>'House Count'!F257</f>
        <v>0</v>
      </c>
      <c r="H257" s="915">
        <f>'House Count'!H257</f>
        <v>0</v>
      </c>
    </row>
    <row r="258" spans="1:8" x14ac:dyDescent="0.25">
      <c r="A258" s="914">
        <f>'House Count'!A258</f>
        <v>0</v>
      </c>
      <c r="B258" s="915">
        <f>'House Count'!E258</f>
        <v>0</v>
      </c>
      <c r="C258" s="915">
        <f>'House Count'!B258</f>
        <v>0</v>
      </c>
      <c r="D258" s="915">
        <f>'House Count'!C258</f>
        <v>0</v>
      </c>
      <c r="E258" s="915">
        <f>'House Count'!D258</f>
        <v>0</v>
      </c>
      <c r="F258" s="915" t="str">
        <f t="shared" si="3"/>
        <v/>
      </c>
      <c r="G258" s="915">
        <f>'House Count'!F258</f>
        <v>0</v>
      </c>
      <c r="H258" s="915">
        <f>'House Count'!H258</f>
        <v>0</v>
      </c>
    </row>
    <row r="259" spans="1:8" x14ac:dyDescent="0.25">
      <c r="A259" s="914">
        <f>'House Count'!A259</f>
        <v>0</v>
      </c>
      <c r="B259" s="915">
        <f>'House Count'!E259</f>
        <v>0</v>
      </c>
      <c r="C259" s="915">
        <f>'House Count'!B259</f>
        <v>0</v>
      </c>
      <c r="D259" s="915">
        <f>'House Count'!C259</f>
        <v>0</v>
      </c>
      <c r="E259" s="915">
        <f>'House Count'!D259</f>
        <v>0</v>
      </c>
      <c r="F259" s="915" t="str">
        <f t="shared" ref="F259:F322" si="4">IF(G259="RES-SFU","RESIDENTIAL",IF(G259="RES-HOA","RESIDENTIAL",IF(G259="RES-MDU","RESIDENTIAL",IF(G259="COMM-SU","BUSINESS",IF(G259="COM-MTU","BUSINESS",IF(G259="ENT","BUSINESS",""))))))</f>
        <v/>
      </c>
      <c r="G259" s="915">
        <f>'House Count'!F259</f>
        <v>0</v>
      </c>
      <c r="H259" s="915">
        <f>'House Count'!H259</f>
        <v>0</v>
      </c>
    </row>
    <row r="260" spans="1:8" x14ac:dyDescent="0.25">
      <c r="A260" s="914">
        <f>'House Count'!A260</f>
        <v>0</v>
      </c>
      <c r="B260" s="915">
        <f>'House Count'!E260</f>
        <v>0</v>
      </c>
      <c r="C260" s="915">
        <f>'House Count'!B260</f>
        <v>0</v>
      </c>
      <c r="D260" s="915">
        <f>'House Count'!C260</f>
        <v>0</v>
      </c>
      <c r="E260" s="915">
        <f>'House Count'!D260</f>
        <v>0</v>
      </c>
      <c r="F260" s="915" t="str">
        <f t="shared" si="4"/>
        <v/>
      </c>
      <c r="G260" s="915">
        <f>'House Count'!F260</f>
        <v>0</v>
      </c>
      <c r="H260" s="915">
        <f>'House Count'!H260</f>
        <v>0</v>
      </c>
    </row>
    <row r="261" spans="1:8" x14ac:dyDescent="0.25">
      <c r="A261" s="914">
        <f>'House Count'!A261</f>
        <v>0</v>
      </c>
      <c r="B261" s="915">
        <f>'House Count'!E261</f>
        <v>0</v>
      </c>
      <c r="C261" s="915">
        <f>'House Count'!B261</f>
        <v>0</v>
      </c>
      <c r="D261" s="915">
        <f>'House Count'!C261</f>
        <v>0</v>
      </c>
      <c r="E261" s="915">
        <f>'House Count'!D261</f>
        <v>0</v>
      </c>
      <c r="F261" s="915" t="str">
        <f t="shared" si="4"/>
        <v/>
      </c>
      <c r="G261" s="915">
        <f>'House Count'!F261</f>
        <v>0</v>
      </c>
      <c r="H261" s="915">
        <f>'House Count'!H261</f>
        <v>0</v>
      </c>
    </row>
    <row r="262" spans="1:8" x14ac:dyDescent="0.25">
      <c r="A262" s="914">
        <f>'House Count'!A262</f>
        <v>0</v>
      </c>
      <c r="B262" s="915">
        <f>'House Count'!E262</f>
        <v>0</v>
      </c>
      <c r="C262" s="915">
        <f>'House Count'!B262</f>
        <v>0</v>
      </c>
      <c r="D262" s="915">
        <f>'House Count'!C262</f>
        <v>0</v>
      </c>
      <c r="E262" s="915">
        <f>'House Count'!D262</f>
        <v>0</v>
      </c>
      <c r="F262" s="915" t="str">
        <f t="shared" si="4"/>
        <v/>
      </c>
      <c r="G262" s="915">
        <f>'House Count'!F262</f>
        <v>0</v>
      </c>
      <c r="H262" s="915">
        <f>'House Count'!H262</f>
        <v>0</v>
      </c>
    </row>
    <row r="263" spans="1:8" x14ac:dyDescent="0.25">
      <c r="A263" s="914">
        <f>'House Count'!A263</f>
        <v>0</v>
      </c>
      <c r="B263" s="915">
        <f>'House Count'!E263</f>
        <v>0</v>
      </c>
      <c r="C263" s="915">
        <f>'House Count'!B263</f>
        <v>0</v>
      </c>
      <c r="D263" s="915">
        <f>'House Count'!C263</f>
        <v>0</v>
      </c>
      <c r="E263" s="915">
        <f>'House Count'!D263</f>
        <v>0</v>
      </c>
      <c r="F263" s="915" t="str">
        <f t="shared" si="4"/>
        <v/>
      </c>
      <c r="G263" s="915">
        <f>'House Count'!F263</f>
        <v>0</v>
      </c>
      <c r="H263" s="915">
        <f>'House Count'!H263</f>
        <v>0</v>
      </c>
    </row>
    <row r="264" spans="1:8" x14ac:dyDescent="0.25">
      <c r="A264" s="914">
        <f>'House Count'!A264</f>
        <v>0</v>
      </c>
      <c r="B264" s="915">
        <f>'House Count'!E264</f>
        <v>0</v>
      </c>
      <c r="C264" s="915">
        <f>'House Count'!B264</f>
        <v>0</v>
      </c>
      <c r="D264" s="915">
        <f>'House Count'!C264</f>
        <v>0</v>
      </c>
      <c r="E264" s="915">
        <f>'House Count'!D264</f>
        <v>0</v>
      </c>
      <c r="F264" s="915" t="str">
        <f t="shared" si="4"/>
        <v/>
      </c>
      <c r="G264" s="915">
        <f>'House Count'!F264</f>
        <v>0</v>
      </c>
      <c r="H264" s="915">
        <f>'House Count'!H264</f>
        <v>0</v>
      </c>
    </row>
    <row r="265" spans="1:8" x14ac:dyDescent="0.25">
      <c r="A265" s="914">
        <f>'House Count'!A265</f>
        <v>0</v>
      </c>
      <c r="B265" s="915">
        <f>'House Count'!E265</f>
        <v>0</v>
      </c>
      <c r="C265" s="915">
        <f>'House Count'!B265</f>
        <v>0</v>
      </c>
      <c r="D265" s="915">
        <f>'House Count'!C265</f>
        <v>0</v>
      </c>
      <c r="E265" s="915">
        <f>'House Count'!D265</f>
        <v>0</v>
      </c>
      <c r="F265" s="915" t="str">
        <f t="shared" si="4"/>
        <v/>
      </c>
      <c r="G265" s="915">
        <f>'House Count'!F265</f>
        <v>0</v>
      </c>
      <c r="H265" s="915">
        <f>'House Count'!H265</f>
        <v>0</v>
      </c>
    </row>
    <row r="266" spans="1:8" x14ac:dyDescent="0.25">
      <c r="A266" s="914">
        <f>'House Count'!A266</f>
        <v>0</v>
      </c>
      <c r="B266" s="915">
        <f>'House Count'!E266</f>
        <v>0</v>
      </c>
      <c r="C266" s="915">
        <f>'House Count'!B266</f>
        <v>0</v>
      </c>
      <c r="D266" s="915">
        <f>'House Count'!C266</f>
        <v>0</v>
      </c>
      <c r="E266" s="915">
        <f>'House Count'!D266</f>
        <v>0</v>
      </c>
      <c r="F266" s="915" t="str">
        <f t="shared" si="4"/>
        <v/>
      </c>
      <c r="G266" s="915">
        <f>'House Count'!F266</f>
        <v>0</v>
      </c>
      <c r="H266" s="915">
        <f>'House Count'!H266</f>
        <v>0</v>
      </c>
    </row>
    <row r="267" spans="1:8" x14ac:dyDescent="0.25">
      <c r="A267" s="914">
        <f>'House Count'!A267</f>
        <v>0</v>
      </c>
      <c r="B267" s="915">
        <f>'House Count'!E267</f>
        <v>0</v>
      </c>
      <c r="C267" s="915">
        <f>'House Count'!B267</f>
        <v>0</v>
      </c>
      <c r="D267" s="915">
        <f>'House Count'!C267</f>
        <v>0</v>
      </c>
      <c r="E267" s="915">
        <f>'House Count'!D267</f>
        <v>0</v>
      </c>
      <c r="F267" s="915" t="str">
        <f t="shared" si="4"/>
        <v/>
      </c>
      <c r="G267" s="915">
        <f>'House Count'!F267</f>
        <v>0</v>
      </c>
      <c r="H267" s="915">
        <f>'House Count'!H267</f>
        <v>0</v>
      </c>
    </row>
    <row r="268" spans="1:8" x14ac:dyDescent="0.25">
      <c r="A268" s="914">
        <f>'House Count'!A268</f>
        <v>0</v>
      </c>
      <c r="B268" s="915">
        <f>'House Count'!E268</f>
        <v>0</v>
      </c>
      <c r="C268" s="915">
        <f>'House Count'!B268</f>
        <v>0</v>
      </c>
      <c r="D268" s="915">
        <f>'House Count'!C268</f>
        <v>0</v>
      </c>
      <c r="E268" s="915">
        <f>'House Count'!D268</f>
        <v>0</v>
      </c>
      <c r="F268" s="915" t="str">
        <f t="shared" si="4"/>
        <v/>
      </c>
      <c r="G268" s="915">
        <f>'House Count'!F268</f>
        <v>0</v>
      </c>
      <c r="H268" s="915">
        <f>'House Count'!H268</f>
        <v>0</v>
      </c>
    </row>
    <row r="269" spans="1:8" x14ac:dyDescent="0.25">
      <c r="A269" s="914">
        <f>'House Count'!A269</f>
        <v>0</v>
      </c>
      <c r="B269" s="915">
        <f>'House Count'!E269</f>
        <v>0</v>
      </c>
      <c r="C269" s="915">
        <f>'House Count'!B269</f>
        <v>0</v>
      </c>
      <c r="D269" s="915">
        <f>'House Count'!C269</f>
        <v>0</v>
      </c>
      <c r="E269" s="915">
        <f>'House Count'!D269</f>
        <v>0</v>
      </c>
      <c r="F269" s="915" t="str">
        <f t="shared" si="4"/>
        <v/>
      </c>
      <c r="G269" s="915">
        <f>'House Count'!F269</f>
        <v>0</v>
      </c>
      <c r="H269" s="915">
        <f>'House Count'!H269</f>
        <v>0</v>
      </c>
    </row>
    <row r="270" spans="1:8" x14ac:dyDescent="0.25">
      <c r="A270" s="914">
        <f>'House Count'!A270</f>
        <v>0</v>
      </c>
      <c r="B270" s="915">
        <f>'House Count'!E270</f>
        <v>0</v>
      </c>
      <c r="C270" s="915">
        <f>'House Count'!B270</f>
        <v>0</v>
      </c>
      <c r="D270" s="915">
        <f>'House Count'!C270</f>
        <v>0</v>
      </c>
      <c r="E270" s="915">
        <f>'House Count'!D270</f>
        <v>0</v>
      </c>
      <c r="F270" s="915" t="str">
        <f t="shared" si="4"/>
        <v/>
      </c>
      <c r="G270" s="915">
        <f>'House Count'!F270</f>
        <v>0</v>
      </c>
      <c r="H270" s="915">
        <f>'House Count'!H270</f>
        <v>0</v>
      </c>
    </row>
    <row r="271" spans="1:8" x14ac:dyDescent="0.25">
      <c r="A271" s="914">
        <f>'House Count'!A271</f>
        <v>0</v>
      </c>
      <c r="B271" s="915">
        <f>'House Count'!E271</f>
        <v>0</v>
      </c>
      <c r="C271" s="915">
        <f>'House Count'!B271</f>
        <v>0</v>
      </c>
      <c r="D271" s="915">
        <f>'House Count'!C271</f>
        <v>0</v>
      </c>
      <c r="E271" s="915">
        <f>'House Count'!D271</f>
        <v>0</v>
      </c>
      <c r="F271" s="915" t="str">
        <f t="shared" si="4"/>
        <v/>
      </c>
      <c r="G271" s="915">
        <f>'House Count'!F271</f>
        <v>0</v>
      </c>
      <c r="H271" s="915">
        <f>'House Count'!H271</f>
        <v>0</v>
      </c>
    </row>
    <row r="272" spans="1:8" x14ac:dyDescent="0.25">
      <c r="A272" s="914">
        <f>'House Count'!A272</f>
        <v>0</v>
      </c>
      <c r="B272" s="915">
        <f>'House Count'!E272</f>
        <v>0</v>
      </c>
      <c r="C272" s="915">
        <f>'House Count'!B272</f>
        <v>0</v>
      </c>
      <c r="D272" s="915">
        <f>'House Count'!C272</f>
        <v>0</v>
      </c>
      <c r="E272" s="915">
        <f>'House Count'!D272</f>
        <v>0</v>
      </c>
      <c r="F272" s="915" t="str">
        <f t="shared" si="4"/>
        <v/>
      </c>
      <c r="G272" s="915">
        <f>'House Count'!F272</f>
        <v>0</v>
      </c>
      <c r="H272" s="915">
        <f>'House Count'!H272</f>
        <v>0</v>
      </c>
    </row>
    <row r="273" spans="1:8" x14ac:dyDescent="0.25">
      <c r="A273" s="914">
        <f>'House Count'!A273</f>
        <v>0</v>
      </c>
      <c r="B273" s="915">
        <f>'House Count'!E273</f>
        <v>0</v>
      </c>
      <c r="C273" s="915">
        <f>'House Count'!B273</f>
        <v>0</v>
      </c>
      <c r="D273" s="915">
        <f>'House Count'!C273</f>
        <v>0</v>
      </c>
      <c r="E273" s="915">
        <f>'House Count'!D273</f>
        <v>0</v>
      </c>
      <c r="F273" s="915" t="str">
        <f t="shared" si="4"/>
        <v/>
      </c>
      <c r="G273" s="915">
        <f>'House Count'!F273</f>
        <v>0</v>
      </c>
      <c r="H273" s="915">
        <f>'House Count'!H273</f>
        <v>0</v>
      </c>
    </row>
    <row r="274" spans="1:8" x14ac:dyDescent="0.25">
      <c r="A274" s="914">
        <f>'House Count'!A274</f>
        <v>0</v>
      </c>
      <c r="B274" s="915">
        <f>'House Count'!E274</f>
        <v>0</v>
      </c>
      <c r="C274" s="915">
        <f>'House Count'!B274</f>
        <v>0</v>
      </c>
      <c r="D274" s="915">
        <f>'House Count'!C274</f>
        <v>0</v>
      </c>
      <c r="E274" s="915">
        <f>'House Count'!D274</f>
        <v>0</v>
      </c>
      <c r="F274" s="915" t="str">
        <f t="shared" si="4"/>
        <v/>
      </c>
      <c r="G274" s="915">
        <f>'House Count'!F274</f>
        <v>0</v>
      </c>
      <c r="H274" s="915">
        <f>'House Count'!H274</f>
        <v>0</v>
      </c>
    </row>
    <row r="275" spans="1:8" x14ac:dyDescent="0.25">
      <c r="A275" s="914">
        <f>'House Count'!A275</f>
        <v>0</v>
      </c>
      <c r="B275" s="915">
        <f>'House Count'!E275</f>
        <v>0</v>
      </c>
      <c r="C275" s="915">
        <f>'House Count'!B275</f>
        <v>0</v>
      </c>
      <c r="D275" s="915">
        <f>'House Count'!C275</f>
        <v>0</v>
      </c>
      <c r="E275" s="915">
        <f>'House Count'!D275</f>
        <v>0</v>
      </c>
      <c r="F275" s="915" t="str">
        <f t="shared" si="4"/>
        <v/>
      </c>
      <c r="G275" s="915">
        <f>'House Count'!F275</f>
        <v>0</v>
      </c>
      <c r="H275" s="915">
        <f>'House Count'!H275</f>
        <v>0</v>
      </c>
    </row>
    <row r="276" spans="1:8" x14ac:dyDescent="0.25">
      <c r="A276" s="914">
        <f>'House Count'!A276</f>
        <v>0</v>
      </c>
      <c r="B276" s="915">
        <f>'House Count'!E276</f>
        <v>0</v>
      </c>
      <c r="C276" s="915">
        <f>'House Count'!B276</f>
        <v>0</v>
      </c>
      <c r="D276" s="915">
        <f>'House Count'!C276</f>
        <v>0</v>
      </c>
      <c r="E276" s="915">
        <f>'House Count'!D276</f>
        <v>0</v>
      </c>
      <c r="F276" s="915" t="str">
        <f t="shared" si="4"/>
        <v/>
      </c>
      <c r="G276" s="915">
        <f>'House Count'!F276</f>
        <v>0</v>
      </c>
      <c r="H276" s="915">
        <f>'House Count'!H276</f>
        <v>0</v>
      </c>
    </row>
    <row r="277" spans="1:8" x14ac:dyDescent="0.25">
      <c r="A277" s="914">
        <f>'House Count'!A277</f>
        <v>0</v>
      </c>
      <c r="B277" s="915">
        <f>'House Count'!E277</f>
        <v>0</v>
      </c>
      <c r="C277" s="915">
        <f>'House Count'!B277</f>
        <v>0</v>
      </c>
      <c r="D277" s="915">
        <f>'House Count'!C277</f>
        <v>0</v>
      </c>
      <c r="E277" s="915">
        <f>'House Count'!D277</f>
        <v>0</v>
      </c>
      <c r="F277" s="915" t="str">
        <f t="shared" si="4"/>
        <v/>
      </c>
      <c r="G277" s="915">
        <f>'House Count'!F277</f>
        <v>0</v>
      </c>
      <c r="H277" s="915">
        <f>'House Count'!H277</f>
        <v>0</v>
      </c>
    </row>
    <row r="278" spans="1:8" x14ac:dyDescent="0.25">
      <c r="A278" s="914">
        <f>'House Count'!A278</f>
        <v>0</v>
      </c>
      <c r="B278" s="915">
        <f>'House Count'!E278</f>
        <v>0</v>
      </c>
      <c r="C278" s="915">
        <f>'House Count'!B278</f>
        <v>0</v>
      </c>
      <c r="D278" s="915">
        <f>'House Count'!C278</f>
        <v>0</v>
      </c>
      <c r="E278" s="915">
        <f>'House Count'!D278</f>
        <v>0</v>
      </c>
      <c r="F278" s="915" t="str">
        <f t="shared" si="4"/>
        <v/>
      </c>
      <c r="G278" s="915">
        <f>'House Count'!F278</f>
        <v>0</v>
      </c>
      <c r="H278" s="915">
        <f>'House Count'!H278</f>
        <v>0</v>
      </c>
    </row>
    <row r="279" spans="1:8" x14ac:dyDescent="0.25">
      <c r="A279" s="914">
        <f>'House Count'!A279</f>
        <v>0</v>
      </c>
      <c r="B279" s="915">
        <f>'House Count'!E279</f>
        <v>0</v>
      </c>
      <c r="C279" s="915">
        <f>'House Count'!B279</f>
        <v>0</v>
      </c>
      <c r="D279" s="915">
        <f>'House Count'!C279</f>
        <v>0</v>
      </c>
      <c r="E279" s="915">
        <f>'House Count'!D279</f>
        <v>0</v>
      </c>
      <c r="F279" s="915" t="str">
        <f t="shared" si="4"/>
        <v/>
      </c>
      <c r="G279" s="915">
        <f>'House Count'!F279</f>
        <v>0</v>
      </c>
      <c r="H279" s="915">
        <f>'House Count'!H279</f>
        <v>0</v>
      </c>
    </row>
    <row r="280" spans="1:8" x14ac:dyDescent="0.25">
      <c r="A280" s="914">
        <f>'House Count'!A280</f>
        <v>0</v>
      </c>
      <c r="B280" s="915">
        <f>'House Count'!E280</f>
        <v>0</v>
      </c>
      <c r="C280" s="915">
        <f>'House Count'!B280</f>
        <v>0</v>
      </c>
      <c r="D280" s="915">
        <f>'House Count'!C280</f>
        <v>0</v>
      </c>
      <c r="E280" s="915">
        <f>'House Count'!D280</f>
        <v>0</v>
      </c>
      <c r="F280" s="915" t="str">
        <f t="shared" si="4"/>
        <v/>
      </c>
      <c r="G280" s="915">
        <f>'House Count'!F280</f>
        <v>0</v>
      </c>
      <c r="H280" s="915">
        <f>'House Count'!H280</f>
        <v>0</v>
      </c>
    </row>
    <row r="281" spans="1:8" x14ac:dyDescent="0.25">
      <c r="A281" s="914">
        <f>'House Count'!A281</f>
        <v>0</v>
      </c>
      <c r="B281" s="915">
        <f>'House Count'!E281</f>
        <v>0</v>
      </c>
      <c r="C281" s="915">
        <f>'House Count'!B281</f>
        <v>0</v>
      </c>
      <c r="D281" s="915">
        <f>'House Count'!C281</f>
        <v>0</v>
      </c>
      <c r="E281" s="915">
        <f>'House Count'!D281</f>
        <v>0</v>
      </c>
      <c r="F281" s="915" t="str">
        <f t="shared" si="4"/>
        <v/>
      </c>
      <c r="G281" s="915">
        <f>'House Count'!F281</f>
        <v>0</v>
      </c>
      <c r="H281" s="915">
        <f>'House Count'!H281</f>
        <v>0</v>
      </c>
    </row>
    <row r="282" spans="1:8" x14ac:dyDescent="0.25">
      <c r="A282" s="914">
        <f>'House Count'!A282</f>
        <v>0</v>
      </c>
      <c r="B282" s="915">
        <f>'House Count'!E282</f>
        <v>0</v>
      </c>
      <c r="C282" s="915">
        <f>'House Count'!B282</f>
        <v>0</v>
      </c>
      <c r="D282" s="915">
        <f>'House Count'!C282</f>
        <v>0</v>
      </c>
      <c r="E282" s="915">
        <f>'House Count'!D282</f>
        <v>0</v>
      </c>
      <c r="F282" s="915" t="str">
        <f t="shared" si="4"/>
        <v/>
      </c>
      <c r="G282" s="915">
        <f>'House Count'!F282</f>
        <v>0</v>
      </c>
      <c r="H282" s="915">
        <f>'House Count'!H282</f>
        <v>0</v>
      </c>
    </row>
    <row r="283" spans="1:8" x14ac:dyDescent="0.25">
      <c r="A283" s="914">
        <f>'House Count'!A283</f>
        <v>0</v>
      </c>
      <c r="B283" s="915">
        <f>'House Count'!E283</f>
        <v>0</v>
      </c>
      <c r="C283" s="915">
        <f>'House Count'!B283</f>
        <v>0</v>
      </c>
      <c r="D283" s="915">
        <f>'House Count'!C283</f>
        <v>0</v>
      </c>
      <c r="E283" s="915">
        <f>'House Count'!D283</f>
        <v>0</v>
      </c>
      <c r="F283" s="915" t="str">
        <f t="shared" si="4"/>
        <v/>
      </c>
      <c r="G283" s="915">
        <f>'House Count'!F283</f>
        <v>0</v>
      </c>
      <c r="H283" s="915">
        <f>'House Count'!H283</f>
        <v>0</v>
      </c>
    </row>
    <row r="284" spans="1:8" x14ac:dyDescent="0.25">
      <c r="A284" s="914">
        <f>'House Count'!A284</f>
        <v>0</v>
      </c>
      <c r="B284" s="915">
        <f>'House Count'!E284</f>
        <v>0</v>
      </c>
      <c r="C284" s="915">
        <f>'House Count'!B284</f>
        <v>0</v>
      </c>
      <c r="D284" s="915">
        <f>'House Count'!C284</f>
        <v>0</v>
      </c>
      <c r="E284" s="915">
        <f>'House Count'!D284</f>
        <v>0</v>
      </c>
      <c r="F284" s="915" t="str">
        <f t="shared" si="4"/>
        <v/>
      </c>
      <c r="G284" s="915">
        <f>'House Count'!F284</f>
        <v>0</v>
      </c>
      <c r="H284" s="915">
        <f>'House Count'!H284</f>
        <v>0</v>
      </c>
    </row>
    <row r="285" spans="1:8" x14ac:dyDescent="0.25">
      <c r="A285" s="914">
        <f>'House Count'!A285</f>
        <v>0</v>
      </c>
      <c r="B285" s="915">
        <f>'House Count'!E285</f>
        <v>0</v>
      </c>
      <c r="C285" s="915">
        <f>'House Count'!B285</f>
        <v>0</v>
      </c>
      <c r="D285" s="915">
        <f>'House Count'!C285</f>
        <v>0</v>
      </c>
      <c r="E285" s="915">
        <f>'House Count'!D285</f>
        <v>0</v>
      </c>
      <c r="F285" s="915" t="str">
        <f t="shared" si="4"/>
        <v/>
      </c>
      <c r="G285" s="915">
        <f>'House Count'!F285</f>
        <v>0</v>
      </c>
      <c r="H285" s="915">
        <f>'House Count'!H285</f>
        <v>0</v>
      </c>
    </row>
    <row r="286" spans="1:8" x14ac:dyDescent="0.25">
      <c r="A286" s="914">
        <f>'House Count'!A286</f>
        <v>0</v>
      </c>
      <c r="B286" s="915">
        <f>'House Count'!E286</f>
        <v>0</v>
      </c>
      <c r="C286" s="915">
        <f>'House Count'!B286</f>
        <v>0</v>
      </c>
      <c r="D286" s="915">
        <f>'House Count'!C286</f>
        <v>0</v>
      </c>
      <c r="E286" s="915">
        <f>'House Count'!D286</f>
        <v>0</v>
      </c>
      <c r="F286" s="915" t="str">
        <f t="shared" si="4"/>
        <v/>
      </c>
      <c r="G286" s="915">
        <f>'House Count'!F286</f>
        <v>0</v>
      </c>
      <c r="H286" s="915">
        <f>'House Count'!H286</f>
        <v>0</v>
      </c>
    </row>
    <row r="287" spans="1:8" x14ac:dyDescent="0.25">
      <c r="A287" s="914">
        <f>'House Count'!A287</f>
        <v>0</v>
      </c>
      <c r="B287" s="915">
        <f>'House Count'!E287</f>
        <v>0</v>
      </c>
      <c r="C287" s="915">
        <f>'House Count'!B287</f>
        <v>0</v>
      </c>
      <c r="D287" s="915">
        <f>'House Count'!C287</f>
        <v>0</v>
      </c>
      <c r="E287" s="915">
        <f>'House Count'!D287</f>
        <v>0</v>
      </c>
      <c r="F287" s="915" t="str">
        <f t="shared" si="4"/>
        <v/>
      </c>
      <c r="G287" s="915">
        <f>'House Count'!F287</f>
        <v>0</v>
      </c>
      <c r="H287" s="915">
        <f>'House Count'!H287</f>
        <v>0</v>
      </c>
    </row>
    <row r="288" spans="1:8" x14ac:dyDescent="0.25">
      <c r="A288" s="914">
        <f>'House Count'!A288</f>
        <v>0</v>
      </c>
      <c r="B288" s="915">
        <f>'House Count'!E288</f>
        <v>0</v>
      </c>
      <c r="C288" s="915">
        <f>'House Count'!B288</f>
        <v>0</v>
      </c>
      <c r="D288" s="915">
        <f>'House Count'!C288</f>
        <v>0</v>
      </c>
      <c r="E288" s="915">
        <f>'House Count'!D288</f>
        <v>0</v>
      </c>
      <c r="F288" s="915" t="str">
        <f t="shared" si="4"/>
        <v/>
      </c>
      <c r="G288" s="915">
        <f>'House Count'!F288</f>
        <v>0</v>
      </c>
      <c r="H288" s="915">
        <f>'House Count'!H288</f>
        <v>0</v>
      </c>
    </row>
    <row r="289" spans="1:8" x14ac:dyDescent="0.25">
      <c r="A289" s="914">
        <f>'House Count'!A289</f>
        <v>0</v>
      </c>
      <c r="B289" s="915">
        <f>'House Count'!E289</f>
        <v>0</v>
      </c>
      <c r="C289" s="915">
        <f>'House Count'!B289</f>
        <v>0</v>
      </c>
      <c r="D289" s="915">
        <f>'House Count'!C289</f>
        <v>0</v>
      </c>
      <c r="E289" s="915">
        <f>'House Count'!D289</f>
        <v>0</v>
      </c>
      <c r="F289" s="915" t="str">
        <f t="shared" si="4"/>
        <v/>
      </c>
      <c r="G289" s="915">
        <f>'House Count'!F289</f>
        <v>0</v>
      </c>
      <c r="H289" s="915">
        <f>'House Count'!H289</f>
        <v>0</v>
      </c>
    </row>
    <row r="290" spans="1:8" x14ac:dyDescent="0.25">
      <c r="A290" s="914">
        <f>'House Count'!A290</f>
        <v>0</v>
      </c>
      <c r="B290" s="915">
        <f>'House Count'!E290</f>
        <v>0</v>
      </c>
      <c r="C290" s="915">
        <f>'House Count'!B290</f>
        <v>0</v>
      </c>
      <c r="D290" s="915">
        <f>'House Count'!C290</f>
        <v>0</v>
      </c>
      <c r="E290" s="915">
        <f>'House Count'!D290</f>
        <v>0</v>
      </c>
      <c r="F290" s="915" t="str">
        <f t="shared" si="4"/>
        <v/>
      </c>
      <c r="G290" s="915">
        <f>'House Count'!F290</f>
        <v>0</v>
      </c>
      <c r="H290" s="915">
        <f>'House Count'!H290</f>
        <v>0</v>
      </c>
    </row>
    <row r="291" spans="1:8" x14ac:dyDescent="0.25">
      <c r="A291" s="914">
        <f>'House Count'!A291</f>
        <v>0</v>
      </c>
      <c r="B291" s="915">
        <f>'House Count'!E291</f>
        <v>0</v>
      </c>
      <c r="C291" s="915">
        <f>'House Count'!B291</f>
        <v>0</v>
      </c>
      <c r="D291" s="915">
        <f>'House Count'!C291</f>
        <v>0</v>
      </c>
      <c r="E291" s="915">
        <f>'House Count'!D291</f>
        <v>0</v>
      </c>
      <c r="F291" s="915" t="str">
        <f t="shared" si="4"/>
        <v/>
      </c>
      <c r="G291" s="915">
        <f>'House Count'!F291</f>
        <v>0</v>
      </c>
      <c r="H291" s="915">
        <f>'House Count'!H291</f>
        <v>0</v>
      </c>
    </row>
    <row r="292" spans="1:8" x14ac:dyDescent="0.25">
      <c r="A292" s="914">
        <f>'House Count'!A292</f>
        <v>0</v>
      </c>
      <c r="B292" s="915">
        <f>'House Count'!E292</f>
        <v>0</v>
      </c>
      <c r="C292" s="915">
        <f>'House Count'!B292</f>
        <v>0</v>
      </c>
      <c r="D292" s="915">
        <f>'House Count'!C292</f>
        <v>0</v>
      </c>
      <c r="E292" s="915">
        <f>'House Count'!D292</f>
        <v>0</v>
      </c>
      <c r="F292" s="915" t="str">
        <f t="shared" si="4"/>
        <v/>
      </c>
      <c r="G292" s="915">
        <f>'House Count'!F292</f>
        <v>0</v>
      </c>
      <c r="H292" s="915">
        <f>'House Count'!H292</f>
        <v>0</v>
      </c>
    </row>
    <row r="293" spans="1:8" x14ac:dyDescent="0.25">
      <c r="A293" s="914">
        <f>'House Count'!A293</f>
        <v>0</v>
      </c>
      <c r="B293" s="915">
        <f>'House Count'!E293</f>
        <v>0</v>
      </c>
      <c r="C293" s="915">
        <f>'House Count'!B293</f>
        <v>0</v>
      </c>
      <c r="D293" s="915">
        <f>'House Count'!C293</f>
        <v>0</v>
      </c>
      <c r="E293" s="915">
        <f>'House Count'!D293</f>
        <v>0</v>
      </c>
      <c r="F293" s="915" t="str">
        <f t="shared" si="4"/>
        <v/>
      </c>
      <c r="G293" s="915">
        <f>'House Count'!F293</f>
        <v>0</v>
      </c>
      <c r="H293" s="915">
        <f>'House Count'!H293</f>
        <v>0</v>
      </c>
    </row>
    <row r="294" spans="1:8" x14ac:dyDescent="0.25">
      <c r="A294" s="914">
        <f>'House Count'!A294</f>
        <v>0</v>
      </c>
      <c r="B294" s="915">
        <f>'House Count'!E294</f>
        <v>0</v>
      </c>
      <c r="C294" s="915">
        <f>'House Count'!B294</f>
        <v>0</v>
      </c>
      <c r="D294" s="915">
        <f>'House Count'!C294</f>
        <v>0</v>
      </c>
      <c r="E294" s="915">
        <f>'House Count'!D294</f>
        <v>0</v>
      </c>
      <c r="F294" s="915" t="str">
        <f t="shared" si="4"/>
        <v/>
      </c>
      <c r="G294" s="915">
        <f>'House Count'!F294</f>
        <v>0</v>
      </c>
      <c r="H294" s="915">
        <f>'House Count'!H294</f>
        <v>0</v>
      </c>
    </row>
    <row r="295" spans="1:8" x14ac:dyDescent="0.25">
      <c r="A295" s="914">
        <f>'House Count'!A295</f>
        <v>0</v>
      </c>
      <c r="B295" s="915">
        <f>'House Count'!E295</f>
        <v>0</v>
      </c>
      <c r="C295" s="915">
        <f>'House Count'!B295</f>
        <v>0</v>
      </c>
      <c r="D295" s="915">
        <f>'House Count'!C295</f>
        <v>0</v>
      </c>
      <c r="E295" s="915">
        <f>'House Count'!D295</f>
        <v>0</v>
      </c>
      <c r="F295" s="915" t="str">
        <f t="shared" si="4"/>
        <v/>
      </c>
      <c r="G295" s="915">
        <f>'House Count'!F295</f>
        <v>0</v>
      </c>
      <c r="H295" s="915">
        <f>'House Count'!H295</f>
        <v>0</v>
      </c>
    </row>
    <row r="296" spans="1:8" x14ac:dyDescent="0.25">
      <c r="A296" s="914">
        <f>'House Count'!A296</f>
        <v>0</v>
      </c>
      <c r="B296" s="915">
        <f>'House Count'!E296</f>
        <v>0</v>
      </c>
      <c r="C296" s="915">
        <f>'House Count'!B296</f>
        <v>0</v>
      </c>
      <c r="D296" s="915">
        <f>'House Count'!C296</f>
        <v>0</v>
      </c>
      <c r="E296" s="915">
        <f>'House Count'!D296</f>
        <v>0</v>
      </c>
      <c r="F296" s="915" t="str">
        <f t="shared" si="4"/>
        <v/>
      </c>
      <c r="G296" s="915">
        <f>'House Count'!F296</f>
        <v>0</v>
      </c>
      <c r="H296" s="915">
        <f>'House Count'!H296</f>
        <v>0</v>
      </c>
    </row>
    <row r="297" spans="1:8" x14ac:dyDescent="0.25">
      <c r="A297" s="914">
        <f>'House Count'!A297</f>
        <v>0</v>
      </c>
      <c r="B297" s="915">
        <f>'House Count'!E297</f>
        <v>0</v>
      </c>
      <c r="C297" s="915">
        <f>'House Count'!B297</f>
        <v>0</v>
      </c>
      <c r="D297" s="915">
        <f>'House Count'!C297</f>
        <v>0</v>
      </c>
      <c r="E297" s="915">
        <f>'House Count'!D297</f>
        <v>0</v>
      </c>
      <c r="F297" s="915" t="str">
        <f t="shared" si="4"/>
        <v/>
      </c>
      <c r="G297" s="915">
        <f>'House Count'!F297</f>
        <v>0</v>
      </c>
      <c r="H297" s="915">
        <f>'House Count'!H297</f>
        <v>0</v>
      </c>
    </row>
    <row r="298" spans="1:8" x14ac:dyDescent="0.25">
      <c r="A298" s="914">
        <f>'House Count'!A298</f>
        <v>0</v>
      </c>
      <c r="B298" s="915">
        <f>'House Count'!E298</f>
        <v>0</v>
      </c>
      <c r="C298" s="915">
        <f>'House Count'!B298</f>
        <v>0</v>
      </c>
      <c r="D298" s="915">
        <f>'House Count'!C298</f>
        <v>0</v>
      </c>
      <c r="E298" s="915">
        <f>'House Count'!D298</f>
        <v>0</v>
      </c>
      <c r="F298" s="915" t="str">
        <f t="shared" si="4"/>
        <v/>
      </c>
      <c r="G298" s="915">
        <f>'House Count'!F298</f>
        <v>0</v>
      </c>
      <c r="H298" s="915">
        <f>'House Count'!H298</f>
        <v>0</v>
      </c>
    </row>
    <row r="299" spans="1:8" x14ac:dyDescent="0.25">
      <c r="A299" s="914">
        <f>'House Count'!A299</f>
        <v>0</v>
      </c>
      <c r="B299" s="915">
        <f>'House Count'!E299</f>
        <v>0</v>
      </c>
      <c r="C299" s="915">
        <f>'House Count'!B299</f>
        <v>0</v>
      </c>
      <c r="D299" s="915">
        <f>'House Count'!C299</f>
        <v>0</v>
      </c>
      <c r="E299" s="915">
        <f>'House Count'!D299</f>
        <v>0</v>
      </c>
      <c r="F299" s="915" t="str">
        <f t="shared" si="4"/>
        <v/>
      </c>
      <c r="G299" s="915">
        <f>'House Count'!F299</f>
        <v>0</v>
      </c>
      <c r="H299" s="915">
        <f>'House Count'!H299</f>
        <v>0</v>
      </c>
    </row>
    <row r="300" spans="1:8" x14ac:dyDescent="0.25">
      <c r="A300" s="914">
        <f>'House Count'!A300</f>
        <v>0</v>
      </c>
      <c r="B300" s="915">
        <f>'House Count'!E300</f>
        <v>0</v>
      </c>
      <c r="C300" s="915">
        <f>'House Count'!B300</f>
        <v>0</v>
      </c>
      <c r="D300" s="915">
        <f>'House Count'!C300</f>
        <v>0</v>
      </c>
      <c r="E300" s="915">
        <f>'House Count'!D300</f>
        <v>0</v>
      </c>
      <c r="F300" s="915" t="str">
        <f t="shared" si="4"/>
        <v/>
      </c>
      <c r="G300" s="915">
        <f>'House Count'!F300</f>
        <v>0</v>
      </c>
      <c r="H300" s="915">
        <f>'House Count'!H300</f>
        <v>0</v>
      </c>
    </row>
    <row r="301" spans="1:8" x14ac:dyDescent="0.25">
      <c r="A301" s="914">
        <f>'House Count'!A301</f>
        <v>0</v>
      </c>
      <c r="B301" s="915">
        <f>'House Count'!E301</f>
        <v>0</v>
      </c>
      <c r="C301" s="915">
        <f>'House Count'!B301</f>
        <v>0</v>
      </c>
      <c r="D301" s="915">
        <f>'House Count'!C301</f>
        <v>0</v>
      </c>
      <c r="E301" s="915">
        <f>'House Count'!D301</f>
        <v>0</v>
      </c>
      <c r="F301" s="915" t="str">
        <f t="shared" si="4"/>
        <v/>
      </c>
      <c r="G301" s="915">
        <f>'House Count'!F301</f>
        <v>0</v>
      </c>
      <c r="H301" s="915">
        <f>'House Count'!H301</f>
        <v>0</v>
      </c>
    </row>
    <row r="302" spans="1:8" x14ac:dyDescent="0.25">
      <c r="A302" s="914">
        <f>'House Count'!A302</f>
        <v>0</v>
      </c>
      <c r="B302" s="915">
        <f>'House Count'!E302</f>
        <v>0</v>
      </c>
      <c r="C302" s="915">
        <f>'House Count'!B302</f>
        <v>0</v>
      </c>
      <c r="D302" s="915">
        <f>'House Count'!C302</f>
        <v>0</v>
      </c>
      <c r="E302" s="915">
        <f>'House Count'!D302</f>
        <v>0</v>
      </c>
      <c r="F302" s="915" t="str">
        <f t="shared" si="4"/>
        <v/>
      </c>
      <c r="G302" s="915">
        <f>'House Count'!F302</f>
        <v>0</v>
      </c>
      <c r="H302" s="915">
        <f>'House Count'!H302</f>
        <v>0</v>
      </c>
    </row>
    <row r="303" spans="1:8" x14ac:dyDescent="0.25">
      <c r="A303" s="914">
        <f>'House Count'!A303</f>
        <v>0</v>
      </c>
      <c r="B303" s="915">
        <f>'House Count'!E303</f>
        <v>0</v>
      </c>
      <c r="C303" s="915">
        <f>'House Count'!B303</f>
        <v>0</v>
      </c>
      <c r="D303" s="915">
        <f>'House Count'!C303</f>
        <v>0</v>
      </c>
      <c r="E303" s="915">
        <f>'House Count'!D303</f>
        <v>0</v>
      </c>
      <c r="F303" s="915" t="str">
        <f t="shared" si="4"/>
        <v/>
      </c>
      <c r="G303" s="915">
        <f>'House Count'!F303</f>
        <v>0</v>
      </c>
      <c r="H303" s="915">
        <f>'House Count'!H303</f>
        <v>0</v>
      </c>
    </row>
    <row r="304" spans="1:8" x14ac:dyDescent="0.25">
      <c r="A304" s="914">
        <f>'House Count'!A304</f>
        <v>0</v>
      </c>
      <c r="B304" s="915">
        <f>'House Count'!E304</f>
        <v>0</v>
      </c>
      <c r="C304" s="915">
        <f>'House Count'!B304</f>
        <v>0</v>
      </c>
      <c r="D304" s="915">
        <f>'House Count'!C304</f>
        <v>0</v>
      </c>
      <c r="E304" s="915">
        <f>'House Count'!D304</f>
        <v>0</v>
      </c>
      <c r="F304" s="915" t="str">
        <f t="shared" si="4"/>
        <v/>
      </c>
      <c r="G304" s="915">
        <f>'House Count'!F304</f>
        <v>0</v>
      </c>
      <c r="H304" s="915">
        <f>'House Count'!H304</f>
        <v>0</v>
      </c>
    </row>
    <row r="305" spans="1:8" x14ac:dyDescent="0.25">
      <c r="A305" s="914">
        <f>'House Count'!A305</f>
        <v>0</v>
      </c>
      <c r="B305" s="915">
        <f>'House Count'!E305</f>
        <v>0</v>
      </c>
      <c r="C305" s="915">
        <f>'House Count'!B305</f>
        <v>0</v>
      </c>
      <c r="D305" s="915">
        <f>'House Count'!C305</f>
        <v>0</v>
      </c>
      <c r="E305" s="915">
        <f>'House Count'!D305</f>
        <v>0</v>
      </c>
      <c r="F305" s="915" t="str">
        <f t="shared" si="4"/>
        <v/>
      </c>
      <c r="G305" s="915">
        <f>'House Count'!F305</f>
        <v>0</v>
      </c>
      <c r="H305" s="915">
        <f>'House Count'!H305</f>
        <v>0</v>
      </c>
    </row>
    <row r="306" spans="1:8" x14ac:dyDescent="0.25">
      <c r="A306" s="914">
        <f>'House Count'!A306</f>
        <v>0</v>
      </c>
      <c r="B306" s="915">
        <f>'House Count'!E306</f>
        <v>0</v>
      </c>
      <c r="C306" s="915">
        <f>'House Count'!B306</f>
        <v>0</v>
      </c>
      <c r="D306" s="915">
        <f>'House Count'!C306</f>
        <v>0</v>
      </c>
      <c r="E306" s="915">
        <f>'House Count'!D306</f>
        <v>0</v>
      </c>
      <c r="F306" s="915" t="str">
        <f t="shared" si="4"/>
        <v/>
      </c>
      <c r="G306" s="915">
        <f>'House Count'!F306</f>
        <v>0</v>
      </c>
      <c r="H306" s="915">
        <f>'House Count'!H306</f>
        <v>0</v>
      </c>
    </row>
    <row r="307" spans="1:8" x14ac:dyDescent="0.25">
      <c r="A307" s="914">
        <f>'House Count'!A307</f>
        <v>0</v>
      </c>
      <c r="B307" s="915">
        <f>'House Count'!E307</f>
        <v>0</v>
      </c>
      <c r="C307" s="915">
        <f>'House Count'!B307</f>
        <v>0</v>
      </c>
      <c r="D307" s="915">
        <f>'House Count'!C307</f>
        <v>0</v>
      </c>
      <c r="E307" s="915">
        <f>'House Count'!D307</f>
        <v>0</v>
      </c>
      <c r="F307" s="915" t="str">
        <f t="shared" si="4"/>
        <v/>
      </c>
      <c r="G307" s="915">
        <f>'House Count'!F307</f>
        <v>0</v>
      </c>
      <c r="H307" s="915">
        <f>'House Count'!H307</f>
        <v>0</v>
      </c>
    </row>
    <row r="308" spans="1:8" x14ac:dyDescent="0.25">
      <c r="A308" s="914">
        <f>'House Count'!A308</f>
        <v>0</v>
      </c>
      <c r="B308" s="915">
        <f>'House Count'!E308</f>
        <v>0</v>
      </c>
      <c r="C308" s="915">
        <f>'House Count'!B308</f>
        <v>0</v>
      </c>
      <c r="D308" s="915">
        <f>'House Count'!C308</f>
        <v>0</v>
      </c>
      <c r="E308" s="915">
        <f>'House Count'!D308</f>
        <v>0</v>
      </c>
      <c r="F308" s="915" t="str">
        <f t="shared" si="4"/>
        <v/>
      </c>
      <c r="G308" s="915">
        <f>'House Count'!F308</f>
        <v>0</v>
      </c>
      <c r="H308" s="915">
        <f>'House Count'!H308</f>
        <v>0</v>
      </c>
    </row>
    <row r="309" spans="1:8" x14ac:dyDescent="0.25">
      <c r="A309" s="914">
        <f>'House Count'!A309</f>
        <v>0</v>
      </c>
      <c r="B309" s="915">
        <f>'House Count'!E309</f>
        <v>0</v>
      </c>
      <c r="C309" s="915">
        <f>'House Count'!B309</f>
        <v>0</v>
      </c>
      <c r="D309" s="915">
        <f>'House Count'!C309</f>
        <v>0</v>
      </c>
      <c r="E309" s="915">
        <f>'House Count'!D309</f>
        <v>0</v>
      </c>
      <c r="F309" s="915" t="str">
        <f t="shared" si="4"/>
        <v/>
      </c>
      <c r="G309" s="915">
        <f>'House Count'!F309</f>
        <v>0</v>
      </c>
      <c r="H309" s="915">
        <f>'House Count'!H309</f>
        <v>0</v>
      </c>
    </row>
    <row r="310" spans="1:8" x14ac:dyDescent="0.25">
      <c r="A310" s="914">
        <f>'House Count'!A310</f>
        <v>0</v>
      </c>
      <c r="B310" s="915">
        <f>'House Count'!E310</f>
        <v>0</v>
      </c>
      <c r="C310" s="915">
        <f>'House Count'!B310</f>
        <v>0</v>
      </c>
      <c r="D310" s="915">
        <f>'House Count'!C310</f>
        <v>0</v>
      </c>
      <c r="E310" s="915">
        <f>'House Count'!D310</f>
        <v>0</v>
      </c>
      <c r="F310" s="915" t="str">
        <f t="shared" si="4"/>
        <v/>
      </c>
      <c r="G310" s="915">
        <f>'House Count'!F310</f>
        <v>0</v>
      </c>
      <c r="H310" s="915">
        <f>'House Count'!H310</f>
        <v>0</v>
      </c>
    </row>
    <row r="311" spans="1:8" x14ac:dyDescent="0.25">
      <c r="A311" s="914">
        <f>'House Count'!A311</f>
        <v>0</v>
      </c>
      <c r="B311" s="915">
        <f>'House Count'!E311</f>
        <v>0</v>
      </c>
      <c r="C311" s="915">
        <f>'House Count'!B311</f>
        <v>0</v>
      </c>
      <c r="D311" s="915">
        <f>'House Count'!C311</f>
        <v>0</v>
      </c>
      <c r="E311" s="915">
        <f>'House Count'!D311</f>
        <v>0</v>
      </c>
      <c r="F311" s="915" t="str">
        <f t="shared" si="4"/>
        <v/>
      </c>
      <c r="G311" s="915">
        <f>'House Count'!F311</f>
        <v>0</v>
      </c>
      <c r="H311" s="915">
        <f>'House Count'!H311</f>
        <v>0</v>
      </c>
    </row>
    <row r="312" spans="1:8" x14ac:dyDescent="0.25">
      <c r="A312" s="914">
        <f>'House Count'!A312</f>
        <v>0</v>
      </c>
      <c r="B312" s="915">
        <f>'House Count'!E312</f>
        <v>0</v>
      </c>
      <c r="C312" s="915">
        <f>'House Count'!B312</f>
        <v>0</v>
      </c>
      <c r="D312" s="915">
        <f>'House Count'!C312</f>
        <v>0</v>
      </c>
      <c r="E312" s="915">
        <f>'House Count'!D312</f>
        <v>0</v>
      </c>
      <c r="F312" s="915" t="str">
        <f t="shared" si="4"/>
        <v/>
      </c>
      <c r="G312" s="915">
        <f>'House Count'!F312</f>
        <v>0</v>
      </c>
      <c r="H312" s="915">
        <f>'House Count'!H312</f>
        <v>0</v>
      </c>
    </row>
    <row r="313" spans="1:8" x14ac:dyDescent="0.25">
      <c r="A313" s="914">
        <f>'House Count'!A313</f>
        <v>0</v>
      </c>
      <c r="B313" s="915">
        <f>'House Count'!E313</f>
        <v>0</v>
      </c>
      <c r="C313" s="915">
        <f>'House Count'!B313</f>
        <v>0</v>
      </c>
      <c r="D313" s="915">
        <f>'House Count'!C313</f>
        <v>0</v>
      </c>
      <c r="E313" s="915">
        <f>'House Count'!D313</f>
        <v>0</v>
      </c>
      <c r="F313" s="915" t="str">
        <f t="shared" si="4"/>
        <v/>
      </c>
      <c r="G313" s="915">
        <f>'House Count'!F313</f>
        <v>0</v>
      </c>
      <c r="H313" s="915">
        <f>'House Count'!H313</f>
        <v>0</v>
      </c>
    </row>
    <row r="314" spans="1:8" x14ac:dyDescent="0.25">
      <c r="A314" s="914">
        <f>'House Count'!A314</f>
        <v>0</v>
      </c>
      <c r="B314" s="915">
        <f>'House Count'!E314</f>
        <v>0</v>
      </c>
      <c r="C314" s="915">
        <f>'House Count'!B314</f>
        <v>0</v>
      </c>
      <c r="D314" s="915">
        <f>'House Count'!C314</f>
        <v>0</v>
      </c>
      <c r="E314" s="915">
        <f>'House Count'!D314</f>
        <v>0</v>
      </c>
      <c r="F314" s="915" t="str">
        <f t="shared" si="4"/>
        <v/>
      </c>
      <c r="G314" s="915">
        <f>'House Count'!F314</f>
        <v>0</v>
      </c>
      <c r="H314" s="915">
        <f>'House Count'!H314</f>
        <v>0</v>
      </c>
    </row>
    <row r="315" spans="1:8" x14ac:dyDescent="0.25">
      <c r="A315" s="914">
        <f>'House Count'!A315</f>
        <v>0</v>
      </c>
      <c r="B315" s="915">
        <f>'House Count'!E315</f>
        <v>0</v>
      </c>
      <c r="C315" s="915">
        <f>'House Count'!B315</f>
        <v>0</v>
      </c>
      <c r="D315" s="915">
        <f>'House Count'!C315</f>
        <v>0</v>
      </c>
      <c r="E315" s="915">
        <f>'House Count'!D315</f>
        <v>0</v>
      </c>
      <c r="F315" s="915" t="str">
        <f t="shared" si="4"/>
        <v/>
      </c>
      <c r="G315" s="915">
        <f>'House Count'!F315</f>
        <v>0</v>
      </c>
      <c r="H315" s="915">
        <f>'House Count'!H315</f>
        <v>0</v>
      </c>
    </row>
    <row r="316" spans="1:8" x14ac:dyDescent="0.25">
      <c r="A316" s="914">
        <f>'House Count'!A316</f>
        <v>0</v>
      </c>
      <c r="B316" s="915">
        <f>'House Count'!E316</f>
        <v>0</v>
      </c>
      <c r="C316" s="915">
        <f>'House Count'!B316</f>
        <v>0</v>
      </c>
      <c r="D316" s="915">
        <f>'House Count'!C316</f>
        <v>0</v>
      </c>
      <c r="E316" s="915">
        <f>'House Count'!D316</f>
        <v>0</v>
      </c>
      <c r="F316" s="915" t="str">
        <f t="shared" si="4"/>
        <v/>
      </c>
      <c r="G316" s="915">
        <f>'House Count'!F316</f>
        <v>0</v>
      </c>
      <c r="H316" s="915">
        <f>'House Count'!H316</f>
        <v>0</v>
      </c>
    </row>
    <row r="317" spans="1:8" x14ac:dyDescent="0.25">
      <c r="A317" s="914">
        <f>'House Count'!A317</f>
        <v>0</v>
      </c>
      <c r="B317" s="915">
        <f>'House Count'!E317</f>
        <v>0</v>
      </c>
      <c r="C317" s="915">
        <f>'House Count'!B317</f>
        <v>0</v>
      </c>
      <c r="D317" s="915">
        <f>'House Count'!C317</f>
        <v>0</v>
      </c>
      <c r="E317" s="915">
        <f>'House Count'!D317</f>
        <v>0</v>
      </c>
      <c r="F317" s="915" t="str">
        <f t="shared" si="4"/>
        <v/>
      </c>
      <c r="G317" s="915">
        <f>'House Count'!F317</f>
        <v>0</v>
      </c>
      <c r="H317" s="915">
        <f>'House Count'!H317</f>
        <v>0</v>
      </c>
    </row>
    <row r="318" spans="1:8" x14ac:dyDescent="0.25">
      <c r="A318" s="914">
        <f>'House Count'!A318</f>
        <v>0</v>
      </c>
      <c r="B318" s="915">
        <f>'House Count'!E318</f>
        <v>0</v>
      </c>
      <c r="C318" s="915">
        <f>'House Count'!B318</f>
        <v>0</v>
      </c>
      <c r="D318" s="915">
        <f>'House Count'!C318</f>
        <v>0</v>
      </c>
      <c r="E318" s="915">
        <f>'House Count'!D318</f>
        <v>0</v>
      </c>
      <c r="F318" s="915" t="str">
        <f t="shared" si="4"/>
        <v/>
      </c>
      <c r="G318" s="915">
        <f>'House Count'!F318</f>
        <v>0</v>
      </c>
      <c r="H318" s="915">
        <f>'House Count'!H318</f>
        <v>0</v>
      </c>
    </row>
    <row r="319" spans="1:8" x14ac:dyDescent="0.25">
      <c r="A319" s="914">
        <f>'House Count'!A319</f>
        <v>0</v>
      </c>
      <c r="B319" s="915">
        <f>'House Count'!E319</f>
        <v>0</v>
      </c>
      <c r="C319" s="915">
        <f>'House Count'!B319</f>
        <v>0</v>
      </c>
      <c r="D319" s="915">
        <f>'House Count'!C319</f>
        <v>0</v>
      </c>
      <c r="E319" s="915">
        <f>'House Count'!D319</f>
        <v>0</v>
      </c>
      <c r="F319" s="915" t="str">
        <f t="shared" si="4"/>
        <v/>
      </c>
      <c r="G319" s="915">
        <f>'House Count'!F319</f>
        <v>0</v>
      </c>
      <c r="H319" s="915">
        <f>'House Count'!H319</f>
        <v>0</v>
      </c>
    </row>
    <row r="320" spans="1:8" x14ac:dyDescent="0.25">
      <c r="A320" s="914">
        <f>'House Count'!A320</f>
        <v>0</v>
      </c>
      <c r="B320" s="915">
        <f>'House Count'!E320</f>
        <v>0</v>
      </c>
      <c r="C320" s="915">
        <f>'House Count'!B320</f>
        <v>0</v>
      </c>
      <c r="D320" s="915">
        <f>'House Count'!C320</f>
        <v>0</v>
      </c>
      <c r="E320" s="915">
        <f>'House Count'!D320</f>
        <v>0</v>
      </c>
      <c r="F320" s="915" t="str">
        <f t="shared" si="4"/>
        <v/>
      </c>
      <c r="G320" s="915">
        <f>'House Count'!F320</f>
        <v>0</v>
      </c>
      <c r="H320" s="915">
        <f>'House Count'!H320</f>
        <v>0</v>
      </c>
    </row>
    <row r="321" spans="1:8" x14ac:dyDescent="0.25">
      <c r="A321" s="914">
        <f>'House Count'!A321</f>
        <v>0</v>
      </c>
      <c r="B321" s="915">
        <f>'House Count'!E321</f>
        <v>0</v>
      </c>
      <c r="C321" s="915">
        <f>'House Count'!B321</f>
        <v>0</v>
      </c>
      <c r="D321" s="915">
        <f>'House Count'!C321</f>
        <v>0</v>
      </c>
      <c r="E321" s="915">
        <f>'House Count'!D321</f>
        <v>0</v>
      </c>
      <c r="F321" s="915" t="str">
        <f t="shared" si="4"/>
        <v/>
      </c>
      <c r="G321" s="915">
        <f>'House Count'!F321</f>
        <v>0</v>
      </c>
      <c r="H321" s="915">
        <f>'House Count'!H321</f>
        <v>0</v>
      </c>
    </row>
    <row r="322" spans="1:8" x14ac:dyDescent="0.25">
      <c r="A322" s="914">
        <f>'House Count'!A322</f>
        <v>0</v>
      </c>
      <c r="B322" s="915">
        <f>'House Count'!E322</f>
        <v>0</v>
      </c>
      <c r="C322" s="915">
        <f>'House Count'!B322</f>
        <v>0</v>
      </c>
      <c r="D322" s="915">
        <f>'House Count'!C322</f>
        <v>0</v>
      </c>
      <c r="E322" s="915">
        <f>'House Count'!D322</f>
        <v>0</v>
      </c>
      <c r="F322" s="915" t="str">
        <f t="shared" si="4"/>
        <v/>
      </c>
      <c r="G322" s="915">
        <f>'House Count'!F322</f>
        <v>0</v>
      </c>
      <c r="H322" s="915">
        <f>'House Count'!H322</f>
        <v>0</v>
      </c>
    </row>
    <row r="323" spans="1:8" x14ac:dyDescent="0.25">
      <c r="A323" s="914">
        <f>'House Count'!A323</f>
        <v>0</v>
      </c>
      <c r="B323" s="915">
        <f>'House Count'!E323</f>
        <v>0</v>
      </c>
      <c r="C323" s="915">
        <f>'House Count'!B323</f>
        <v>0</v>
      </c>
      <c r="D323" s="915">
        <f>'House Count'!C323</f>
        <v>0</v>
      </c>
      <c r="E323" s="915">
        <f>'House Count'!D323</f>
        <v>0</v>
      </c>
      <c r="F323" s="915" t="str">
        <f t="shared" ref="F323:F386" si="5">IF(G323="RES-SFU","RESIDENTIAL",IF(G323="RES-HOA","RESIDENTIAL",IF(G323="RES-MDU","RESIDENTIAL",IF(G323="COMM-SU","BUSINESS",IF(G323="COM-MTU","BUSINESS",IF(G323="ENT","BUSINESS",""))))))</f>
        <v/>
      </c>
      <c r="G323" s="915">
        <f>'House Count'!F323</f>
        <v>0</v>
      </c>
      <c r="H323" s="915">
        <f>'House Count'!H323</f>
        <v>0</v>
      </c>
    </row>
    <row r="324" spans="1:8" x14ac:dyDescent="0.25">
      <c r="A324" s="914">
        <f>'House Count'!A324</f>
        <v>0</v>
      </c>
      <c r="B324" s="915">
        <f>'House Count'!E324</f>
        <v>0</v>
      </c>
      <c r="C324" s="915">
        <f>'House Count'!B324</f>
        <v>0</v>
      </c>
      <c r="D324" s="915">
        <f>'House Count'!C324</f>
        <v>0</v>
      </c>
      <c r="E324" s="915">
        <f>'House Count'!D324</f>
        <v>0</v>
      </c>
      <c r="F324" s="915" t="str">
        <f t="shared" si="5"/>
        <v/>
      </c>
      <c r="G324" s="915">
        <f>'House Count'!F324</f>
        <v>0</v>
      </c>
      <c r="H324" s="915">
        <f>'House Count'!H324</f>
        <v>0</v>
      </c>
    </row>
    <row r="325" spans="1:8" x14ac:dyDescent="0.25">
      <c r="A325" s="914">
        <f>'House Count'!A325</f>
        <v>0</v>
      </c>
      <c r="B325" s="915">
        <f>'House Count'!E325</f>
        <v>0</v>
      </c>
      <c r="C325" s="915">
        <f>'House Count'!B325</f>
        <v>0</v>
      </c>
      <c r="D325" s="915">
        <f>'House Count'!C325</f>
        <v>0</v>
      </c>
      <c r="E325" s="915">
        <f>'House Count'!D325</f>
        <v>0</v>
      </c>
      <c r="F325" s="915" t="str">
        <f t="shared" si="5"/>
        <v/>
      </c>
      <c r="G325" s="915">
        <f>'House Count'!F325</f>
        <v>0</v>
      </c>
      <c r="H325" s="915">
        <f>'House Count'!H325</f>
        <v>0</v>
      </c>
    </row>
    <row r="326" spans="1:8" x14ac:dyDescent="0.25">
      <c r="A326" s="914">
        <f>'House Count'!A326</f>
        <v>0</v>
      </c>
      <c r="B326" s="915">
        <f>'House Count'!E326</f>
        <v>0</v>
      </c>
      <c r="C326" s="915">
        <f>'House Count'!B326</f>
        <v>0</v>
      </c>
      <c r="D326" s="915">
        <f>'House Count'!C326</f>
        <v>0</v>
      </c>
      <c r="E326" s="915">
        <f>'House Count'!D326</f>
        <v>0</v>
      </c>
      <c r="F326" s="915" t="str">
        <f t="shared" si="5"/>
        <v/>
      </c>
      <c r="G326" s="915">
        <f>'House Count'!F326</f>
        <v>0</v>
      </c>
      <c r="H326" s="915">
        <f>'House Count'!H326</f>
        <v>0</v>
      </c>
    </row>
    <row r="327" spans="1:8" x14ac:dyDescent="0.25">
      <c r="A327" s="914">
        <f>'House Count'!A327</f>
        <v>0</v>
      </c>
      <c r="B327" s="915">
        <f>'House Count'!E327</f>
        <v>0</v>
      </c>
      <c r="C327" s="915">
        <f>'House Count'!B327</f>
        <v>0</v>
      </c>
      <c r="D327" s="915">
        <f>'House Count'!C327</f>
        <v>0</v>
      </c>
      <c r="E327" s="915">
        <f>'House Count'!D327</f>
        <v>0</v>
      </c>
      <c r="F327" s="915" t="str">
        <f t="shared" si="5"/>
        <v/>
      </c>
      <c r="G327" s="915">
        <f>'House Count'!F327</f>
        <v>0</v>
      </c>
      <c r="H327" s="915">
        <f>'House Count'!H327</f>
        <v>0</v>
      </c>
    </row>
    <row r="328" spans="1:8" x14ac:dyDescent="0.25">
      <c r="A328" s="914">
        <f>'House Count'!A328</f>
        <v>0</v>
      </c>
      <c r="B328" s="915">
        <f>'House Count'!E328</f>
        <v>0</v>
      </c>
      <c r="C328" s="915">
        <f>'House Count'!B328</f>
        <v>0</v>
      </c>
      <c r="D328" s="915">
        <f>'House Count'!C328</f>
        <v>0</v>
      </c>
      <c r="E328" s="915">
        <f>'House Count'!D328</f>
        <v>0</v>
      </c>
      <c r="F328" s="915" t="str">
        <f t="shared" si="5"/>
        <v/>
      </c>
      <c r="G328" s="915">
        <f>'House Count'!F328</f>
        <v>0</v>
      </c>
      <c r="H328" s="915">
        <f>'House Count'!H328</f>
        <v>0</v>
      </c>
    </row>
    <row r="329" spans="1:8" x14ac:dyDescent="0.25">
      <c r="A329" s="914">
        <f>'House Count'!A329</f>
        <v>0</v>
      </c>
      <c r="B329" s="915">
        <f>'House Count'!E329</f>
        <v>0</v>
      </c>
      <c r="C329" s="915">
        <f>'House Count'!B329</f>
        <v>0</v>
      </c>
      <c r="D329" s="915">
        <f>'House Count'!C329</f>
        <v>0</v>
      </c>
      <c r="E329" s="915">
        <f>'House Count'!D329</f>
        <v>0</v>
      </c>
      <c r="F329" s="915" t="str">
        <f t="shared" si="5"/>
        <v/>
      </c>
      <c r="G329" s="915">
        <f>'House Count'!F329</f>
        <v>0</v>
      </c>
      <c r="H329" s="915">
        <f>'House Count'!H329</f>
        <v>0</v>
      </c>
    </row>
    <row r="330" spans="1:8" x14ac:dyDescent="0.25">
      <c r="A330" s="914">
        <f>'House Count'!A330</f>
        <v>0</v>
      </c>
      <c r="B330" s="915">
        <f>'House Count'!E330</f>
        <v>0</v>
      </c>
      <c r="C330" s="915">
        <f>'House Count'!B330</f>
        <v>0</v>
      </c>
      <c r="D330" s="915">
        <f>'House Count'!C330</f>
        <v>0</v>
      </c>
      <c r="E330" s="915">
        <f>'House Count'!D330</f>
        <v>0</v>
      </c>
      <c r="F330" s="915" t="str">
        <f t="shared" si="5"/>
        <v/>
      </c>
      <c r="G330" s="915">
        <f>'House Count'!F330</f>
        <v>0</v>
      </c>
      <c r="H330" s="915">
        <f>'House Count'!H330</f>
        <v>0</v>
      </c>
    </row>
    <row r="331" spans="1:8" x14ac:dyDescent="0.25">
      <c r="A331" s="914">
        <f>'House Count'!A331</f>
        <v>0</v>
      </c>
      <c r="B331" s="915">
        <f>'House Count'!E331</f>
        <v>0</v>
      </c>
      <c r="C331" s="915">
        <f>'House Count'!B331</f>
        <v>0</v>
      </c>
      <c r="D331" s="915">
        <f>'House Count'!C331</f>
        <v>0</v>
      </c>
      <c r="E331" s="915">
        <f>'House Count'!D331</f>
        <v>0</v>
      </c>
      <c r="F331" s="915" t="str">
        <f t="shared" si="5"/>
        <v/>
      </c>
      <c r="G331" s="915">
        <f>'House Count'!F331</f>
        <v>0</v>
      </c>
      <c r="H331" s="915">
        <f>'House Count'!H331</f>
        <v>0</v>
      </c>
    </row>
    <row r="332" spans="1:8" x14ac:dyDescent="0.25">
      <c r="A332" s="914">
        <f>'House Count'!A332</f>
        <v>0</v>
      </c>
      <c r="B332" s="915">
        <f>'House Count'!E332</f>
        <v>0</v>
      </c>
      <c r="C332" s="915">
        <f>'House Count'!B332</f>
        <v>0</v>
      </c>
      <c r="D332" s="915">
        <f>'House Count'!C332</f>
        <v>0</v>
      </c>
      <c r="E332" s="915">
        <f>'House Count'!D332</f>
        <v>0</v>
      </c>
      <c r="F332" s="915" t="str">
        <f t="shared" si="5"/>
        <v/>
      </c>
      <c r="G332" s="915">
        <f>'House Count'!F332</f>
        <v>0</v>
      </c>
      <c r="H332" s="915">
        <f>'House Count'!H332</f>
        <v>0</v>
      </c>
    </row>
    <row r="333" spans="1:8" x14ac:dyDescent="0.25">
      <c r="A333" s="914">
        <f>'House Count'!A333</f>
        <v>0</v>
      </c>
      <c r="B333" s="915">
        <f>'House Count'!E333</f>
        <v>0</v>
      </c>
      <c r="C333" s="915">
        <f>'House Count'!B333</f>
        <v>0</v>
      </c>
      <c r="D333" s="915">
        <f>'House Count'!C333</f>
        <v>0</v>
      </c>
      <c r="E333" s="915">
        <f>'House Count'!D333</f>
        <v>0</v>
      </c>
      <c r="F333" s="915" t="str">
        <f t="shared" si="5"/>
        <v/>
      </c>
      <c r="G333" s="915">
        <f>'House Count'!F333</f>
        <v>0</v>
      </c>
      <c r="H333" s="915">
        <f>'House Count'!H333</f>
        <v>0</v>
      </c>
    </row>
    <row r="334" spans="1:8" x14ac:dyDescent="0.25">
      <c r="A334" s="914">
        <f>'House Count'!A334</f>
        <v>0</v>
      </c>
      <c r="B334" s="915">
        <f>'House Count'!E334</f>
        <v>0</v>
      </c>
      <c r="C334" s="915">
        <f>'House Count'!B334</f>
        <v>0</v>
      </c>
      <c r="D334" s="915">
        <f>'House Count'!C334</f>
        <v>0</v>
      </c>
      <c r="E334" s="915">
        <f>'House Count'!D334</f>
        <v>0</v>
      </c>
      <c r="F334" s="915" t="str">
        <f t="shared" si="5"/>
        <v/>
      </c>
      <c r="G334" s="915">
        <f>'House Count'!F334</f>
        <v>0</v>
      </c>
      <c r="H334" s="915">
        <f>'House Count'!H334</f>
        <v>0</v>
      </c>
    </row>
    <row r="335" spans="1:8" x14ac:dyDescent="0.25">
      <c r="A335" s="914">
        <f>'House Count'!A335</f>
        <v>0</v>
      </c>
      <c r="B335" s="915">
        <f>'House Count'!E335</f>
        <v>0</v>
      </c>
      <c r="C335" s="915">
        <f>'House Count'!B335</f>
        <v>0</v>
      </c>
      <c r="D335" s="915">
        <f>'House Count'!C335</f>
        <v>0</v>
      </c>
      <c r="E335" s="915">
        <f>'House Count'!D335</f>
        <v>0</v>
      </c>
      <c r="F335" s="915" t="str">
        <f t="shared" si="5"/>
        <v/>
      </c>
      <c r="G335" s="915">
        <f>'House Count'!F335</f>
        <v>0</v>
      </c>
      <c r="H335" s="915">
        <f>'House Count'!H335</f>
        <v>0</v>
      </c>
    </row>
    <row r="336" spans="1:8" x14ac:dyDescent="0.25">
      <c r="A336" s="914">
        <f>'House Count'!A336</f>
        <v>0</v>
      </c>
      <c r="B336" s="915">
        <f>'House Count'!E336</f>
        <v>0</v>
      </c>
      <c r="C336" s="915">
        <f>'House Count'!B336</f>
        <v>0</v>
      </c>
      <c r="D336" s="915">
        <f>'House Count'!C336</f>
        <v>0</v>
      </c>
      <c r="E336" s="915">
        <f>'House Count'!D336</f>
        <v>0</v>
      </c>
      <c r="F336" s="915" t="str">
        <f t="shared" si="5"/>
        <v/>
      </c>
      <c r="G336" s="915">
        <f>'House Count'!F336</f>
        <v>0</v>
      </c>
      <c r="H336" s="915">
        <f>'House Count'!H336</f>
        <v>0</v>
      </c>
    </row>
    <row r="337" spans="1:8" x14ac:dyDescent="0.25">
      <c r="A337" s="914">
        <f>'House Count'!A337</f>
        <v>0</v>
      </c>
      <c r="B337" s="915">
        <f>'House Count'!E337</f>
        <v>0</v>
      </c>
      <c r="C337" s="915">
        <f>'House Count'!B337</f>
        <v>0</v>
      </c>
      <c r="D337" s="915">
        <f>'House Count'!C337</f>
        <v>0</v>
      </c>
      <c r="E337" s="915">
        <f>'House Count'!D337</f>
        <v>0</v>
      </c>
      <c r="F337" s="915" t="str">
        <f t="shared" si="5"/>
        <v/>
      </c>
      <c r="G337" s="915">
        <f>'House Count'!F337</f>
        <v>0</v>
      </c>
      <c r="H337" s="915">
        <f>'House Count'!H337</f>
        <v>0</v>
      </c>
    </row>
    <row r="338" spans="1:8" x14ac:dyDescent="0.25">
      <c r="A338" s="914">
        <f>'House Count'!A338</f>
        <v>0</v>
      </c>
      <c r="B338" s="915">
        <f>'House Count'!E338</f>
        <v>0</v>
      </c>
      <c r="C338" s="915">
        <f>'House Count'!B338</f>
        <v>0</v>
      </c>
      <c r="D338" s="915">
        <f>'House Count'!C338</f>
        <v>0</v>
      </c>
      <c r="E338" s="915">
        <f>'House Count'!D338</f>
        <v>0</v>
      </c>
      <c r="F338" s="915" t="str">
        <f t="shared" si="5"/>
        <v/>
      </c>
      <c r="G338" s="915">
        <f>'House Count'!F338</f>
        <v>0</v>
      </c>
      <c r="H338" s="915">
        <f>'House Count'!H338</f>
        <v>0</v>
      </c>
    </row>
    <row r="339" spans="1:8" x14ac:dyDescent="0.25">
      <c r="A339" s="914">
        <f>'House Count'!A339</f>
        <v>0</v>
      </c>
      <c r="B339" s="915">
        <f>'House Count'!E339</f>
        <v>0</v>
      </c>
      <c r="C339" s="915">
        <f>'House Count'!B339</f>
        <v>0</v>
      </c>
      <c r="D339" s="915">
        <f>'House Count'!C339</f>
        <v>0</v>
      </c>
      <c r="E339" s="915">
        <f>'House Count'!D339</f>
        <v>0</v>
      </c>
      <c r="F339" s="915" t="str">
        <f t="shared" si="5"/>
        <v/>
      </c>
      <c r="G339" s="915">
        <f>'House Count'!F339</f>
        <v>0</v>
      </c>
      <c r="H339" s="915">
        <f>'House Count'!H339</f>
        <v>0</v>
      </c>
    </row>
    <row r="340" spans="1:8" x14ac:dyDescent="0.25">
      <c r="A340" s="914">
        <f>'House Count'!A340</f>
        <v>0</v>
      </c>
      <c r="B340" s="915">
        <f>'House Count'!E340</f>
        <v>0</v>
      </c>
      <c r="C340" s="915">
        <f>'House Count'!B340</f>
        <v>0</v>
      </c>
      <c r="D340" s="915">
        <f>'House Count'!C340</f>
        <v>0</v>
      </c>
      <c r="E340" s="915">
        <f>'House Count'!D340</f>
        <v>0</v>
      </c>
      <c r="F340" s="915" t="str">
        <f t="shared" si="5"/>
        <v/>
      </c>
      <c r="G340" s="915">
        <f>'House Count'!F340</f>
        <v>0</v>
      </c>
      <c r="H340" s="915">
        <f>'House Count'!H340</f>
        <v>0</v>
      </c>
    </row>
    <row r="341" spans="1:8" x14ac:dyDescent="0.25">
      <c r="A341" s="914">
        <f>'House Count'!A341</f>
        <v>0</v>
      </c>
      <c r="B341" s="915">
        <f>'House Count'!E341</f>
        <v>0</v>
      </c>
      <c r="C341" s="915">
        <f>'House Count'!B341</f>
        <v>0</v>
      </c>
      <c r="D341" s="915">
        <f>'House Count'!C341</f>
        <v>0</v>
      </c>
      <c r="E341" s="915">
        <f>'House Count'!D341</f>
        <v>0</v>
      </c>
      <c r="F341" s="915" t="str">
        <f t="shared" si="5"/>
        <v/>
      </c>
      <c r="G341" s="915">
        <f>'House Count'!F341</f>
        <v>0</v>
      </c>
      <c r="H341" s="915">
        <f>'House Count'!H341</f>
        <v>0</v>
      </c>
    </row>
    <row r="342" spans="1:8" x14ac:dyDescent="0.25">
      <c r="A342" s="914">
        <f>'House Count'!A342</f>
        <v>0</v>
      </c>
      <c r="B342" s="915">
        <f>'House Count'!E342</f>
        <v>0</v>
      </c>
      <c r="C342" s="915">
        <f>'House Count'!B342</f>
        <v>0</v>
      </c>
      <c r="D342" s="915">
        <f>'House Count'!C342</f>
        <v>0</v>
      </c>
      <c r="E342" s="915">
        <f>'House Count'!D342</f>
        <v>0</v>
      </c>
      <c r="F342" s="915" t="str">
        <f t="shared" si="5"/>
        <v/>
      </c>
      <c r="G342" s="915">
        <f>'House Count'!F342</f>
        <v>0</v>
      </c>
      <c r="H342" s="915">
        <f>'House Count'!H342</f>
        <v>0</v>
      </c>
    </row>
    <row r="343" spans="1:8" x14ac:dyDescent="0.25">
      <c r="A343" s="914">
        <f>'House Count'!A343</f>
        <v>0</v>
      </c>
      <c r="B343" s="915">
        <f>'House Count'!E343</f>
        <v>0</v>
      </c>
      <c r="C343" s="915">
        <f>'House Count'!B343</f>
        <v>0</v>
      </c>
      <c r="D343" s="915">
        <f>'House Count'!C343</f>
        <v>0</v>
      </c>
      <c r="E343" s="915">
        <f>'House Count'!D343</f>
        <v>0</v>
      </c>
      <c r="F343" s="915" t="str">
        <f t="shared" si="5"/>
        <v/>
      </c>
      <c r="G343" s="915">
        <f>'House Count'!F343</f>
        <v>0</v>
      </c>
      <c r="H343" s="915">
        <f>'House Count'!H343</f>
        <v>0</v>
      </c>
    </row>
    <row r="344" spans="1:8" x14ac:dyDescent="0.25">
      <c r="A344" s="914">
        <f>'House Count'!A344</f>
        <v>0</v>
      </c>
      <c r="B344" s="915">
        <f>'House Count'!E344</f>
        <v>0</v>
      </c>
      <c r="C344" s="915">
        <f>'House Count'!B344</f>
        <v>0</v>
      </c>
      <c r="D344" s="915">
        <f>'House Count'!C344</f>
        <v>0</v>
      </c>
      <c r="E344" s="915">
        <f>'House Count'!D344</f>
        <v>0</v>
      </c>
      <c r="F344" s="915" t="str">
        <f t="shared" si="5"/>
        <v/>
      </c>
      <c r="G344" s="915">
        <f>'House Count'!F344</f>
        <v>0</v>
      </c>
      <c r="H344" s="915">
        <f>'House Count'!H344</f>
        <v>0</v>
      </c>
    </row>
    <row r="345" spans="1:8" x14ac:dyDescent="0.25">
      <c r="A345" s="914">
        <f>'House Count'!A345</f>
        <v>0</v>
      </c>
      <c r="B345" s="915">
        <f>'House Count'!E345</f>
        <v>0</v>
      </c>
      <c r="C345" s="915">
        <f>'House Count'!B345</f>
        <v>0</v>
      </c>
      <c r="D345" s="915">
        <f>'House Count'!C345</f>
        <v>0</v>
      </c>
      <c r="E345" s="915">
        <f>'House Count'!D345</f>
        <v>0</v>
      </c>
      <c r="F345" s="915" t="str">
        <f t="shared" si="5"/>
        <v/>
      </c>
      <c r="G345" s="915">
        <f>'House Count'!F345</f>
        <v>0</v>
      </c>
      <c r="H345" s="915">
        <f>'House Count'!H345</f>
        <v>0</v>
      </c>
    </row>
    <row r="346" spans="1:8" x14ac:dyDescent="0.25">
      <c r="A346" s="914">
        <f>'House Count'!A346</f>
        <v>0</v>
      </c>
      <c r="B346" s="915">
        <f>'House Count'!E346</f>
        <v>0</v>
      </c>
      <c r="C346" s="915">
        <f>'House Count'!B346</f>
        <v>0</v>
      </c>
      <c r="D346" s="915">
        <f>'House Count'!C346</f>
        <v>0</v>
      </c>
      <c r="E346" s="915">
        <f>'House Count'!D346</f>
        <v>0</v>
      </c>
      <c r="F346" s="915" t="str">
        <f t="shared" si="5"/>
        <v/>
      </c>
      <c r="G346" s="915">
        <f>'House Count'!F346</f>
        <v>0</v>
      </c>
      <c r="H346" s="915">
        <f>'House Count'!H346</f>
        <v>0</v>
      </c>
    </row>
    <row r="347" spans="1:8" x14ac:dyDescent="0.25">
      <c r="A347" s="914">
        <f>'House Count'!A347</f>
        <v>0</v>
      </c>
      <c r="B347" s="915">
        <f>'House Count'!E347</f>
        <v>0</v>
      </c>
      <c r="C347" s="915">
        <f>'House Count'!B347</f>
        <v>0</v>
      </c>
      <c r="D347" s="915">
        <f>'House Count'!C347</f>
        <v>0</v>
      </c>
      <c r="E347" s="915">
        <f>'House Count'!D347</f>
        <v>0</v>
      </c>
      <c r="F347" s="915" t="str">
        <f t="shared" si="5"/>
        <v/>
      </c>
      <c r="G347" s="915">
        <f>'House Count'!F347</f>
        <v>0</v>
      </c>
      <c r="H347" s="915">
        <f>'House Count'!H347</f>
        <v>0</v>
      </c>
    </row>
    <row r="348" spans="1:8" x14ac:dyDescent="0.25">
      <c r="A348" s="914">
        <f>'House Count'!A348</f>
        <v>0</v>
      </c>
      <c r="B348" s="915">
        <f>'House Count'!E348</f>
        <v>0</v>
      </c>
      <c r="C348" s="915">
        <f>'House Count'!B348</f>
        <v>0</v>
      </c>
      <c r="D348" s="915">
        <f>'House Count'!C348</f>
        <v>0</v>
      </c>
      <c r="E348" s="915">
        <f>'House Count'!D348</f>
        <v>0</v>
      </c>
      <c r="F348" s="915" t="str">
        <f t="shared" si="5"/>
        <v/>
      </c>
      <c r="G348" s="915">
        <f>'House Count'!F348</f>
        <v>0</v>
      </c>
      <c r="H348" s="915">
        <f>'House Count'!H348</f>
        <v>0</v>
      </c>
    </row>
    <row r="349" spans="1:8" x14ac:dyDescent="0.25">
      <c r="A349" s="914">
        <f>'House Count'!A349</f>
        <v>0</v>
      </c>
      <c r="B349" s="915">
        <f>'House Count'!E349</f>
        <v>0</v>
      </c>
      <c r="C349" s="915">
        <f>'House Count'!B349</f>
        <v>0</v>
      </c>
      <c r="D349" s="915">
        <f>'House Count'!C349</f>
        <v>0</v>
      </c>
      <c r="E349" s="915">
        <f>'House Count'!D349</f>
        <v>0</v>
      </c>
      <c r="F349" s="915" t="str">
        <f t="shared" si="5"/>
        <v/>
      </c>
      <c r="G349" s="915">
        <f>'House Count'!F349</f>
        <v>0</v>
      </c>
      <c r="H349" s="915">
        <f>'House Count'!H349</f>
        <v>0</v>
      </c>
    </row>
    <row r="350" spans="1:8" x14ac:dyDescent="0.25">
      <c r="A350" s="914">
        <f>'House Count'!A350</f>
        <v>0</v>
      </c>
      <c r="B350" s="915">
        <f>'House Count'!E350</f>
        <v>0</v>
      </c>
      <c r="C350" s="915">
        <f>'House Count'!B350</f>
        <v>0</v>
      </c>
      <c r="D350" s="915">
        <f>'House Count'!C350</f>
        <v>0</v>
      </c>
      <c r="E350" s="915">
        <f>'House Count'!D350</f>
        <v>0</v>
      </c>
      <c r="F350" s="915" t="str">
        <f t="shared" si="5"/>
        <v/>
      </c>
      <c r="G350" s="915">
        <f>'House Count'!F350</f>
        <v>0</v>
      </c>
      <c r="H350" s="915">
        <f>'House Count'!H350</f>
        <v>0</v>
      </c>
    </row>
    <row r="351" spans="1:8" x14ac:dyDescent="0.25">
      <c r="A351" s="914">
        <f>'House Count'!A351</f>
        <v>0</v>
      </c>
      <c r="B351" s="915">
        <f>'House Count'!E351</f>
        <v>0</v>
      </c>
      <c r="C351" s="915">
        <f>'House Count'!B351</f>
        <v>0</v>
      </c>
      <c r="D351" s="915">
        <f>'House Count'!C351</f>
        <v>0</v>
      </c>
      <c r="E351" s="915">
        <f>'House Count'!D351</f>
        <v>0</v>
      </c>
      <c r="F351" s="915" t="str">
        <f t="shared" si="5"/>
        <v/>
      </c>
      <c r="G351" s="915">
        <f>'House Count'!F351</f>
        <v>0</v>
      </c>
      <c r="H351" s="915">
        <f>'House Count'!H351</f>
        <v>0</v>
      </c>
    </row>
    <row r="352" spans="1:8" x14ac:dyDescent="0.25">
      <c r="A352" s="914">
        <f>'House Count'!A352</f>
        <v>0</v>
      </c>
      <c r="B352" s="915">
        <f>'House Count'!E352</f>
        <v>0</v>
      </c>
      <c r="C352" s="915">
        <f>'House Count'!B352</f>
        <v>0</v>
      </c>
      <c r="D352" s="915">
        <f>'House Count'!C352</f>
        <v>0</v>
      </c>
      <c r="E352" s="915">
        <f>'House Count'!D352</f>
        <v>0</v>
      </c>
      <c r="F352" s="915" t="str">
        <f t="shared" si="5"/>
        <v/>
      </c>
      <c r="G352" s="915">
        <f>'House Count'!F352</f>
        <v>0</v>
      </c>
      <c r="H352" s="915">
        <f>'House Count'!H352</f>
        <v>0</v>
      </c>
    </row>
    <row r="353" spans="1:8" x14ac:dyDescent="0.25">
      <c r="A353" s="914">
        <f>'House Count'!A353</f>
        <v>0</v>
      </c>
      <c r="B353" s="915">
        <f>'House Count'!E353</f>
        <v>0</v>
      </c>
      <c r="C353" s="915">
        <f>'House Count'!B353</f>
        <v>0</v>
      </c>
      <c r="D353" s="915">
        <f>'House Count'!C353</f>
        <v>0</v>
      </c>
      <c r="E353" s="915">
        <f>'House Count'!D353</f>
        <v>0</v>
      </c>
      <c r="F353" s="915" t="str">
        <f t="shared" si="5"/>
        <v/>
      </c>
      <c r="G353" s="915">
        <f>'House Count'!F353</f>
        <v>0</v>
      </c>
      <c r="H353" s="915">
        <f>'House Count'!H353</f>
        <v>0</v>
      </c>
    </row>
    <row r="354" spans="1:8" x14ac:dyDescent="0.25">
      <c r="A354" s="914">
        <f>'House Count'!A354</f>
        <v>0</v>
      </c>
      <c r="B354" s="915">
        <f>'House Count'!E354</f>
        <v>0</v>
      </c>
      <c r="C354" s="915">
        <f>'House Count'!B354</f>
        <v>0</v>
      </c>
      <c r="D354" s="915">
        <f>'House Count'!C354</f>
        <v>0</v>
      </c>
      <c r="E354" s="915">
        <f>'House Count'!D354</f>
        <v>0</v>
      </c>
      <c r="F354" s="915" t="str">
        <f t="shared" si="5"/>
        <v/>
      </c>
      <c r="G354" s="915">
        <f>'House Count'!F354</f>
        <v>0</v>
      </c>
      <c r="H354" s="915">
        <f>'House Count'!H354</f>
        <v>0</v>
      </c>
    </row>
    <row r="355" spans="1:8" x14ac:dyDescent="0.25">
      <c r="A355" s="914">
        <f>'House Count'!A355</f>
        <v>0</v>
      </c>
      <c r="B355" s="915">
        <f>'House Count'!E355</f>
        <v>0</v>
      </c>
      <c r="C355" s="915">
        <f>'House Count'!B355</f>
        <v>0</v>
      </c>
      <c r="D355" s="915">
        <f>'House Count'!C355</f>
        <v>0</v>
      </c>
      <c r="E355" s="915">
        <f>'House Count'!D355</f>
        <v>0</v>
      </c>
      <c r="F355" s="915" t="str">
        <f t="shared" si="5"/>
        <v/>
      </c>
      <c r="G355" s="915">
        <f>'House Count'!F355</f>
        <v>0</v>
      </c>
      <c r="H355" s="915">
        <f>'House Count'!H355</f>
        <v>0</v>
      </c>
    </row>
    <row r="356" spans="1:8" x14ac:dyDescent="0.25">
      <c r="A356" s="914">
        <f>'House Count'!A356</f>
        <v>0</v>
      </c>
      <c r="B356" s="915">
        <f>'House Count'!E356</f>
        <v>0</v>
      </c>
      <c r="C356" s="915">
        <f>'House Count'!B356</f>
        <v>0</v>
      </c>
      <c r="D356" s="915">
        <f>'House Count'!C356</f>
        <v>0</v>
      </c>
      <c r="E356" s="915">
        <f>'House Count'!D356</f>
        <v>0</v>
      </c>
      <c r="F356" s="915" t="str">
        <f t="shared" si="5"/>
        <v/>
      </c>
      <c r="G356" s="915">
        <f>'House Count'!F356</f>
        <v>0</v>
      </c>
      <c r="H356" s="915">
        <f>'House Count'!H356</f>
        <v>0</v>
      </c>
    </row>
    <row r="357" spans="1:8" x14ac:dyDescent="0.25">
      <c r="A357" s="914">
        <f>'House Count'!A357</f>
        <v>0</v>
      </c>
      <c r="B357" s="915">
        <f>'House Count'!E357</f>
        <v>0</v>
      </c>
      <c r="C357" s="915">
        <f>'House Count'!B357</f>
        <v>0</v>
      </c>
      <c r="D357" s="915">
        <f>'House Count'!C357</f>
        <v>0</v>
      </c>
      <c r="E357" s="915">
        <f>'House Count'!D357</f>
        <v>0</v>
      </c>
      <c r="F357" s="915" t="str">
        <f t="shared" si="5"/>
        <v/>
      </c>
      <c r="G357" s="915">
        <f>'House Count'!F357</f>
        <v>0</v>
      </c>
      <c r="H357" s="915">
        <f>'House Count'!H357</f>
        <v>0</v>
      </c>
    </row>
    <row r="358" spans="1:8" x14ac:dyDescent="0.25">
      <c r="A358" s="914">
        <f>'House Count'!A358</f>
        <v>0</v>
      </c>
      <c r="B358" s="915">
        <f>'House Count'!E358</f>
        <v>0</v>
      </c>
      <c r="C358" s="915">
        <f>'House Count'!B358</f>
        <v>0</v>
      </c>
      <c r="D358" s="915">
        <f>'House Count'!C358</f>
        <v>0</v>
      </c>
      <c r="E358" s="915">
        <f>'House Count'!D358</f>
        <v>0</v>
      </c>
      <c r="F358" s="915" t="str">
        <f t="shared" si="5"/>
        <v/>
      </c>
      <c r="G358" s="915">
        <f>'House Count'!F358</f>
        <v>0</v>
      </c>
      <c r="H358" s="915">
        <f>'House Count'!H358</f>
        <v>0</v>
      </c>
    </row>
    <row r="359" spans="1:8" x14ac:dyDescent="0.25">
      <c r="A359" s="914">
        <f>'House Count'!A359</f>
        <v>0</v>
      </c>
      <c r="B359" s="915">
        <f>'House Count'!E359</f>
        <v>0</v>
      </c>
      <c r="C359" s="915">
        <f>'House Count'!B359</f>
        <v>0</v>
      </c>
      <c r="D359" s="915">
        <f>'House Count'!C359</f>
        <v>0</v>
      </c>
      <c r="E359" s="915">
        <f>'House Count'!D359</f>
        <v>0</v>
      </c>
      <c r="F359" s="915" t="str">
        <f t="shared" si="5"/>
        <v/>
      </c>
      <c r="G359" s="915">
        <f>'House Count'!F359</f>
        <v>0</v>
      </c>
      <c r="H359" s="915">
        <f>'House Count'!H359</f>
        <v>0</v>
      </c>
    </row>
    <row r="360" spans="1:8" x14ac:dyDescent="0.25">
      <c r="A360" s="914">
        <f>'House Count'!A360</f>
        <v>0</v>
      </c>
      <c r="B360" s="915">
        <f>'House Count'!E360</f>
        <v>0</v>
      </c>
      <c r="C360" s="915">
        <f>'House Count'!B360</f>
        <v>0</v>
      </c>
      <c r="D360" s="915">
        <f>'House Count'!C360</f>
        <v>0</v>
      </c>
      <c r="E360" s="915">
        <f>'House Count'!D360</f>
        <v>0</v>
      </c>
      <c r="F360" s="915" t="str">
        <f t="shared" si="5"/>
        <v/>
      </c>
      <c r="G360" s="915">
        <f>'House Count'!F360</f>
        <v>0</v>
      </c>
      <c r="H360" s="915">
        <f>'House Count'!H360</f>
        <v>0</v>
      </c>
    </row>
    <row r="361" spans="1:8" x14ac:dyDescent="0.25">
      <c r="A361" s="914">
        <f>'House Count'!A361</f>
        <v>0</v>
      </c>
      <c r="B361" s="915">
        <f>'House Count'!E361</f>
        <v>0</v>
      </c>
      <c r="C361" s="915">
        <f>'House Count'!B361</f>
        <v>0</v>
      </c>
      <c r="D361" s="915">
        <f>'House Count'!C361</f>
        <v>0</v>
      </c>
      <c r="E361" s="915">
        <f>'House Count'!D361</f>
        <v>0</v>
      </c>
      <c r="F361" s="915" t="str">
        <f t="shared" si="5"/>
        <v/>
      </c>
      <c r="G361" s="915">
        <f>'House Count'!F361</f>
        <v>0</v>
      </c>
      <c r="H361" s="915">
        <f>'House Count'!H361</f>
        <v>0</v>
      </c>
    </row>
    <row r="362" spans="1:8" x14ac:dyDescent="0.25">
      <c r="A362" s="914">
        <f>'House Count'!A362</f>
        <v>0</v>
      </c>
      <c r="B362" s="915">
        <f>'House Count'!E362</f>
        <v>0</v>
      </c>
      <c r="C362" s="915">
        <f>'House Count'!B362</f>
        <v>0</v>
      </c>
      <c r="D362" s="915">
        <f>'House Count'!C362</f>
        <v>0</v>
      </c>
      <c r="E362" s="915">
        <f>'House Count'!D362</f>
        <v>0</v>
      </c>
      <c r="F362" s="915" t="str">
        <f t="shared" si="5"/>
        <v/>
      </c>
      <c r="G362" s="915">
        <f>'House Count'!F362</f>
        <v>0</v>
      </c>
      <c r="H362" s="915">
        <f>'House Count'!H362</f>
        <v>0</v>
      </c>
    </row>
    <row r="363" spans="1:8" x14ac:dyDescent="0.25">
      <c r="A363" s="914">
        <f>'House Count'!A363</f>
        <v>0</v>
      </c>
      <c r="B363" s="915">
        <f>'House Count'!E363</f>
        <v>0</v>
      </c>
      <c r="C363" s="915">
        <f>'House Count'!B363</f>
        <v>0</v>
      </c>
      <c r="D363" s="915">
        <f>'House Count'!C363</f>
        <v>0</v>
      </c>
      <c r="E363" s="915">
        <f>'House Count'!D363</f>
        <v>0</v>
      </c>
      <c r="F363" s="915" t="str">
        <f t="shared" si="5"/>
        <v/>
      </c>
      <c r="G363" s="915">
        <f>'House Count'!F363</f>
        <v>0</v>
      </c>
      <c r="H363" s="915">
        <f>'House Count'!H363</f>
        <v>0</v>
      </c>
    </row>
    <row r="364" spans="1:8" x14ac:dyDescent="0.25">
      <c r="A364" s="914">
        <f>'House Count'!A364</f>
        <v>0</v>
      </c>
      <c r="B364" s="915">
        <f>'House Count'!E364</f>
        <v>0</v>
      </c>
      <c r="C364" s="915">
        <f>'House Count'!B364</f>
        <v>0</v>
      </c>
      <c r="D364" s="915">
        <f>'House Count'!C364</f>
        <v>0</v>
      </c>
      <c r="E364" s="915">
        <f>'House Count'!D364</f>
        <v>0</v>
      </c>
      <c r="F364" s="915" t="str">
        <f t="shared" si="5"/>
        <v/>
      </c>
      <c r="G364" s="915">
        <f>'House Count'!F364</f>
        <v>0</v>
      </c>
      <c r="H364" s="915">
        <f>'House Count'!H364</f>
        <v>0</v>
      </c>
    </row>
    <row r="365" spans="1:8" x14ac:dyDescent="0.25">
      <c r="A365" s="914">
        <f>'House Count'!A365</f>
        <v>0</v>
      </c>
      <c r="B365" s="915">
        <f>'House Count'!E365</f>
        <v>0</v>
      </c>
      <c r="C365" s="915">
        <f>'House Count'!B365</f>
        <v>0</v>
      </c>
      <c r="D365" s="915">
        <f>'House Count'!C365</f>
        <v>0</v>
      </c>
      <c r="E365" s="915">
        <f>'House Count'!D365</f>
        <v>0</v>
      </c>
      <c r="F365" s="915" t="str">
        <f t="shared" si="5"/>
        <v/>
      </c>
      <c r="G365" s="915">
        <f>'House Count'!F365</f>
        <v>0</v>
      </c>
      <c r="H365" s="915">
        <f>'House Count'!H365</f>
        <v>0</v>
      </c>
    </row>
    <row r="366" spans="1:8" x14ac:dyDescent="0.25">
      <c r="A366" s="914">
        <f>'House Count'!A366</f>
        <v>0</v>
      </c>
      <c r="B366" s="915">
        <f>'House Count'!E366</f>
        <v>0</v>
      </c>
      <c r="C366" s="915">
        <f>'House Count'!B366</f>
        <v>0</v>
      </c>
      <c r="D366" s="915">
        <f>'House Count'!C366</f>
        <v>0</v>
      </c>
      <c r="E366" s="915">
        <f>'House Count'!D366</f>
        <v>0</v>
      </c>
      <c r="F366" s="915" t="str">
        <f t="shared" si="5"/>
        <v/>
      </c>
      <c r="G366" s="915">
        <f>'House Count'!F366</f>
        <v>0</v>
      </c>
      <c r="H366" s="915">
        <f>'House Count'!H366</f>
        <v>0</v>
      </c>
    </row>
    <row r="367" spans="1:8" x14ac:dyDescent="0.25">
      <c r="A367" s="914">
        <f>'House Count'!A367</f>
        <v>0</v>
      </c>
      <c r="B367" s="915">
        <f>'House Count'!E367</f>
        <v>0</v>
      </c>
      <c r="C367" s="915">
        <f>'House Count'!B367</f>
        <v>0</v>
      </c>
      <c r="D367" s="915">
        <f>'House Count'!C367</f>
        <v>0</v>
      </c>
      <c r="E367" s="915">
        <f>'House Count'!D367</f>
        <v>0</v>
      </c>
      <c r="F367" s="915" t="str">
        <f t="shared" si="5"/>
        <v/>
      </c>
      <c r="G367" s="915">
        <f>'House Count'!F367</f>
        <v>0</v>
      </c>
      <c r="H367" s="915">
        <f>'House Count'!H367</f>
        <v>0</v>
      </c>
    </row>
    <row r="368" spans="1:8" x14ac:dyDescent="0.25">
      <c r="A368" s="914">
        <f>'House Count'!A368</f>
        <v>0</v>
      </c>
      <c r="B368" s="915">
        <f>'House Count'!E368</f>
        <v>0</v>
      </c>
      <c r="C368" s="915">
        <f>'House Count'!B368</f>
        <v>0</v>
      </c>
      <c r="D368" s="915">
        <f>'House Count'!C368</f>
        <v>0</v>
      </c>
      <c r="E368" s="915">
        <f>'House Count'!D368</f>
        <v>0</v>
      </c>
      <c r="F368" s="915" t="str">
        <f t="shared" si="5"/>
        <v/>
      </c>
      <c r="G368" s="915">
        <f>'House Count'!F368</f>
        <v>0</v>
      </c>
      <c r="H368" s="915">
        <f>'House Count'!H368</f>
        <v>0</v>
      </c>
    </row>
    <row r="369" spans="1:8" x14ac:dyDescent="0.25">
      <c r="A369" s="914">
        <f>'House Count'!A369</f>
        <v>0</v>
      </c>
      <c r="B369" s="915">
        <f>'House Count'!E369</f>
        <v>0</v>
      </c>
      <c r="C369" s="915">
        <f>'House Count'!B369</f>
        <v>0</v>
      </c>
      <c r="D369" s="915">
        <f>'House Count'!C369</f>
        <v>0</v>
      </c>
      <c r="E369" s="915">
        <f>'House Count'!D369</f>
        <v>0</v>
      </c>
      <c r="F369" s="915" t="str">
        <f t="shared" si="5"/>
        <v/>
      </c>
      <c r="G369" s="915">
        <f>'House Count'!F369</f>
        <v>0</v>
      </c>
      <c r="H369" s="915">
        <f>'House Count'!H369</f>
        <v>0</v>
      </c>
    </row>
    <row r="370" spans="1:8" x14ac:dyDescent="0.25">
      <c r="A370" s="914">
        <f>'House Count'!A370</f>
        <v>0</v>
      </c>
      <c r="B370" s="915">
        <f>'House Count'!E370</f>
        <v>0</v>
      </c>
      <c r="C370" s="915">
        <f>'House Count'!B370</f>
        <v>0</v>
      </c>
      <c r="D370" s="915">
        <f>'House Count'!C370</f>
        <v>0</v>
      </c>
      <c r="E370" s="915">
        <f>'House Count'!D370</f>
        <v>0</v>
      </c>
      <c r="F370" s="915" t="str">
        <f t="shared" si="5"/>
        <v/>
      </c>
      <c r="G370" s="915">
        <f>'House Count'!F370</f>
        <v>0</v>
      </c>
      <c r="H370" s="915">
        <f>'House Count'!H370</f>
        <v>0</v>
      </c>
    </row>
    <row r="371" spans="1:8" x14ac:dyDescent="0.25">
      <c r="A371" s="914">
        <f>'House Count'!A371</f>
        <v>0</v>
      </c>
      <c r="B371" s="915">
        <f>'House Count'!E371</f>
        <v>0</v>
      </c>
      <c r="C371" s="915">
        <f>'House Count'!B371</f>
        <v>0</v>
      </c>
      <c r="D371" s="915">
        <f>'House Count'!C371</f>
        <v>0</v>
      </c>
      <c r="E371" s="915">
        <f>'House Count'!D371</f>
        <v>0</v>
      </c>
      <c r="F371" s="915" t="str">
        <f t="shared" si="5"/>
        <v/>
      </c>
      <c r="G371" s="915">
        <f>'House Count'!F371</f>
        <v>0</v>
      </c>
      <c r="H371" s="915">
        <f>'House Count'!H371</f>
        <v>0</v>
      </c>
    </row>
    <row r="372" spans="1:8" x14ac:dyDescent="0.25">
      <c r="A372" s="914">
        <f>'House Count'!A372</f>
        <v>0</v>
      </c>
      <c r="B372" s="915">
        <f>'House Count'!E372</f>
        <v>0</v>
      </c>
      <c r="C372" s="915">
        <f>'House Count'!B372</f>
        <v>0</v>
      </c>
      <c r="D372" s="915">
        <f>'House Count'!C372</f>
        <v>0</v>
      </c>
      <c r="E372" s="915">
        <f>'House Count'!D372</f>
        <v>0</v>
      </c>
      <c r="F372" s="915" t="str">
        <f t="shared" si="5"/>
        <v/>
      </c>
      <c r="G372" s="915">
        <f>'House Count'!F372</f>
        <v>0</v>
      </c>
      <c r="H372" s="915">
        <f>'House Count'!H372</f>
        <v>0</v>
      </c>
    </row>
    <row r="373" spans="1:8" x14ac:dyDescent="0.25">
      <c r="A373" s="914">
        <f>'House Count'!A373</f>
        <v>0</v>
      </c>
      <c r="B373" s="915">
        <f>'House Count'!E373</f>
        <v>0</v>
      </c>
      <c r="C373" s="915">
        <f>'House Count'!B373</f>
        <v>0</v>
      </c>
      <c r="D373" s="915">
        <f>'House Count'!C373</f>
        <v>0</v>
      </c>
      <c r="E373" s="915">
        <f>'House Count'!D373</f>
        <v>0</v>
      </c>
      <c r="F373" s="915" t="str">
        <f t="shared" si="5"/>
        <v/>
      </c>
      <c r="G373" s="915">
        <f>'House Count'!F373</f>
        <v>0</v>
      </c>
      <c r="H373" s="915">
        <f>'House Count'!H373</f>
        <v>0</v>
      </c>
    </row>
    <row r="374" spans="1:8" x14ac:dyDescent="0.25">
      <c r="A374" s="914">
        <f>'House Count'!A374</f>
        <v>0</v>
      </c>
      <c r="B374" s="915">
        <f>'House Count'!E374</f>
        <v>0</v>
      </c>
      <c r="C374" s="915">
        <f>'House Count'!B374</f>
        <v>0</v>
      </c>
      <c r="D374" s="915">
        <f>'House Count'!C374</f>
        <v>0</v>
      </c>
      <c r="E374" s="915">
        <f>'House Count'!D374</f>
        <v>0</v>
      </c>
      <c r="F374" s="915" t="str">
        <f t="shared" si="5"/>
        <v/>
      </c>
      <c r="G374" s="915">
        <f>'House Count'!F374</f>
        <v>0</v>
      </c>
      <c r="H374" s="915">
        <f>'House Count'!H374</f>
        <v>0</v>
      </c>
    </row>
    <row r="375" spans="1:8" x14ac:dyDescent="0.25">
      <c r="A375" s="914">
        <f>'House Count'!A375</f>
        <v>0</v>
      </c>
      <c r="B375" s="915">
        <f>'House Count'!E375</f>
        <v>0</v>
      </c>
      <c r="C375" s="915">
        <f>'House Count'!B375</f>
        <v>0</v>
      </c>
      <c r="D375" s="915">
        <f>'House Count'!C375</f>
        <v>0</v>
      </c>
      <c r="E375" s="915">
        <f>'House Count'!D375</f>
        <v>0</v>
      </c>
      <c r="F375" s="915" t="str">
        <f t="shared" si="5"/>
        <v/>
      </c>
      <c r="G375" s="915">
        <f>'House Count'!F375</f>
        <v>0</v>
      </c>
      <c r="H375" s="915">
        <f>'House Count'!H375</f>
        <v>0</v>
      </c>
    </row>
    <row r="376" spans="1:8" x14ac:dyDescent="0.25">
      <c r="A376" s="914">
        <f>'House Count'!A376</f>
        <v>0</v>
      </c>
      <c r="B376" s="915">
        <f>'House Count'!E376</f>
        <v>0</v>
      </c>
      <c r="C376" s="915">
        <f>'House Count'!B376</f>
        <v>0</v>
      </c>
      <c r="D376" s="915">
        <f>'House Count'!C376</f>
        <v>0</v>
      </c>
      <c r="E376" s="915">
        <f>'House Count'!D376</f>
        <v>0</v>
      </c>
      <c r="F376" s="915" t="str">
        <f t="shared" si="5"/>
        <v/>
      </c>
      <c r="G376" s="915">
        <f>'House Count'!F376</f>
        <v>0</v>
      </c>
      <c r="H376" s="915">
        <f>'House Count'!H376</f>
        <v>0</v>
      </c>
    </row>
    <row r="377" spans="1:8" x14ac:dyDescent="0.25">
      <c r="A377" s="914">
        <f>'House Count'!A377</f>
        <v>0</v>
      </c>
      <c r="B377" s="915">
        <f>'House Count'!E377</f>
        <v>0</v>
      </c>
      <c r="C377" s="915">
        <f>'House Count'!B377</f>
        <v>0</v>
      </c>
      <c r="D377" s="915">
        <f>'House Count'!C377</f>
        <v>0</v>
      </c>
      <c r="E377" s="915">
        <f>'House Count'!D377</f>
        <v>0</v>
      </c>
      <c r="F377" s="915" t="str">
        <f t="shared" si="5"/>
        <v/>
      </c>
      <c r="G377" s="915">
        <f>'House Count'!F377</f>
        <v>0</v>
      </c>
      <c r="H377" s="915">
        <f>'House Count'!H377</f>
        <v>0</v>
      </c>
    </row>
    <row r="378" spans="1:8" x14ac:dyDescent="0.25">
      <c r="A378" s="914">
        <f>'House Count'!A378</f>
        <v>0</v>
      </c>
      <c r="B378" s="915">
        <f>'House Count'!E378</f>
        <v>0</v>
      </c>
      <c r="C378" s="915">
        <f>'House Count'!B378</f>
        <v>0</v>
      </c>
      <c r="D378" s="915">
        <f>'House Count'!C378</f>
        <v>0</v>
      </c>
      <c r="E378" s="915">
        <f>'House Count'!D378</f>
        <v>0</v>
      </c>
      <c r="F378" s="915" t="str">
        <f t="shared" si="5"/>
        <v/>
      </c>
      <c r="G378" s="915">
        <f>'House Count'!F378</f>
        <v>0</v>
      </c>
      <c r="H378" s="915">
        <f>'House Count'!H378</f>
        <v>0</v>
      </c>
    </row>
    <row r="379" spans="1:8" x14ac:dyDescent="0.25">
      <c r="A379" s="914">
        <f>'House Count'!A379</f>
        <v>0</v>
      </c>
      <c r="B379" s="915">
        <f>'House Count'!E379</f>
        <v>0</v>
      </c>
      <c r="C379" s="915">
        <f>'House Count'!B379</f>
        <v>0</v>
      </c>
      <c r="D379" s="915">
        <f>'House Count'!C379</f>
        <v>0</v>
      </c>
      <c r="E379" s="915">
        <f>'House Count'!D379</f>
        <v>0</v>
      </c>
      <c r="F379" s="915" t="str">
        <f t="shared" si="5"/>
        <v/>
      </c>
      <c r="G379" s="915">
        <f>'House Count'!F379</f>
        <v>0</v>
      </c>
      <c r="H379" s="915">
        <f>'House Count'!H379</f>
        <v>0</v>
      </c>
    </row>
    <row r="380" spans="1:8" x14ac:dyDescent="0.25">
      <c r="A380" s="914">
        <f>'House Count'!A380</f>
        <v>0</v>
      </c>
      <c r="B380" s="915">
        <f>'House Count'!E380</f>
        <v>0</v>
      </c>
      <c r="C380" s="915">
        <f>'House Count'!B380</f>
        <v>0</v>
      </c>
      <c r="D380" s="915">
        <f>'House Count'!C380</f>
        <v>0</v>
      </c>
      <c r="E380" s="915">
        <f>'House Count'!D380</f>
        <v>0</v>
      </c>
      <c r="F380" s="915" t="str">
        <f t="shared" si="5"/>
        <v/>
      </c>
      <c r="G380" s="915">
        <f>'House Count'!F380</f>
        <v>0</v>
      </c>
      <c r="H380" s="915">
        <f>'House Count'!H380</f>
        <v>0</v>
      </c>
    </row>
    <row r="381" spans="1:8" x14ac:dyDescent="0.25">
      <c r="A381" s="914">
        <f>'House Count'!A381</f>
        <v>0</v>
      </c>
      <c r="B381" s="915">
        <f>'House Count'!E381</f>
        <v>0</v>
      </c>
      <c r="C381" s="915">
        <f>'House Count'!B381</f>
        <v>0</v>
      </c>
      <c r="D381" s="915">
        <f>'House Count'!C381</f>
        <v>0</v>
      </c>
      <c r="E381" s="915">
        <f>'House Count'!D381</f>
        <v>0</v>
      </c>
      <c r="F381" s="915" t="str">
        <f t="shared" si="5"/>
        <v/>
      </c>
      <c r="G381" s="915">
        <f>'House Count'!F381</f>
        <v>0</v>
      </c>
      <c r="H381" s="915">
        <f>'House Count'!H381</f>
        <v>0</v>
      </c>
    </row>
    <row r="382" spans="1:8" x14ac:dyDescent="0.25">
      <c r="A382" s="914">
        <f>'House Count'!A382</f>
        <v>0</v>
      </c>
      <c r="B382" s="915">
        <f>'House Count'!E382</f>
        <v>0</v>
      </c>
      <c r="C382" s="915">
        <f>'House Count'!B382</f>
        <v>0</v>
      </c>
      <c r="D382" s="915">
        <f>'House Count'!C382</f>
        <v>0</v>
      </c>
      <c r="E382" s="915">
        <f>'House Count'!D382</f>
        <v>0</v>
      </c>
      <c r="F382" s="915" t="str">
        <f t="shared" si="5"/>
        <v/>
      </c>
      <c r="G382" s="915">
        <f>'House Count'!F382</f>
        <v>0</v>
      </c>
      <c r="H382" s="915">
        <f>'House Count'!H382</f>
        <v>0</v>
      </c>
    </row>
    <row r="383" spans="1:8" x14ac:dyDescent="0.25">
      <c r="A383" s="914">
        <f>'House Count'!A383</f>
        <v>0</v>
      </c>
      <c r="B383" s="915">
        <f>'House Count'!E383</f>
        <v>0</v>
      </c>
      <c r="C383" s="915">
        <f>'House Count'!B383</f>
        <v>0</v>
      </c>
      <c r="D383" s="915">
        <f>'House Count'!C383</f>
        <v>0</v>
      </c>
      <c r="E383" s="915">
        <f>'House Count'!D383</f>
        <v>0</v>
      </c>
      <c r="F383" s="915" t="str">
        <f t="shared" si="5"/>
        <v/>
      </c>
      <c r="G383" s="915">
        <f>'House Count'!F383</f>
        <v>0</v>
      </c>
      <c r="H383" s="915">
        <f>'House Count'!H383</f>
        <v>0</v>
      </c>
    </row>
    <row r="384" spans="1:8" x14ac:dyDescent="0.25">
      <c r="A384" s="914">
        <f>'House Count'!A384</f>
        <v>0</v>
      </c>
      <c r="B384" s="915">
        <f>'House Count'!E384</f>
        <v>0</v>
      </c>
      <c r="C384" s="915">
        <f>'House Count'!B384</f>
        <v>0</v>
      </c>
      <c r="D384" s="915">
        <f>'House Count'!C384</f>
        <v>0</v>
      </c>
      <c r="E384" s="915">
        <f>'House Count'!D384</f>
        <v>0</v>
      </c>
      <c r="F384" s="915" t="str">
        <f t="shared" si="5"/>
        <v/>
      </c>
      <c r="G384" s="915">
        <f>'House Count'!F384</f>
        <v>0</v>
      </c>
      <c r="H384" s="915">
        <f>'House Count'!H384</f>
        <v>0</v>
      </c>
    </row>
    <row r="385" spans="1:8" x14ac:dyDescent="0.25">
      <c r="A385" s="914">
        <f>'House Count'!A385</f>
        <v>0</v>
      </c>
      <c r="B385" s="915">
        <f>'House Count'!E385</f>
        <v>0</v>
      </c>
      <c r="C385" s="915">
        <f>'House Count'!B385</f>
        <v>0</v>
      </c>
      <c r="D385" s="915">
        <f>'House Count'!C385</f>
        <v>0</v>
      </c>
      <c r="E385" s="915">
        <f>'House Count'!D385</f>
        <v>0</v>
      </c>
      <c r="F385" s="915" t="str">
        <f t="shared" si="5"/>
        <v/>
      </c>
      <c r="G385" s="915">
        <f>'House Count'!F385</f>
        <v>0</v>
      </c>
      <c r="H385" s="915">
        <f>'House Count'!H385</f>
        <v>0</v>
      </c>
    </row>
    <row r="386" spans="1:8" x14ac:dyDescent="0.25">
      <c r="A386" s="914">
        <f>'House Count'!A386</f>
        <v>0</v>
      </c>
      <c r="B386" s="915">
        <f>'House Count'!E386</f>
        <v>0</v>
      </c>
      <c r="C386" s="915">
        <f>'House Count'!B386</f>
        <v>0</v>
      </c>
      <c r="D386" s="915">
        <f>'House Count'!C386</f>
        <v>0</v>
      </c>
      <c r="E386" s="915">
        <f>'House Count'!D386</f>
        <v>0</v>
      </c>
      <c r="F386" s="915" t="str">
        <f t="shared" si="5"/>
        <v/>
      </c>
      <c r="G386" s="915">
        <f>'House Count'!F386</f>
        <v>0</v>
      </c>
      <c r="H386" s="915">
        <f>'House Count'!H386</f>
        <v>0</v>
      </c>
    </row>
    <row r="387" spans="1:8" x14ac:dyDescent="0.25">
      <c r="A387" s="914">
        <f>'House Count'!A387</f>
        <v>0</v>
      </c>
      <c r="B387" s="915">
        <f>'House Count'!E387</f>
        <v>0</v>
      </c>
      <c r="C387" s="915">
        <f>'House Count'!B387</f>
        <v>0</v>
      </c>
      <c r="D387" s="915">
        <f>'House Count'!C387</f>
        <v>0</v>
      </c>
      <c r="E387" s="915">
        <f>'House Count'!D387</f>
        <v>0</v>
      </c>
      <c r="F387" s="915" t="str">
        <f t="shared" ref="F387:F450" si="6">IF(G387="RES-SFU","RESIDENTIAL",IF(G387="RES-HOA","RESIDENTIAL",IF(G387="RES-MDU","RESIDENTIAL",IF(G387="COMM-SU","BUSINESS",IF(G387="COM-MTU","BUSINESS",IF(G387="ENT","BUSINESS",""))))))</f>
        <v/>
      </c>
      <c r="G387" s="915">
        <f>'House Count'!F387</f>
        <v>0</v>
      </c>
      <c r="H387" s="915">
        <f>'House Count'!H387</f>
        <v>0</v>
      </c>
    </row>
    <row r="388" spans="1:8" x14ac:dyDescent="0.25">
      <c r="A388" s="914">
        <f>'House Count'!A388</f>
        <v>0</v>
      </c>
      <c r="B388" s="915">
        <f>'House Count'!E388</f>
        <v>0</v>
      </c>
      <c r="C388" s="915">
        <f>'House Count'!B388</f>
        <v>0</v>
      </c>
      <c r="D388" s="915">
        <f>'House Count'!C388</f>
        <v>0</v>
      </c>
      <c r="E388" s="915">
        <f>'House Count'!D388</f>
        <v>0</v>
      </c>
      <c r="F388" s="915" t="str">
        <f t="shared" si="6"/>
        <v/>
      </c>
      <c r="G388" s="915">
        <f>'House Count'!F388</f>
        <v>0</v>
      </c>
      <c r="H388" s="915">
        <f>'House Count'!H388</f>
        <v>0</v>
      </c>
    </row>
    <row r="389" spans="1:8" x14ac:dyDescent="0.25">
      <c r="A389" s="914">
        <f>'House Count'!A389</f>
        <v>0</v>
      </c>
      <c r="B389" s="915">
        <f>'House Count'!E389</f>
        <v>0</v>
      </c>
      <c r="C389" s="915">
        <f>'House Count'!B389</f>
        <v>0</v>
      </c>
      <c r="D389" s="915">
        <f>'House Count'!C389</f>
        <v>0</v>
      </c>
      <c r="E389" s="915">
        <f>'House Count'!D389</f>
        <v>0</v>
      </c>
      <c r="F389" s="915" t="str">
        <f t="shared" si="6"/>
        <v/>
      </c>
      <c r="G389" s="915">
        <f>'House Count'!F389</f>
        <v>0</v>
      </c>
      <c r="H389" s="915">
        <f>'House Count'!H389</f>
        <v>0</v>
      </c>
    </row>
    <row r="390" spans="1:8" x14ac:dyDescent="0.25">
      <c r="A390" s="914">
        <f>'House Count'!A390</f>
        <v>0</v>
      </c>
      <c r="B390" s="915">
        <f>'House Count'!E390</f>
        <v>0</v>
      </c>
      <c r="C390" s="915">
        <f>'House Count'!B390</f>
        <v>0</v>
      </c>
      <c r="D390" s="915">
        <f>'House Count'!C390</f>
        <v>0</v>
      </c>
      <c r="E390" s="915">
        <f>'House Count'!D390</f>
        <v>0</v>
      </c>
      <c r="F390" s="915" t="str">
        <f t="shared" si="6"/>
        <v/>
      </c>
      <c r="G390" s="915">
        <f>'House Count'!F390</f>
        <v>0</v>
      </c>
      <c r="H390" s="915">
        <f>'House Count'!H390</f>
        <v>0</v>
      </c>
    </row>
    <row r="391" spans="1:8" x14ac:dyDescent="0.25">
      <c r="A391" s="914">
        <f>'House Count'!A391</f>
        <v>0</v>
      </c>
      <c r="B391" s="915">
        <f>'House Count'!E391</f>
        <v>0</v>
      </c>
      <c r="C391" s="915">
        <f>'House Count'!B391</f>
        <v>0</v>
      </c>
      <c r="D391" s="915">
        <f>'House Count'!C391</f>
        <v>0</v>
      </c>
      <c r="E391" s="915">
        <f>'House Count'!D391</f>
        <v>0</v>
      </c>
      <c r="F391" s="915" t="str">
        <f t="shared" si="6"/>
        <v/>
      </c>
      <c r="G391" s="915">
        <f>'House Count'!F391</f>
        <v>0</v>
      </c>
      <c r="H391" s="915">
        <f>'House Count'!H391</f>
        <v>0</v>
      </c>
    </row>
    <row r="392" spans="1:8" x14ac:dyDescent="0.25">
      <c r="A392" s="914">
        <f>'House Count'!A392</f>
        <v>0</v>
      </c>
      <c r="B392" s="915">
        <f>'House Count'!E392</f>
        <v>0</v>
      </c>
      <c r="C392" s="915">
        <f>'House Count'!B392</f>
        <v>0</v>
      </c>
      <c r="D392" s="915">
        <f>'House Count'!C392</f>
        <v>0</v>
      </c>
      <c r="E392" s="915">
        <f>'House Count'!D392</f>
        <v>0</v>
      </c>
      <c r="F392" s="915" t="str">
        <f t="shared" si="6"/>
        <v/>
      </c>
      <c r="G392" s="915">
        <f>'House Count'!F392</f>
        <v>0</v>
      </c>
      <c r="H392" s="915">
        <f>'House Count'!H392</f>
        <v>0</v>
      </c>
    </row>
    <row r="393" spans="1:8" x14ac:dyDescent="0.25">
      <c r="A393" s="914">
        <f>'House Count'!A393</f>
        <v>0</v>
      </c>
      <c r="B393" s="915">
        <f>'House Count'!E393</f>
        <v>0</v>
      </c>
      <c r="C393" s="915">
        <f>'House Count'!B393</f>
        <v>0</v>
      </c>
      <c r="D393" s="915">
        <f>'House Count'!C393</f>
        <v>0</v>
      </c>
      <c r="E393" s="915">
        <f>'House Count'!D393</f>
        <v>0</v>
      </c>
      <c r="F393" s="915" t="str">
        <f t="shared" si="6"/>
        <v/>
      </c>
      <c r="G393" s="915">
        <f>'House Count'!F393</f>
        <v>0</v>
      </c>
      <c r="H393" s="915">
        <f>'House Count'!H393</f>
        <v>0</v>
      </c>
    </row>
    <row r="394" spans="1:8" x14ac:dyDescent="0.25">
      <c r="A394" s="914">
        <f>'House Count'!A394</f>
        <v>0</v>
      </c>
      <c r="B394" s="915">
        <f>'House Count'!E394</f>
        <v>0</v>
      </c>
      <c r="C394" s="915">
        <f>'House Count'!B394</f>
        <v>0</v>
      </c>
      <c r="D394" s="915">
        <f>'House Count'!C394</f>
        <v>0</v>
      </c>
      <c r="E394" s="915">
        <f>'House Count'!D394</f>
        <v>0</v>
      </c>
      <c r="F394" s="915" t="str">
        <f t="shared" si="6"/>
        <v/>
      </c>
      <c r="G394" s="915">
        <f>'House Count'!F394</f>
        <v>0</v>
      </c>
      <c r="H394" s="915">
        <f>'House Count'!H394</f>
        <v>0</v>
      </c>
    </row>
    <row r="395" spans="1:8" x14ac:dyDescent="0.25">
      <c r="A395" s="914">
        <f>'House Count'!A395</f>
        <v>0</v>
      </c>
      <c r="B395" s="915">
        <f>'House Count'!E395</f>
        <v>0</v>
      </c>
      <c r="C395" s="915">
        <f>'House Count'!B395</f>
        <v>0</v>
      </c>
      <c r="D395" s="915">
        <f>'House Count'!C395</f>
        <v>0</v>
      </c>
      <c r="E395" s="915">
        <f>'House Count'!D395</f>
        <v>0</v>
      </c>
      <c r="F395" s="915" t="str">
        <f t="shared" si="6"/>
        <v/>
      </c>
      <c r="G395" s="915">
        <f>'House Count'!F395</f>
        <v>0</v>
      </c>
      <c r="H395" s="915">
        <f>'House Count'!H395</f>
        <v>0</v>
      </c>
    </row>
    <row r="396" spans="1:8" x14ac:dyDescent="0.25">
      <c r="A396" s="914">
        <f>'House Count'!A396</f>
        <v>0</v>
      </c>
      <c r="B396" s="915">
        <f>'House Count'!E396</f>
        <v>0</v>
      </c>
      <c r="C396" s="915">
        <f>'House Count'!B396</f>
        <v>0</v>
      </c>
      <c r="D396" s="915">
        <f>'House Count'!C396</f>
        <v>0</v>
      </c>
      <c r="E396" s="915">
        <f>'House Count'!D396</f>
        <v>0</v>
      </c>
      <c r="F396" s="915" t="str">
        <f t="shared" si="6"/>
        <v/>
      </c>
      <c r="G396" s="915">
        <f>'House Count'!F396</f>
        <v>0</v>
      </c>
      <c r="H396" s="915">
        <f>'House Count'!H396</f>
        <v>0</v>
      </c>
    </row>
    <row r="397" spans="1:8" x14ac:dyDescent="0.25">
      <c r="A397" s="914">
        <f>'House Count'!A397</f>
        <v>0</v>
      </c>
      <c r="B397" s="915">
        <f>'House Count'!E397</f>
        <v>0</v>
      </c>
      <c r="C397" s="915">
        <f>'House Count'!B397</f>
        <v>0</v>
      </c>
      <c r="D397" s="915">
        <f>'House Count'!C397</f>
        <v>0</v>
      </c>
      <c r="E397" s="915">
        <f>'House Count'!D397</f>
        <v>0</v>
      </c>
      <c r="F397" s="915" t="str">
        <f t="shared" si="6"/>
        <v/>
      </c>
      <c r="G397" s="915">
        <f>'House Count'!F397</f>
        <v>0</v>
      </c>
      <c r="H397" s="915">
        <f>'House Count'!H397</f>
        <v>0</v>
      </c>
    </row>
    <row r="398" spans="1:8" x14ac:dyDescent="0.25">
      <c r="A398" s="914">
        <f>'House Count'!A398</f>
        <v>0</v>
      </c>
      <c r="B398" s="915">
        <f>'House Count'!E398</f>
        <v>0</v>
      </c>
      <c r="C398" s="915">
        <f>'House Count'!B398</f>
        <v>0</v>
      </c>
      <c r="D398" s="915">
        <f>'House Count'!C398</f>
        <v>0</v>
      </c>
      <c r="E398" s="915">
        <f>'House Count'!D398</f>
        <v>0</v>
      </c>
      <c r="F398" s="915" t="str">
        <f t="shared" si="6"/>
        <v/>
      </c>
      <c r="G398" s="915">
        <f>'House Count'!F398</f>
        <v>0</v>
      </c>
      <c r="H398" s="915">
        <f>'House Count'!H398</f>
        <v>0</v>
      </c>
    </row>
    <row r="399" spans="1:8" x14ac:dyDescent="0.25">
      <c r="A399" s="914">
        <f>'House Count'!A399</f>
        <v>0</v>
      </c>
      <c r="B399" s="915">
        <f>'House Count'!E399</f>
        <v>0</v>
      </c>
      <c r="C399" s="915">
        <f>'House Count'!B399</f>
        <v>0</v>
      </c>
      <c r="D399" s="915">
        <f>'House Count'!C399</f>
        <v>0</v>
      </c>
      <c r="E399" s="915">
        <f>'House Count'!D399</f>
        <v>0</v>
      </c>
      <c r="F399" s="915" t="str">
        <f t="shared" si="6"/>
        <v/>
      </c>
      <c r="G399" s="915">
        <f>'House Count'!F399</f>
        <v>0</v>
      </c>
      <c r="H399" s="915">
        <f>'House Count'!H399</f>
        <v>0</v>
      </c>
    </row>
    <row r="400" spans="1:8" x14ac:dyDescent="0.25">
      <c r="A400" s="914">
        <f>'House Count'!A400</f>
        <v>0</v>
      </c>
      <c r="B400" s="915">
        <f>'House Count'!E400</f>
        <v>0</v>
      </c>
      <c r="C400" s="915">
        <f>'House Count'!B400</f>
        <v>0</v>
      </c>
      <c r="D400" s="915">
        <f>'House Count'!C400</f>
        <v>0</v>
      </c>
      <c r="E400" s="915">
        <f>'House Count'!D400</f>
        <v>0</v>
      </c>
      <c r="F400" s="915" t="str">
        <f t="shared" si="6"/>
        <v/>
      </c>
      <c r="G400" s="915">
        <f>'House Count'!F400</f>
        <v>0</v>
      </c>
      <c r="H400" s="915">
        <f>'House Count'!H400</f>
        <v>0</v>
      </c>
    </row>
    <row r="401" spans="1:8" x14ac:dyDescent="0.25">
      <c r="A401" s="914">
        <f>'House Count'!A401</f>
        <v>0</v>
      </c>
      <c r="B401" s="915">
        <f>'House Count'!E401</f>
        <v>0</v>
      </c>
      <c r="C401" s="915">
        <f>'House Count'!B401</f>
        <v>0</v>
      </c>
      <c r="D401" s="915">
        <f>'House Count'!C401</f>
        <v>0</v>
      </c>
      <c r="E401" s="915">
        <f>'House Count'!D401</f>
        <v>0</v>
      </c>
      <c r="F401" s="915" t="str">
        <f t="shared" si="6"/>
        <v/>
      </c>
      <c r="G401" s="915">
        <f>'House Count'!F401</f>
        <v>0</v>
      </c>
      <c r="H401" s="915">
        <f>'House Count'!H401</f>
        <v>0</v>
      </c>
    </row>
    <row r="402" spans="1:8" x14ac:dyDescent="0.25">
      <c r="A402" s="914">
        <f>'House Count'!A402</f>
        <v>0</v>
      </c>
      <c r="B402" s="915">
        <f>'House Count'!E402</f>
        <v>0</v>
      </c>
      <c r="C402" s="915">
        <f>'House Count'!B402</f>
        <v>0</v>
      </c>
      <c r="D402" s="915">
        <f>'House Count'!C402</f>
        <v>0</v>
      </c>
      <c r="E402" s="915">
        <f>'House Count'!D402</f>
        <v>0</v>
      </c>
      <c r="F402" s="915" t="str">
        <f t="shared" si="6"/>
        <v/>
      </c>
      <c r="G402" s="915">
        <f>'House Count'!F402</f>
        <v>0</v>
      </c>
      <c r="H402" s="915">
        <f>'House Count'!H402</f>
        <v>0</v>
      </c>
    </row>
    <row r="403" spans="1:8" x14ac:dyDescent="0.25">
      <c r="A403" s="914">
        <f>'House Count'!A403</f>
        <v>0</v>
      </c>
      <c r="B403" s="915">
        <f>'House Count'!E403</f>
        <v>0</v>
      </c>
      <c r="C403" s="915">
        <f>'House Count'!B403</f>
        <v>0</v>
      </c>
      <c r="D403" s="915">
        <f>'House Count'!C403</f>
        <v>0</v>
      </c>
      <c r="E403" s="915">
        <f>'House Count'!D403</f>
        <v>0</v>
      </c>
      <c r="F403" s="915" t="str">
        <f t="shared" si="6"/>
        <v/>
      </c>
      <c r="G403" s="915">
        <f>'House Count'!F403</f>
        <v>0</v>
      </c>
      <c r="H403" s="915">
        <f>'House Count'!H403</f>
        <v>0</v>
      </c>
    </row>
    <row r="404" spans="1:8" x14ac:dyDescent="0.25">
      <c r="A404" s="914">
        <f>'House Count'!A404</f>
        <v>0</v>
      </c>
      <c r="B404" s="915">
        <f>'House Count'!E404</f>
        <v>0</v>
      </c>
      <c r="C404" s="915">
        <f>'House Count'!B404</f>
        <v>0</v>
      </c>
      <c r="D404" s="915">
        <f>'House Count'!C404</f>
        <v>0</v>
      </c>
      <c r="E404" s="915">
        <f>'House Count'!D404</f>
        <v>0</v>
      </c>
      <c r="F404" s="915" t="str">
        <f t="shared" si="6"/>
        <v/>
      </c>
      <c r="G404" s="915">
        <f>'House Count'!F404</f>
        <v>0</v>
      </c>
      <c r="H404" s="915">
        <f>'House Count'!H404</f>
        <v>0</v>
      </c>
    </row>
    <row r="405" spans="1:8" x14ac:dyDescent="0.25">
      <c r="A405" s="914">
        <f>'House Count'!A405</f>
        <v>0</v>
      </c>
      <c r="B405" s="915">
        <f>'House Count'!E405</f>
        <v>0</v>
      </c>
      <c r="C405" s="915">
        <f>'House Count'!B405</f>
        <v>0</v>
      </c>
      <c r="D405" s="915">
        <f>'House Count'!C405</f>
        <v>0</v>
      </c>
      <c r="E405" s="915">
        <f>'House Count'!D405</f>
        <v>0</v>
      </c>
      <c r="F405" s="915" t="str">
        <f t="shared" si="6"/>
        <v/>
      </c>
      <c r="G405" s="915">
        <f>'House Count'!F405</f>
        <v>0</v>
      </c>
      <c r="H405" s="915">
        <f>'House Count'!H405</f>
        <v>0</v>
      </c>
    </row>
    <row r="406" spans="1:8" x14ac:dyDescent="0.25">
      <c r="A406" s="914">
        <f>'House Count'!A406</f>
        <v>0</v>
      </c>
      <c r="B406" s="915">
        <f>'House Count'!E406</f>
        <v>0</v>
      </c>
      <c r="C406" s="915">
        <f>'House Count'!B406</f>
        <v>0</v>
      </c>
      <c r="D406" s="915">
        <f>'House Count'!C406</f>
        <v>0</v>
      </c>
      <c r="E406" s="915">
        <f>'House Count'!D406</f>
        <v>0</v>
      </c>
      <c r="F406" s="915" t="str">
        <f t="shared" si="6"/>
        <v/>
      </c>
      <c r="G406" s="915">
        <f>'House Count'!F406</f>
        <v>0</v>
      </c>
      <c r="H406" s="915">
        <f>'House Count'!H406</f>
        <v>0</v>
      </c>
    </row>
    <row r="407" spans="1:8" x14ac:dyDescent="0.25">
      <c r="A407" s="914">
        <f>'House Count'!A407</f>
        <v>0</v>
      </c>
      <c r="B407" s="915">
        <f>'House Count'!E407</f>
        <v>0</v>
      </c>
      <c r="C407" s="915">
        <f>'House Count'!B407</f>
        <v>0</v>
      </c>
      <c r="D407" s="915">
        <f>'House Count'!C407</f>
        <v>0</v>
      </c>
      <c r="E407" s="915">
        <f>'House Count'!D407</f>
        <v>0</v>
      </c>
      <c r="F407" s="915" t="str">
        <f t="shared" si="6"/>
        <v/>
      </c>
      <c r="G407" s="915">
        <f>'House Count'!F407</f>
        <v>0</v>
      </c>
      <c r="H407" s="915">
        <f>'House Count'!H407</f>
        <v>0</v>
      </c>
    </row>
    <row r="408" spans="1:8" x14ac:dyDescent="0.25">
      <c r="A408" s="914">
        <f>'House Count'!A408</f>
        <v>0</v>
      </c>
      <c r="B408" s="915">
        <f>'House Count'!E408</f>
        <v>0</v>
      </c>
      <c r="C408" s="915">
        <f>'House Count'!B408</f>
        <v>0</v>
      </c>
      <c r="D408" s="915">
        <f>'House Count'!C408</f>
        <v>0</v>
      </c>
      <c r="E408" s="915">
        <f>'House Count'!D408</f>
        <v>0</v>
      </c>
      <c r="F408" s="915" t="str">
        <f t="shared" si="6"/>
        <v/>
      </c>
      <c r="G408" s="915">
        <f>'House Count'!F408</f>
        <v>0</v>
      </c>
      <c r="H408" s="915">
        <f>'House Count'!H408</f>
        <v>0</v>
      </c>
    </row>
    <row r="409" spans="1:8" x14ac:dyDescent="0.25">
      <c r="A409" s="914">
        <f>'House Count'!A409</f>
        <v>0</v>
      </c>
      <c r="B409" s="915">
        <f>'House Count'!E409</f>
        <v>0</v>
      </c>
      <c r="C409" s="915">
        <f>'House Count'!B409</f>
        <v>0</v>
      </c>
      <c r="D409" s="915">
        <f>'House Count'!C409</f>
        <v>0</v>
      </c>
      <c r="E409" s="915">
        <f>'House Count'!D409</f>
        <v>0</v>
      </c>
      <c r="F409" s="915" t="str">
        <f t="shared" si="6"/>
        <v/>
      </c>
      <c r="G409" s="915">
        <f>'House Count'!F409</f>
        <v>0</v>
      </c>
      <c r="H409" s="915">
        <f>'House Count'!H409</f>
        <v>0</v>
      </c>
    </row>
    <row r="410" spans="1:8" x14ac:dyDescent="0.25">
      <c r="A410" s="914">
        <f>'House Count'!A410</f>
        <v>0</v>
      </c>
      <c r="B410" s="915">
        <f>'House Count'!E410</f>
        <v>0</v>
      </c>
      <c r="C410" s="915">
        <f>'House Count'!B410</f>
        <v>0</v>
      </c>
      <c r="D410" s="915">
        <f>'House Count'!C410</f>
        <v>0</v>
      </c>
      <c r="E410" s="915">
        <f>'House Count'!D410</f>
        <v>0</v>
      </c>
      <c r="F410" s="915" t="str">
        <f t="shared" si="6"/>
        <v/>
      </c>
      <c r="G410" s="915">
        <f>'House Count'!F410</f>
        <v>0</v>
      </c>
      <c r="H410" s="915">
        <f>'House Count'!H410</f>
        <v>0</v>
      </c>
    </row>
    <row r="411" spans="1:8" x14ac:dyDescent="0.25">
      <c r="A411" s="914">
        <f>'House Count'!A411</f>
        <v>0</v>
      </c>
      <c r="B411" s="915">
        <f>'House Count'!E411</f>
        <v>0</v>
      </c>
      <c r="C411" s="915">
        <f>'House Count'!B411</f>
        <v>0</v>
      </c>
      <c r="D411" s="915">
        <f>'House Count'!C411</f>
        <v>0</v>
      </c>
      <c r="E411" s="915">
        <f>'House Count'!D411</f>
        <v>0</v>
      </c>
      <c r="F411" s="915" t="str">
        <f t="shared" si="6"/>
        <v/>
      </c>
      <c r="G411" s="915">
        <f>'House Count'!F411</f>
        <v>0</v>
      </c>
      <c r="H411" s="915">
        <f>'House Count'!H411</f>
        <v>0</v>
      </c>
    </row>
    <row r="412" spans="1:8" x14ac:dyDescent="0.25">
      <c r="A412" s="914">
        <f>'House Count'!A412</f>
        <v>0</v>
      </c>
      <c r="B412" s="915">
        <f>'House Count'!E412</f>
        <v>0</v>
      </c>
      <c r="C412" s="915">
        <f>'House Count'!B412</f>
        <v>0</v>
      </c>
      <c r="D412" s="915">
        <f>'House Count'!C412</f>
        <v>0</v>
      </c>
      <c r="E412" s="915">
        <f>'House Count'!D412</f>
        <v>0</v>
      </c>
      <c r="F412" s="915" t="str">
        <f t="shared" si="6"/>
        <v/>
      </c>
      <c r="G412" s="915">
        <f>'House Count'!F412</f>
        <v>0</v>
      </c>
      <c r="H412" s="915">
        <f>'House Count'!H412</f>
        <v>0</v>
      </c>
    </row>
    <row r="413" spans="1:8" x14ac:dyDescent="0.25">
      <c r="A413" s="914">
        <f>'House Count'!A413</f>
        <v>0</v>
      </c>
      <c r="B413" s="915">
        <f>'House Count'!E413</f>
        <v>0</v>
      </c>
      <c r="C413" s="915">
        <f>'House Count'!B413</f>
        <v>0</v>
      </c>
      <c r="D413" s="915">
        <f>'House Count'!C413</f>
        <v>0</v>
      </c>
      <c r="E413" s="915">
        <f>'House Count'!D413</f>
        <v>0</v>
      </c>
      <c r="F413" s="915" t="str">
        <f t="shared" si="6"/>
        <v/>
      </c>
      <c r="G413" s="915">
        <f>'House Count'!F413</f>
        <v>0</v>
      </c>
      <c r="H413" s="915">
        <f>'House Count'!H413</f>
        <v>0</v>
      </c>
    </row>
    <row r="414" spans="1:8" x14ac:dyDescent="0.25">
      <c r="A414" s="914">
        <f>'House Count'!A414</f>
        <v>0</v>
      </c>
      <c r="B414" s="915">
        <f>'House Count'!E414</f>
        <v>0</v>
      </c>
      <c r="C414" s="915">
        <f>'House Count'!B414</f>
        <v>0</v>
      </c>
      <c r="D414" s="915">
        <f>'House Count'!C414</f>
        <v>0</v>
      </c>
      <c r="E414" s="915">
        <f>'House Count'!D414</f>
        <v>0</v>
      </c>
      <c r="F414" s="915" t="str">
        <f t="shared" si="6"/>
        <v/>
      </c>
      <c r="G414" s="915">
        <f>'House Count'!F414</f>
        <v>0</v>
      </c>
      <c r="H414" s="915">
        <f>'House Count'!H414</f>
        <v>0</v>
      </c>
    </row>
    <row r="415" spans="1:8" x14ac:dyDescent="0.25">
      <c r="A415" s="914">
        <f>'House Count'!A415</f>
        <v>0</v>
      </c>
      <c r="B415" s="915">
        <f>'House Count'!E415</f>
        <v>0</v>
      </c>
      <c r="C415" s="915">
        <f>'House Count'!B415</f>
        <v>0</v>
      </c>
      <c r="D415" s="915">
        <f>'House Count'!C415</f>
        <v>0</v>
      </c>
      <c r="E415" s="915">
        <f>'House Count'!D415</f>
        <v>0</v>
      </c>
      <c r="F415" s="915" t="str">
        <f t="shared" si="6"/>
        <v/>
      </c>
      <c r="G415" s="915">
        <f>'House Count'!F415</f>
        <v>0</v>
      </c>
      <c r="H415" s="915">
        <f>'House Count'!H415</f>
        <v>0</v>
      </c>
    </row>
    <row r="416" spans="1:8" x14ac:dyDescent="0.25">
      <c r="A416" s="914">
        <f>'House Count'!A416</f>
        <v>0</v>
      </c>
      <c r="B416" s="915">
        <f>'House Count'!E416</f>
        <v>0</v>
      </c>
      <c r="C416" s="915">
        <f>'House Count'!B416</f>
        <v>0</v>
      </c>
      <c r="D416" s="915">
        <f>'House Count'!C416</f>
        <v>0</v>
      </c>
      <c r="E416" s="915">
        <f>'House Count'!D416</f>
        <v>0</v>
      </c>
      <c r="F416" s="915" t="str">
        <f t="shared" si="6"/>
        <v/>
      </c>
      <c r="G416" s="915">
        <f>'House Count'!F416</f>
        <v>0</v>
      </c>
      <c r="H416" s="915">
        <f>'House Count'!H416</f>
        <v>0</v>
      </c>
    </row>
    <row r="417" spans="1:8" x14ac:dyDescent="0.25">
      <c r="A417" s="914">
        <f>'House Count'!A417</f>
        <v>0</v>
      </c>
      <c r="B417" s="915">
        <f>'House Count'!E417</f>
        <v>0</v>
      </c>
      <c r="C417" s="915">
        <f>'House Count'!B417</f>
        <v>0</v>
      </c>
      <c r="D417" s="915">
        <f>'House Count'!C417</f>
        <v>0</v>
      </c>
      <c r="E417" s="915">
        <f>'House Count'!D417</f>
        <v>0</v>
      </c>
      <c r="F417" s="915" t="str">
        <f t="shared" si="6"/>
        <v/>
      </c>
      <c r="G417" s="915">
        <f>'House Count'!F417</f>
        <v>0</v>
      </c>
      <c r="H417" s="915">
        <f>'House Count'!H417</f>
        <v>0</v>
      </c>
    </row>
    <row r="418" spans="1:8" x14ac:dyDescent="0.25">
      <c r="A418" s="914">
        <f>'House Count'!A418</f>
        <v>0</v>
      </c>
      <c r="B418" s="915">
        <f>'House Count'!E418</f>
        <v>0</v>
      </c>
      <c r="C418" s="915">
        <f>'House Count'!B418</f>
        <v>0</v>
      </c>
      <c r="D418" s="915">
        <f>'House Count'!C418</f>
        <v>0</v>
      </c>
      <c r="E418" s="915">
        <f>'House Count'!D418</f>
        <v>0</v>
      </c>
      <c r="F418" s="915" t="str">
        <f t="shared" si="6"/>
        <v/>
      </c>
      <c r="G418" s="915">
        <f>'House Count'!F418</f>
        <v>0</v>
      </c>
      <c r="H418" s="915">
        <f>'House Count'!H418</f>
        <v>0</v>
      </c>
    </row>
    <row r="419" spans="1:8" x14ac:dyDescent="0.25">
      <c r="A419" s="914">
        <f>'House Count'!A419</f>
        <v>0</v>
      </c>
      <c r="B419" s="915">
        <f>'House Count'!E419</f>
        <v>0</v>
      </c>
      <c r="C419" s="915">
        <f>'House Count'!B419</f>
        <v>0</v>
      </c>
      <c r="D419" s="915">
        <f>'House Count'!C419</f>
        <v>0</v>
      </c>
      <c r="E419" s="915">
        <f>'House Count'!D419</f>
        <v>0</v>
      </c>
      <c r="F419" s="915" t="str">
        <f t="shared" si="6"/>
        <v/>
      </c>
      <c r="G419" s="915">
        <f>'House Count'!F419</f>
        <v>0</v>
      </c>
      <c r="H419" s="915">
        <f>'House Count'!H419</f>
        <v>0</v>
      </c>
    </row>
    <row r="420" spans="1:8" x14ac:dyDescent="0.25">
      <c r="A420" s="914">
        <f>'House Count'!A420</f>
        <v>0</v>
      </c>
      <c r="B420" s="915">
        <f>'House Count'!E420</f>
        <v>0</v>
      </c>
      <c r="C420" s="915">
        <f>'House Count'!B420</f>
        <v>0</v>
      </c>
      <c r="D420" s="915">
        <f>'House Count'!C420</f>
        <v>0</v>
      </c>
      <c r="E420" s="915">
        <f>'House Count'!D420</f>
        <v>0</v>
      </c>
      <c r="F420" s="915" t="str">
        <f t="shared" si="6"/>
        <v/>
      </c>
      <c r="G420" s="915">
        <f>'House Count'!F420</f>
        <v>0</v>
      </c>
      <c r="H420" s="915">
        <f>'House Count'!H420</f>
        <v>0</v>
      </c>
    </row>
    <row r="421" spans="1:8" x14ac:dyDescent="0.25">
      <c r="A421" s="914">
        <f>'House Count'!A421</f>
        <v>0</v>
      </c>
      <c r="B421" s="915">
        <f>'House Count'!E421</f>
        <v>0</v>
      </c>
      <c r="C421" s="915">
        <f>'House Count'!B421</f>
        <v>0</v>
      </c>
      <c r="D421" s="915">
        <f>'House Count'!C421</f>
        <v>0</v>
      </c>
      <c r="E421" s="915">
        <f>'House Count'!D421</f>
        <v>0</v>
      </c>
      <c r="F421" s="915" t="str">
        <f t="shared" si="6"/>
        <v/>
      </c>
      <c r="G421" s="915">
        <f>'House Count'!F421</f>
        <v>0</v>
      </c>
      <c r="H421" s="915">
        <f>'House Count'!H421</f>
        <v>0</v>
      </c>
    </row>
    <row r="422" spans="1:8" x14ac:dyDescent="0.25">
      <c r="A422" s="914">
        <f>'House Count'!A422</f>
        <v>0</v>
      </c>
      <c r="B422" s="915">
        <f>'House Count'!E422</f>
        <v>0</v>
      </c>
      <c r="C422" s="915">
        <f>'House Count'!B422</f>
        <v>0</v>
      </c>
      <c r="D422" s="915">
        <f>'House Count'!C422</f>
        <v>0</v>
      </c>
      <c r="E422" s="915">
        <f>'House Count'!D422</f>
        <v>0</v>
      </c>
      <c r="F422" s="915" t="str">
        <f t="shared" si="6"/>
        <v/>
      </c>
      <c r="G422" s="915">
        <f>'House Count'!F422</f>
        <v>0</v>
      </c>
      <c r="H422" s="915">
        <f>'House Count'!H422</f>
        <v>0</v>
      </c>
    </row>
    <row r="423" spans="1:8" x14ac:dyDescent="0.25">
      <c r="A423" s="914">
        <f>'House Count'!A423</f>
        <v>0</v>
      </c>
      <c r="B423" s="915">
        <f>'House Count'!E423</f>
        <v>0</v>
      </c>
      <c r="C423" s="915">
        <f>'House Count'!B423</f>
        <v>0</v>
      </c>
      <c r="D423" s="915">
        <f>'House Count'!C423</f>
        <v>0</v>
      </c>
      <c r="E423" s="915">
        <f>'House Count'!D423</f>
        <v>0</v>
      </c>
      <c r="F423" s="915" t="str">
        <f t="shared" si="6"/>
        <v/>
      </c>
      <c r="G423" s="915">
        <f>'House Count'!F423</f>
        <v>0</v>
      </c>
      <c r="H423" s="915">
        <f>'House Count'!H423</f>
        <v>0</v>
      </c>
    </row>
    <row r="424" spans="1:8" x14ac:dyDescent="0.25">
      <c r="A424" s="914">
        <f>'House Count'!A424</f>
        <v>0</v>
      </c>
      <c r="B424" s="915">
        <f>'House Count'!E424</f>
        <v>0</v>
      </c>
      <c r="C424" s="915">
        <f>'House Count'!B424</f>
        <v>0</v>
      </c>
      <c r="D424" s="915">
        <f>'House Count'!C424</f>
        <v>0</v>
      </c>
      <c r="E424" s="915">
        <f>'House Count'!D424</f>
        <v>0</v>
      </c>
      <c r="F424" s="915" t="str">
        <f t="shared" si="6"/>
        <v/>
      </c>
      <c r="G424" s="915">
        <f>'House Count'!F424</f>
        <v>0</v>
      </c>
      <c r="H424" s="915">
        <f>'House Count'!H424</f>
        <v>0</v>
      </c>
    </row>
    <row r="425" spans="1:8" x14ac:dyDescent="0.25">
      <c r="A425" s="914">
        <f>'House Count'!A425</f>
        <v>0</v>
      </c>
      <c r="B425" s="915">
        <f>'House Count'!E425</f>
        <v>0</v>
      </c>
      <c r="C425" s="915">
        <f>'House Count'!B425</f>
        <v>0</v>
      </c>
      <c r="D425" s="915">
        <f>'House Count'!C425</f>
        <v>0</v>
      </c>
      <c r="E425" s="915">
        <f>'House Count'!D425</f>
        <v>0</v>
      </c>
      <c r="F425" s="915" t="str">
        <f t="shared" si="6"/>
        <v/>
      </c>
      <c r="G425" s="915">
        <f>'House Count'!F425</f>
        <v>0</v>
      </c>
      <c r="H425" s="915">
        <f>'House Count'!H425</f>
        <v>0</v>
      </c>
    </row>
    <row r="426" spans="1:8" x14ac:dyDescent="0.25">
      <c r="A426" s="914">
        <f>'House Count'!A426</f>
        <v>0</v>
      </c>
      <c r="B426" s="915">
        <f>'House Count'!E426</f>
        <v>0</v>
      </c>
      <c r="C426" s="915">
        <f>'House Count'!B426</f>
        <v>0</v>
      </c>
      <c r="D426" s="915">
        <f>'House Count'!C426</f>
        <v>0</v>
      </c>
      <c r="E426" s="915">
        <f>'House Count'!D426</f>
        <v>0</v>
      </c>
      <c r="F426" s="915" t="str">
        <f t="shared" si="6"/>
        <v/>
      </c>
      <c r="G426" s="915">
        <f>'House Count'!F426</f>
        <v>0</v>
      </c>
      <c r="H426" s="915">
        <f>'House Count'!H426</f>
        <v>0</v>
      </c>
    </row>
    <row r="427" spans="1:8" x14ac:dyDescent="0.25">
      <c r="A427" s="914">
        <f>'House Count'!A427</f>
        <v>0</v>
      </c>
      <c r="B427" s="915">
        <f>'House Count'!E427</f>
        <v>0</v>
      </c>
      <c r="C427" s="915">
        <f>'House Count'!B427</f>
        <v>0</v>
      </c>
      <c r="D427" s="915">
        <f>'House Count'!C427</f>
        <v>0</v>
      </c>
      <c r="E427" s="915">
        <f>'House Count'!D427</f>
        <v>0</v>
      </c>
      <c r="F427" s="915" t="str">
        <f t="shared" si="6"/>
        <v/>
      </c>
      <c r="G427" s="915">
        <f>'House Count'!F427</f>
        <v>0</v>
      </c>
      <c r="H427" s="915">
        <f>'House Count'!H427</f>
        <v>0</v>
      </c>
    </row>
    <row r="428" spans="1:8" x14ac:dyDescent="0.25">
      <c r="A428" s="914">
        <f>'House Count'!A428</f>
        <v>0</v>
      </c>
      <c r="B428" s="915">
        <f>'House Count'!E428</f>
        <v>0</v>
      </c>
      <c r="C428" s="915">
        <f>'House Count'!B428</f>
        <v>0</v>
      </c>
      <c r="D428" s="915">
        <f>'House Count'!C428</f>
        <v>0</v>
      </c>
      <c r="E428" s="915">
        <f>'House Count'!D428</f>
        <v>0</v>
      </c>
      <c r="F428" s="915" t="str">
        <f t="shared" si="6"/>
        <v/>
      </c>
      <c r="G428" s="915">
        <f>'House Count'!F428</f>
        <v>0</v>
      </c>
      <c r="H428" s="915">
        <f>'House Count'!H428</f>
        <v>0</v>
      </c>
    </row>
    <row r="429" spans="1:8" x14ac:dyDescent="0.25">
      <c r="A429" s="914">
        <f>'House Count'!A429</f>
        <v>0</v>
      </c>
      <c r="B429" s="915">
        <f>'House Count'!E429</f>
        <v>0</v>
      </c>
      <c r="C429" s="915">
        <f>'House Count'!B429</f>
        <v>0</v>
      </c>
      <c r="D429" s="915">
        <f>'House Count'!C429</f>
        <v>0</v>
      </c>
      <c r="E429" s="915">
        <f>'House Count'!D429</f>
        <v>0</v>
      </c>
      <c r="F429" s="915" t="str">
        <f t="shared" si="6"/>
        <v/>
      </c>
      <c r="G429" s="915">
        <f>'House Count'!F429</f>
        <v>0</v>
      </c>
      <c r="H429" s="915">
        <f>'House Count'!H429</f>
        <v>0</v>
      </c>
    </row>
    <row r="430" spans="1:8" x14ac:dyDescent="0.25">
      <c r="A430" s="914">
        <f>'House Count'!A430</f>
        <v>0</v>
      </c>
      <c r="B430" s="915">
        <f>'House Count'!E430</f>
        <v>0</v>
      </c>
      <c r="C430" s="915">
        <f>'House Count'!B430</f>
        <v>0</v>
      </c>
      <c r="D430" s="915">
        <f>'House Count'!C430</f>
        <v>0</v>
      </c>
      <c r="E430" s="915">
        <f>'House Count'!D430</f>
        <v>0</v>
      </c>
      <c r="F430" s="915" t="str">
        <f t="shared" si="6"/>
        <v/>
      </c>
      <c r="G430" s="915">
        <f>'House Count'!F430</f>
        <v>0</v>
      </c>
      <c r="H430" s="915">
        <f>'House Count'!H430</f>
        <v>0</v>
      </c>
    </row>
    <row r="431" spans="1:8" x14ac:dyDescent="0.25">
      <c r="A431" s="914">
        <f>'House Count'!A431</f>
        <v>0</v>
      </c>
      <c r="B431" s="915">
        <f>'House Count'!E431</f>
        <v>0</v>
      </c>
      <c r="C431" s="915">
        <f>'House Count'!B431</f>
        <v>0</v>
      </c>
      <c r="D431" s="915">
        <f>'House Count'!C431</f>
        <v>0</v>
      </c>
      <c r="E431" s="915">
        <f>'House Count'!D431</f>
        <v>0</v>
      </c>
      <c r="F431" s="915" t="str">
        <f t="shared" si="6"/>
        <v/>
      </c>
      <c r="G431" s="915">
        <f>'House Count'!F431</f>
        <v>0</v>
      </c>
      <c r="H431" s="915">
        <f>'House Count'!H431</f>
        <v>0</v>
      </c>
    </row>
    <row r="432" spans="1:8" x14ac:dyDescent="0.25">
      <c r="A432" s="914">
        <f>'House Count'!A432</f>
        <v>0</v>
      </c>
      <c r="B432" s="915">
        <f>'House Count'!E432</f>
        <v>0</v>
      </c>
      <c r="C432" s="915">
        <f>'House Count'!B432</f>
        <v>0</v>
      </c>
      <c r="D432" s="915">
        <f>'House Count'!C432</f>
        <v>0</v>
      </c>
      <c r="E432" s="915">
        <f>'House Count'!D432</f>
        <v>0</v>
      </c>
      <c r="F432" s="915" t="str">
        <f t="shared" si="6"/>
        <v/>
      </c>
      <c r="G432" s="915">
        <f>'House Count'!F432</f>
        <v>0</v>
      </c>
      <c r="H432" s="915">
        <f>'House Count'!H432</f>
        <v>0</v>
      </c>
    </row>
    <row r="433" spans="1:8" x14ac:dyDescent="0.25">
      <c r="A433" s="914">
        <f>'House Count'!A433</f>
        <v>0</v>
      </c>
      <c r="B433" s="915">
        <f>'House Count'!E433</f>
        <v>0</v>
      </c>
      <c r="C433" s="915">
        <f>'House Count'!B433</f>
        <v>0</v>
      </c>
      <c r="D433" s="915">
        <f>'House Count'!C433</f>
        <v>0</v>
      </c>
      <c r="E433" s="915">
        <f>'House Count'!D433</f>
        <v>0</v>
      </c>
      <c r="F433" s="915" t="str">
        <f t="shared" si="6"/>
        <v/>
      </c>
      <c r="G433" s="915">
        <f>'House Count'!F433</f>
        <v>0</v>
      </c>
      <c r="H433" s="915">
        <f>'House Count'!H433</f>
        <v>0</v>
      </c>
    </row>
    <row r="434" spans="1:8" x14ac:dyDescent="0.25">
      <c r="A434" s="914">
        <f>'House Count'!A434</f>
        <v>0</v>
      </c>
      <c r="B434" s="915">
        <f>'House Count'!E434</f>
        <v>0</v>
      </c>
      <c r="C434" s="915">
        <f>'House Count'!B434</f>
        <v>0</v>
      </c>
      <c r="D434" s="915">
        <f>'House Count'!C434</f>
        <v>0</v>
      </c>
      <c r="E434" s="915">
        <f>'House Count'!D434</f>
        <v>0</v>
      </c>
      <c r="F434" s="915" t="str">
        <f t="shared" si="6"/>
        <v/>
      </c>
      <c r="G434" s="915">
        <f>'House Count'!F434</f>
        <v>0</v>
      </c>
      <c r="H434" s="915">
        <f>'House Count'!H434</f>
        <v>0</v>
      </c>
    </row>
    <row r="435" spans="1:8" x14ac:dyDescent="0.25">
      <c r="A435" s="914">
        <f>'House Count'!A435</f>
        <v>0</v>
      </c>
      <c r="B435" s="915">
        <f>'House Count'!E435</f>
        <v>0</v>
      </c>
      <c r="C435" s="915">
        <f>'House Count'!B435</f>
        <v>0</v>
      </c>
      <c r="D435" s="915">
        <f>'House Count'!C435</f>
        <v>0</v>
      </c>
      <c r="E435" s="915">
        <f>'House Count'!D435</f>
        <v>0</v>
      </c>
      <c r="F435" s="915" t="str">
        <f t="shared" si="6"/>
        <v/>
      </c>
      <c r="G435" s="915">
        <f>'House Count'!F435</f>
        <v>0</v>
      </c>
      <c r="H435" s="915">
        <f>'House Count'!H435</f>
        <v>0</v>
      </c>
    </row>
    <row r="436" spans="1:8" x14ac:dyDescent="0.25">
      <c r="A436" s="914">
        <f>'House Count'!A436</f>
        <v>0</v>
      </c>
      <c r="B436" s="915">
        <f>'House Count'!E436</f>
        <v>0</v>
      </c>
      <c r="C436" s="915">
        <f>'House Count'!B436</f>
        <v>0</v>
      </c>
      <c r="D436" s="915">
        <f>'House Count'!C436</f>
        <v>0</v>
      </c>
      <c r="E436" s="915">
        <f>'House Count'!D436</f>
        <v>0</v>
      </c>
      <c r="F436" s="915" t="str">
        <f t="shared" si="6"/>
        <v/>
      </c>
      <c r="G436" s="915">
        <f>'House Count'!F436</f>
        <v>0</v>
      </c>
      <c r="H436" s="915">
        <f>'House Count'!H436</f>
        <v>0</v>
      </c>
    </row>
    <row r="437" spans="1:8" x14ac:dyDescent="0.25">
      <c r="A437" s="914">
        <f>'House Count'!A437</f>
        <v>0</v>
      </c>
      <c r="B437" s="915">
        <f>'House Count'!E437</f>
        <v>0</v>
      </c>
      <c r="C437" s="915">
        <f>'House Count'!B437</f>
        <v>0</v>
      </c>
      <c r="D437" s="915">
        <f>'House Count'!C437</f>
        <v>0</v>
      </c>
      <c r="E437" s="915">
        <f>'House Count'!D437</f>
        <v>0</v>
      </c>
      <c r="F437" s="915" t="str">
        <f t="shared" si="6"/>
        <v/>
      </c>
      <c r="G437" s="915">
        <f>'House Count'!F437</f>
        <v>0</v>
      </c>
      <c r="H437" s="915">
        <f>'House Count'!H437</f>
        <v>0</v>
      </c>
    </row>
    <row r="438" spans="1:8" x14ac:dyDescent="0.25">
      <c r="A438" s="914">
        <f>'House Count'!A438</f>
        <v>0</v>
      </c>
      <c r="B438" s="915">
        <f>'House Count'!E438</f>
        <v>0</v>
      </c>
      <c r="C438" s="915">
        <f>'House Count'!B438</f>
        <v>0</v>
      </c>
      <c r="D438" s="915">
        <f>'House Count'!C438</f>
        <v>0</v>
      </c>
      <c r="E438" s="915">
        <f>'House Count'!D438</f>
        <v>0</v>
      </c>
      <c r="F438" s="915" t="str">
        <f t="shared" si="6"/>
        <v/>
      </c>
      <c r="G438" s="915">
        <f>'House Count'!F438</f>
        <v>0</v>
      </c>
      <c r="H438" s="915">
        <f>'House Count'!H438</f>
        <v>0</v>
      </c>
    </row>
    <row r="439" spans="1:8" x14ac:dyDescent="0.25">
      <c r="A439" s="914">
        <f>'House Count'!A439</f>
        <v>0</v>
      </c>
      <c r="B439" s="915">
        <f>'House Count'!E439</f>
        <v>0</v>
      </c>
      <c r="C439" s="915">
        <f>'House Count'!B439</f>
        <v>0</v>
      </c>
      <c r="D439" s="915">
        <f>'House Count'!C439</f>
        <v>0</v>
      </c>
      <c r="E439" s="915">
        <f>'House Count'!D439</f>
        <v>0</v>
      </c>
      <c r="F439" s="915" t="str">
        <f t="shared" si="6"/>
        <v/>
      </c>
      <c r="G439" s="915">
        <f>'House Count'!F439</f>
        <v>0</v>
      </c>
      <c r="H439" s="915">
        <f>'House Count'!H439</f>
        <v>0</v>
      </c>
    </row>
    <row r="440" spans="1:8" x14ac:dyDescent="0.25">
      <c r="A440" s="914">
        <f>'House Count'!A440</f>
        <v>0</v>
      </c>
      <c r="B440" s="915">
        <f>'House Count'!E440</f>
        <v>0</v>
      </c>
      <c r="C440" s="915">
        <f>'House Count'!B440</f>
        <v>0</v>
      </c>
      <c r="D440" s="915">
        <f>'House Count'!C440</f>
        <v>0</v>
      </c>
      <c r="E440" s="915">
        <f>'House Count'!D440</f>
        <v>0</v>
      </c>
      <c r="F440" s="915" t="str">
        <f t="shared" si="6"/>
        <v/>
      </c>
      <c r="G440" s="915">
        <f>'House Count'!F440</f>
        <v>0</v>
      </c>
      <c r="H440" s="915">
        <f>'House Count'!H440</f>
        <v>0</v>
      </c>
    </row>
    <row r="441" spans="1:8" x14ac:dyDescent="0.25">
      <c r="A441" s="914">
        <f>'House Count'!A441</f>
        <v>0</v>
      </c>
      <c r="B441" s="915">
        <f>'House Count'!E441</f>
        <v>0</v>
      </c>
      <c r="C441" s="915">
        <f>'House Count'!B441</f>
        <v>0</v>
      </c>
      <c r="D441" s="915">
        <f>'House Count'!C441</f>
        <v>0</v>
      </c>
      <c r="E441" s="915">
        <f>'House Count'!D441</f>
        <v>0</v>
      </c>
      <c r="F441" s="915" t="str">
        <f t="shared" si="6"/>
        <v/>
      </c>
      <c r="G441" s="915">
        <f>'House Count'!F441</f>
        <v>0</v>
      </c>
      <c r="H441" s="915">
        <f>'House Count'!H441</f>
        <v>0</v>
      </c>
    </row>
    <row r="442" spans="1:8" x14ac:dyDescent="0.25">
      <c r="A442" s="914">
        <f>'House Count'!A442</f>
        <v>0</v>
      </c>
      <c r="B442" s="915">
        <f>'House Count'!E442</f>
        <v>0</v>
      </c>
      <c r="C442" s="915">
        <f>'House Count'!B442</f>
        <v>0</v>
      </c>
      <c r="D442" s="915">
        <f>'House Count'!C442</f>
        <v>0</v>
      </c>
      <c r="E442" s="915">
        <f>'House Count'!D442</f>
        <v>0</v>
      </c>
      <c r="F442" s="915" t="str">
        <f t="shared" si="6"/>
        <v/>
      </c>
      <c r="G442" s="915">
        <f>'House Count'!F442</f>
        <v>0</v>
      </c>
      <c r="H442" s="915">
        <f>'House Count'!H442</f>
        <v>0</v>
      </c>
    </row>
    <row r="443" spans="1:8" x14ac:dyDescent="0.25">
      <c r="A443" s="914">
        <f>'House Count'!A443</f>
        <v>0</v>
      </c>
      <c r="B443" s="915">
        <f>'House Count'!E443</f>
        <v>0</v>
      </c>
      <c r="C443" s="915">
        <f>'House Count'!B443</f>
        <v>0</v>
      </c>
      <c r="D443" s="915">
        <f>'House Count'!C443</f>
        <v>0</v>
      </c>
      <c r="E443" s="915">
        <f>'House Count'!D443</f>
        <v>0</v>
      </c>
      <c r="F443" s="915" t="str">
        <f t="shared" si="6"/>
        <v/>
      </c>
      <c r="G443" s="915">
        <f>'House Count'!F443</f>
        <v>0</v>
      </c>
      <c r="H443" s="915">
        <f>'House Count'!H443</f>
        <v>0</v>
      </c>
    </row>
    <row r="444" spans="1:8" x14ac:dyDescent="0.25">
      <c r="A444" s="914">
        <f>'House Count'!A444</f>
        <v>0</v>
      </c>
      <c r="B444" s="915">
        <f>'House Count'!E444</f>
        <v>0</v>
      </c>
      <c r="C444" s="915">
        <f>'House Count'!B444</f>
        <v>0</v>
      </c>
      <c r="D444" s="915">
        <f>'House Count'!C444</f>
        <v>0</v>
      </c>
      <c r="E444" s="915">
        <f>'House Count'!D444</f>
        <v>0</v>
      </c>
      <c r="F444" s="915" t="str">
        <f t="shared" si="6"/>
        <v/>
      </c>
      <c r="G444" s="915">
        <f>'House Count'!F444</f>
        <v>0</v>
      </c>
      <c r="H444" s="915">
        <f>'House Count'!H444</f>
        <v>0</v>
      </c>
    </row>
    <row r="445" spans="1:8" x14ac:dyDescent="0.25">
      <c r="A445" s="914">
        <f>'House Count'!A445</f>
        <v>0</v>
      </c>
      <c r="B445" s="915">
        <f>'House Count'!E445</f>
        <v>0</v>
      </c>
      <c r="C445" s="915">
        <f>'House Count'!B445</f>
        <v>0</v>
      </c>
      <c r="D445" s="915">
        <f>'House Count'!C445</f>
        <v>0</v>
      </c>
      <c r="E445" s="915">
        <f>'House Count'!D445</f>
        <v>0</v>
      </c>
      <c r="F445" s="915" t="str">
        <f t="shared" si="6"/>
        <v/>
      </c>
      <c r="G445" s="915">
        <f>'House Count'!F445</f>
        <v>0</v>
      </c>
      <c r="H445" s="915">
        <f>'House Count'!H445</f>
        <v>0</v>
      </c>
    </row>
    <row r="446" spans="1:8" x14ac:dyDescent="0.25">
      <c r="A446" s="914">
        <f>'House Count'!A446</f>
        <v>0</v>
      </c>
      <c r="B446" s="915">
        <f>'House Count'!E446</f>
        <v>0</v>
      </c>
      <c r="C446" s="915">
        <f>'House Count'!B446</f>
        <v>0</v>
      </c>
      <c r="D446" s="915">
        <f>'House Count'!C446</f>
        <v>0</v>
      </c>
      <c r="E446" s="915">
        <f>'House Count'!D446</f>
        <v>0</v>
      </c>
      <c r="F446" s="915" t="str">
        <f t="shared" si="6"/>
        <v/>
      </c>
      <c r="G446" s="915">
        <f>'House Count'!F446</f>
        <v>0</v>
      </c>
      <c r="H446" s="915">
        <f>'House Count'!H446</f>
        <v>0</v>
      </c>
    </row>
    <row r="447" spans="1:8" x14ac:dyDescent="0.25">
      <c r="A447" s="914">
        <f>'House Count'!A447</f>
        <v>0</v>
      </c>
      <c r="B447" s="915">
        <f>'House Count'!E447</f>
        <v>0</v>
      </c>
      <c r="C447" s="915">
        <f>'House Count'!B447</f>
        <v>0</v>
      </c>
      <c r="D447" s="915">
        <f>'House Count'!C447</f>
        <v>0</v>
      </c>
      <c r="E447" s="915">
        <f>'House Count'!D447</f>
        <v>0</v>
      </c>
      <c r="F447" s="915" t="str">
        <f t="shared" si="6"/>
        <v/>
      </c>
      <c r="G447" s="915">
        <f>'House Count'!F447</f>
        <v>0</v>
      </c>
      <c r="H447" s="915">
        <f>'House Count'!H447</f>
        <v>0</v>
      </c>
    </row>
    <row r="448" spans="1:8" x14ac:dyDescent="0.25">
      <c r="A448" s="914">
        <f>'House Count'!A448</f>
        <v>0</v>
      </c>
      <c r="B448" s="915">
        <f>'House Count'!E448</f>
        <v>0</v>
      </c>
      <c r="C448" s="915">
        <f>'House Count'!B448</f>
        <v>0</v>
      </c>
      <c r="D448" s="915">
        <f>'House Count'!C448</f>
        <v>0</v>
      </c>
      <c r="E448" s="915">
        <f>'House Count'!D448</f>
        <v>0</v>
      </c>
      <c r="F448" s="915" t="str">
        <f t="shared" si="6"/>
        <v/>
      </c>
      <c r="G448" s="915">
        <f>'House Count'!F448</f>
        <v>0</v>
      </c>
      <c r="H448" s="915">
        <f>'House Count'!H448</f>
        <v>0</v>
      </c>
    </row>
    <row r="449" spans="1:8" x14ac:dyDescent="0.25">
      <c r="A449" s="914">
        <f>'House Count'!A449</f>
        <v>0</v>
      </c>
      <c r="B449" s="915">
        <f>'House Count'!E449</f>
        <v>0</v>
      </c>
      <c r="C449" s="915">
        <f>'House Count'!B449</f>
        <v>0</v>
      </c>
      <c r="D449" s="915">
        <f>'House Count'!C449</f>
        <v>0</v>
      </c>
      <c r="E449" s="915">
        <f>'House Count'!D449</f>
        <v>0</v>
      </c>
      <c r="F449" s="915" t="str">
        <f t="shared" si="6"/>
        <v/>
      </c>
      <c r="G449" s="915">
        <f>'House Count'!F449</f>
        <v>0</v>
      </c>
      <c r="H449" s="915">
        <f>'House Count'!H449</f>
        <v>0</v>
      </c>
    </row>
    <row r="450" spans="1:8" x14ac:dyDescent="0.25">
      <c r="A450" s="914">
        <f>'House Count'!A450</f>
        <v>0</v>
      </c>
      <c r="B450" s="915">
        <f>'House Count'!E450</f>
        <v>0</v>
      </c>
      <c r="C450" s="915">
        <f>'House Count'!B450</f>
        <v>0</v>
      </c>
      <c r="D450" s="915">
        <f>'House Count'!C450</f>
        <v>0</v>
      </c>
      <c r="E450" s="915">
        <f>'House Count'!D450</f>
        <v>0</v>
      </c>
      <c r="F450" s="915" t="str">
        <f t="shared" si="6"/>
        <v/>
      </c>
      <c r="G450" s="915">
        <f>'House Count'!F450</f>
        <v>0</v>
      </c>
      <c r="H450" s="915">
        <f>'House Count'!H450</f>
        <v>0</v>
      </c>
    </row>
    <row r="451" spans="1:8" x14ac:dyDescent="0.25">
      <c r="A451" s="914">
        <f>'House Count'!A451</f>
        <v>0</v>
      </c>
      <c r="B451" s="915">
        <f>'House Count'!E451</f>
        <v>0</v>
      </c>
      <c r="C451" s="915">
        <f>'House Count'!B451</f>
        <v>0</v>
      </c>
      <c r="D451" s="915">
        <f>'House Count'!C451</f>
        <v>0</v>
      </c>
      <c r="E451" s="915">
        <f>'House Count'!D451</f>
        <v>0</v>
      </c>
      <c r="F451" s="915" t="str">
        <f t="shared" ref="F451:F514" si="7">IF(G451="RES-SFU","RESIDENTIAL",IF(G451="RES-HOA","RESIDENTIAL",IF(G451="RES-MDU","RESIDENTIAL",IF(G451="COMM-SU","BUSINESS",IF(G451="COM-MTU","BUSINESS",IF(G451="ENT","BUSINESS",""))))))</f>
        <v/>
      </c>
      <c r="G451" s="915">
        <f>'House Count'!F451</f>
        <v>0</v>
      </c>
      <c r="H451" s="915">
        <f>'House Count'!H451</f>
        <v>0</v>
      </c>
    </row>
    <row r="452" spans="1:8" x14ac:dyDescent="0.25">
      <c r="A452" s="914">
        <f>'House Count'!A452</f>
        <v>0</v>
      </c>
      <c r="B452" s="915">
        <f>'House Count'!E452</f>
        <v>0</v>
      </c>
      <c r="C452" s="915">
        <f>'House Count'!B452</f>
        <v>0</v>
      </c>
      <c r="D452" s="915">
        <f>'House Count'!C452</f>
        <v>0</v>
      </c>
      <c r="E452" s="915">
        <f>'House Count'!D452</f>
        <v>0</v>
      </c>
      <c r="F452" s="915" t="str">
        <f t="shared" si="7"/>
        <v/>
      </c>
      <c r="G452" s="915">
        <f>'House Count'!F452</f>
        <v>0</v>
      </c>
      <c r="H452" s="915">
        <f>'House Count'!H452</f>
        <v>0</v>
      </c>
    </row>
    <row r="453" spans="1:8" x14ac:dyDescent="0.25">
      <c r="A453" s="914">
        <f>'House Count'!A453</f>
        <v>0</v>
      </c>
      <c r="B453" s="915">
        <f>'House Count'!E453</f>
        <v>0</v>
      </c>
      <c r="C453" s="915">
        <f>'House Count'!B453</f>
        <v>0</v>
      </c>
      <c r="D453" s="915">
        <f>'House Count'!C453</f>
        <v>0</v>
      </c>
      <c r="E453" s="915">
        <f>'House Count'!D453</f>
        <v>0</v>
      </c>
      <c r="F453" s="915" t="str">
        <f t="shared" si="7"/>
        <v/>
      </c>
      <c r="G453" s="915">
        <f>'House Count'!F453</f>
        <v>0</v>
      </c>
      <c r="H453" s="915">
        <f>'House Count'!H453</f>
        <v>0</v>
      </c>
    </row>
    <row r="454" spans="1:8" x14ac:dyDescent="0.25">
      <c r="A454" s="914">
        <f>'House Count'!A454</f>
        <v>0</v>
      </c>
      <c r="B454" s="915">
        <f>'House Count'!E454</f>
        <v>0</v>
      </c>
      <c r="C454" s="915">
        <f>'House Count'!B454</f>
        <v>0</v>
      </c>
      <c r="D454" s="915">
        <f>'House Count'!C454</f>
        <v>0</v>
      </c>
      <c r="E454" s="915">
        <f>'House Count'!D454</f>
        <v>0</v>
      </c>
      <c r="F454" s="915" t="str">
        <f t="shared" si="7"/>
        <v/>
      </c>
      <c r="G454" s="915">
        <f>'House Count'!F454</f>
        <v>0</v>
      </c>
      <c r="H454" s="915">
        <f>'House Count'!H454</f>
        <v>0</v>
      </c>
    </row>
    <row r="455" spans="1:8" x14ac:dyDescent="0.25">
      <c r="A455" s="914">
        <f>'House Count'!A455</f>
        <v>0</v>
      </c>
      <c r="B455" s="915">
        <f>'House Count'!E455</f>
        <v>0</v>
      </c>
      <c r="C455" s="915">
        <f>'House Count'!B455</f>
        <v>0</v>
      </c>
      <c r="D455" s="915">
        <f>'House Count'!C455</f>
        <v>0</v>
      </c>
      <c r="E455" s="915">
        <f>'House Count'!D455</f>
        <v>0</v>
      </c>
      <c r="F455" s="915" t="str">
        <f t="shared" si="7"/>
        <v/>
      </c>
      <c r="G455" s="915">
        <f>'House Count'!F455</f>
        <v>0</v>
      </c>
      <c r="H455" s="915">
        <f>'House Count'!H455</f>
        <v>0</v>
      </c>
    </row>
    <row r="456" spans="1:8" x14ac:dyDescent="0.25">
      <c r="A456" s="914">
        <f>'House Count'!A456</f>
        <v>0</v>
      </c>
      <c r="B456" s="915">
        <f>'House Count'!E456</f>
        <v>0</v>
      </c>
      <c r="C456" s="915">
        <f>'House Count'!B456</f>
        <v>0</v>
      </c>
      <c r="D456" s="915">
        <f>'House Count'!C456</f>
        <v>0</v>
      </c>
      <c r="E456" s="915">
        <f>'House Count'!D456</f>
        <v>0</v>
      </c>
      <c r="F456" s="915" t="str">
        <f t="shared" si="7"/>
        <v/>
      </c>
      <c r="G456" s="915">
        <f>'House Count'!F456</f>
        <v>0</v>
      </c>
      <c r="H456" s="915">
        <f>'House Count'!H456</f>
        <v>0</v>
      </c>
    </row>
    <row r="457" spans="1:8" x14ac:dyDescent="0.25">
      <c r="A457" s="914">
        <f>'House Count'!A457</f>
        <v>0</v>
      </c>
      <c r="B457" s="915">
        <f>'House Count'!E457</f>
        <v>0</v>
      </c>
      <c r="C457" s="915">
        <f>'House Count'!B457</f>
        <v>0</v>
      </c>
      <c r="D457" s="915">
        <f>'House Count'!C457</f>
        <v>0</v>
      </c>
      <c r="E457" s="915">
        <f>'House Count'!D457</f>
        <v>0</v>
      </c>
      <c r="F457" s="915" t="str">
        <f t="shared" si="7"/>
        <v/>
      </c>
      <c r="G457" s="915">
        <f>'House Count'!F457</f>
        <v>0</v>
      </c>
      <c r="H457" s="915">
        <f>'House Count'!H457</f>
        <v>0</v>
      </c>
    </row>
    <row r="458" spans="1:8" x14ac:dyDescent="0.25">
      <c r="A458" s="914">
        <f>'House Count'!A458</f>
        <v>0</v>
      </c>
      <c r="B458" s="915">
        <f>'House Count'!E458</f>
        <v>0</v>
      </c>
      <c r="C458" s="915">
        <f>'House Count'!B458</f>
        <v>0</v>
      </c>
      <c r="D458" s="915">
        <f>'House Count'!C458</f>
        <v>0</v>
      </c>
      <c r="E458" s="915">
        <f>'House Count'!D458</f>
        <v>0</v>
      </c>
      <c r="F458" s="915" t="str">
        <f t="shared" si="7"/>
        <v/>
      </c>
      <c r="G458" s="915">
        <f>'House Count'!F458</f>
        <v>0</v>
      </c>
      <c r="H458" s="915">
        <f>'House Count'!H458</f>
        <v>0</v>
      </c>
    </row>
    <row r="459" spans="1:8" x14ac:dyDescent="0.25">
      <c r="A459" s="914">
        <f>'House Count'!A459</f>
        <v>0</v>
      </c>
      <c r="B459" s="915">
        <f>'House Count'!E459</f>
        <v>0</v>
      </c>
      <c r="C459" s="915">
        <f>'House Count'!B459</f>
        <v>0</v>
      </c>
      <c r="D459" s="915">
        <f>'House Count'!C459</f>
        <v>0</v>
      </c>
      <c r="E459" s="915">
        <f>'House Count'!D459</f>
        <v>0</v>
      </c>
      <c r="F459" s="915" t="str">
        <f t="shared" si="7"/>
        <v/>
      </c>
      <c r="G459" s="915">
        <f>'House Count'!F459</f>
        <v>0</v>
      </c>
      <c r="H459" s="915">
        <f>'House Count'!H459</f>
        <v>0</v>
      </c>
    </row>
    <row r="460" spans="1:8" x14ac:dyDescent="0.25">
      <c r="A460" s="914">
        <f>'House Count'!A460</f>
        <v>0</v>
      </c>
      <c r="B460" s="915">
        <f>'House Count'!E460</f>
        <v>0</v>
      </c>
      <c r="C460" s="915">
        <f>'House Count'!B460</f>
        <v>0</v>
      </c>
      <c r="D460" s="915">
        <f>'House Count'!C460</f>
        <v>0</v>
      </c>
      <c r="E460" s="915">
        <f>'House Count'!D460</f>
        <v>0</v>
      </c>
      <c r="F460" s="915" t="str">
        <f t="shared" si="7"/>
        <v/>
      </c>
      <c r="G460" s="915">
        <f>'House Count'!F460</f>
        <v>0</v>
      </c>
      <c r="H460" s="915">
        <f>'House Count'!H460</f>
        <v>0</v>
      </c>
    </row>
    <row r="461" spans="1:8" x14ac:dyDescent="0.25">
      <c r="A461" s="914">
        <f>'House Count'!A461</f>
        <v>0</v>
      </c>
      <c r="B461" s="915">
        <f>'House Count'!E461</f>
        <v>0</v>
      </c>
      <c r="C461" s="915">
        <f>'House Count'!B461</f>
        <v>0</v>
      </c>
      <c r="D461" s="915">
        <f>'House Count'!C461</f>
        <v>0</v>
      </c>
      <c r="E461" s="915">
        <f>'House Count'!D461</f>
        <v>0</v>
      </c>
      <c r="F461" s="915" t="str">
        <f t="shared" si="7"/>
        <v/>
      </c>
      <c r="G461" s="915">
        <f>'House Count'!F461</f>
        <v>0</v>
      </c>
      <c r="H461" s="915">
        <f>'House Count'!H461</f>
        <v>0</v>
      </c>
    </row>
    <row r="462" spans="1:8" x14ac:dyDescent="0.25">
      <c r="A462" s="914">
        <f>'House Count'!A462</f>
        <v>0</v>
      </c>
      <c r="B462" s="915">
        <f>'House Count'!E462</f>
        <v>0</v>
      </c>
      <c r="C462" s="915">
        <f>'House Count'!B462</f>
        <v>0</v>
      </c>
      <c r="D462" s="915">
        <f>'House Count'!C462</f>
        <v>0</v>
      </c>
      <c r="E462" s="915">
        <f>'House Count'!D462</f>
        <v>0</v>
      </c>
      <c r="F462" s="915" t="str">
        <f t="shared" si="7"/>
        <v/>
      </c>
      <c r="G462" s="915">
        <f>'House Count'!F462</f>
        <v>0</v>
      </c>
      <c r="H462" s="915">
        <f>'House Count'!H462</f>
        <v>0</v>
      </c>
    </row>
    <row r="463" spans="1:8" x14ac:dyDescent="0.25">
      <c r="A463" s="914">
        <f>'House Count'!A463</f>
        <v>0</v>
      </c>
      <c r="B463" s="915">
        <f>'House Count'!E463</f>
        <v>0</v>
      </c>
      <c r="C463" s="915">
        <f>'House Count'!B463</f>
        <v>0</v>
      </c>
      <c r="D463" s="915">
        <f>'House Count'!C463</f>
        <v>0</v>
      </c>
      <c r="E463" s="915">
        <f>'House Count'!D463</f>
        <v>0</v>
      </c>
      <c r="F463" s="915" t="str">
        <f t="shared" si="7"/>
        <v/>
      </c>
      <c r="G463" s="915">
        <f>'House Count'!F463</f>
        <v>0</v>
      </c>
      <c r="H463" s="915">
        <f>'House Count'!H463</f>
        <v>0</v>
      </c>
    </row>
    <row r="464" spans="1:8" x14ac:dyDescent="0.25">
      <c r="A464" s="914">
        <f>'House Count'!A464</f>
        <v>0</v>
      </c>
      <c r="B464" s="915">
        <f>'House Count'!E464</f>
        <v>0</v>
      </c>
      <c r="C464" s="915">
        <f>'House Count'!B464</f>
        <v>0</v>
      </c>
      <c r="D464" s="915">
        <f>'House Count'!C464</f>
        <v>0</v>
      </c>
      <c r="E464" s="915">
        <f>'House Count'!D464</f>
        <v>0</v>
      </c>
      <c r="F464" s="915" t="str">
        <f t="shared" si="7"/>
        <v/>
      </c>
      <c r="G464" s="915">
        <f>'House Count'!F464</f>
        <v>0</v>
      </c>
      <c r="H464" s="915">
        <f>'House Count'!H464</f>
        <v>0</v>
      </c>
    </row>
    <row r="465" spans="1:8" x14ac:dyDescent="0.25">
      <c r="A465" s="914">
        <f>'House Count'!A465</f>
        <v>0</v>
      </c>
      <c r="B465" s="915">
        <f>'House Count'!E465</f>
        <v>0</v>
      </c>
      <c r="C465" s="915">
        <f>'House Count'!B465</f>
        <v>0</v>
      </c>
      <c r="D465" s="915">
        <f>'House Count'!C465</f>
        <v>0</v>
      </c>
      <c r="E465" s="915">
        <f>'House Count'!D465</f>
        <v>0</v>
      </c>
      <c r="F465" s="915" t="str">
        <f t="shared" si="7"/>
        <v/>
      </c>
      <c r="G465" s="915">
        <f>'House Count'!F465</f>
        <v>0</v>
      </c>
      <c r="H465" s="915">
        <f>'House Count'!H465</f>
        <v>0</v>
      </c>
    </row>
    <row r="466" spans="1:8" x14ac:dyDescent="0.25">
      <c r="A466" s="914">
        <f>'House Count'!A466</f>
        <v>0</v>
      </c>
      <c r="B466" s="915">
        <f>'House Count'!E466</f>
        <v>0</v>
      </c>
      <c r="C466" s="915">
        <f>'House Count'!B466</f>
        <v>0</v>
      </c>
      <c r="D466" s="915">
        <f>'House Count'!C466</f>
        <v>0</v>
      </c>
      <c r="E466" s="915">
        <f>'House Count'!D466</f>
        <v>0</v>
      </c>
      <c r="F466" s="915" t="str">
        <f t="shared" si="7"/>
        <v/>
      </c>
      <c r="G466" s="915">
        <f>'House Count'!F466</f>
        <v>0</v>
      </c>
      <c r="H466" s="915">
        <f>'House Count'!H466</f>
        <v>0</v>
      </c>
    </row>
    <row r="467" spans="1:8" x14ac:dyDescent="0.25">
      <c r="A467" s="914">
        <f>'House Count'!A467</f>
        <v>0</v>
      </c>
      <c r="B467" s="915">
        <f>'House Count'!E467</f>
        <v>0</v>
      </c>
      <c r="C467" s="915">
        <f>'House Count'!B467</f>
        <v>0</v>
      </c>
      <c r="D467" s="915">
        <f>'House Count'!C467</f>
        <v>0</v>
      </c>
      <c r="E467" s="915">
        <f>'House Count'!D467</f>
        <v>0</v>
      </c>
      <c r="F467" s="915" t="str">
        <f t="shared" si="7"/>
        <v/>
      </c>
      <c r="G467" s="915">
        <f>'House Count'!F467</f>
        <v>0</v>
      </c>
      <c r="H467" s="915">
        <f>'House Count'!H467</f>
        <v>0</v>
      </c>
    </row>
    <row r="468" spans="1:8" x14ac:dyDescent="0.25">
      <c r="A468" s="914">
        <f>'House Count'!A468</f>
        <v>0</v>
      </c>
      <c r="B468" s="915">
        <f>'House Count'!E468</f>
        <v>0</v>
      </c>
      <c r="C468" s="915">
        <f>'House Count'!B468</f>
        <v>0</v>
      </c>
      <c r="D468" s="915">
        <f>'House Count'!C468</f>
        <v>0</v>
      </c>
      <c r="E468" s="915">
        <f>'House Count'!D468</f>
        <v>0</v>
      </c>
      <c r="F468" s="915" t="str">
        <f t="shared" si="7"/>
        <v/>
      </c>
      <c r="G468" s="915">
        <f>'House Count'!F468</f>
        <v>0</v>
      </c>
      <c r="H468" s="915">
        <f>'House Count'!H468</f>
        <v>0</v>
      </c>
    </row>
    <row r="469" spans="1:8" x14ac:dyDescent="0.25">
      <c r="A469" s="914">
        <f>'House Count'!A469</f>
        <v>0</v>
      </c>
      <c r="B469" s="915">
        <f>'House Count'!E469</f>
        <v>0</v>
      </c>
      <c r="C469" s="915">
        <f>'House Count'!B469</f>
        <v>0</v>
      </c>
      <c r="D469" s="915">
        <f>'House Count'!C469</f>
        <v>0</v>
      </c>
      <c r="E469" s="915">
        <f>'House Count'!D469</f>
        <v>0</v>
      </c>
      <c r="F469" s="915" t="str">
        <f t="shared" si="7"/>
        <v/>
      </c>
      <c r="G469" s="915">
        <f>'House Count'!F469</f>
        <v>0</v>
      </c>
      <c r="H469" s="915">
        <f>'House Count'!H469</f>
        <v>0</v>
      </c>
    </row>
    <row r="470" spans="1:8" x14ac:dyDescent="0.25">
      <c r="A470" s="914">
        <f>'House Count'!A470</f>
        <v>0</v>
      </c>
      <c r="B470" s="915">
        <f>'House Count'!E470</f>
        <v>0</v>
      </c>
      <c r="C470" s="915">
        <f>'House Count'!B470</f>
        <v>0</v>
      </c>
      <c r="D470" s="915">
        <f>'House Count'!C470</f>
        <v>0</v>
      </c>
      <c r="E470" s="915">
        <f>'House Count'!D470</f>
        <v>0</v>
      </c>
      <c r="F470" s="915" t="str">
        <f t="shared" si="7"/>
        <v/>
      </c>
      <c r="G470" s="915">
        <f>'House Count'!F470</f>
        <v>0</v>
      </c>
      <c r="H470" s="915">
        <f>'House Count'!H470</f>
        <v>0</v>
      </c>
    </row>
    <row r="471" spans="1:8" x14ac:dyDescent="0.25">
      <c r="A471" s="914">
        <f>'House Count'!A471</f>
        <v>0</v>
      </c>
      <c r="B471" s="915">
        <f>'House Count'!E471</f>
        <v>0</v>
      </c>
      <c r="C471" s="915">
        <f>'House Count'!B471</f>
        <v>0</v>
      </c>
      <c r="D471" s="915">
        <f>'House Count'!C471</f>
        <v>0</v>
      </c>
      <c r="E471" s="915">
        <f>'House Count'!D471</f>
        <v>0</v>
      </c>
      <c r="F471" s="915" t="str">
        <f t="shared" si="7"/>
        <v/>
      </c>
      <c r="G471" s="915">
        <f>'House Count'!F471</f>
        <v>0</v>
      </c>
      <c r="H471" s="915">
        <f>'House Count'!H471</f>
        <v>0</v>
      </c>
    </row>
    <row r="472" spans="1:8" x14ac:dyDescent="0.25">
      <c r="A472" s="914">
        <f>'House Count'!A472</f>
        <v>0</v>
      </c>
      <c r="B472" s="915">
        <f>'House Count'!E472</f>
        <v>0</v>
      </c>
      <c r="C472" s="915">
        <f>'House Count'!B472</f>
        <v>0</v>
      </c>
      <c r="D472" s="915">
        <f>'House Count'!C472</f>
        <v>0</v>
      </c>
      <c r="E472" s="915">
        <f>'House Count'!D472</f>
        <v>0</v>
      </c>
      <c r="F472" s="915" t="str">
        <f t="shared" si="7"/>
        <v/>
      </c>
      <c r="G472" s="915">
        <f>'House Count'!F472</f>
        <v>0</v>
      </c>
      <c r="H472" s="915">
        <f>'House Count'!H472</f>
        <v>0</v>
      </c>
    </row>
    <row r="473" spans="1:8" x14ac:dyDescent="0.25">
      <c r="A473" s="914">
        <f>'House Count'!A473</f>
        <v>0</v>
      </c>
      <c r="B473" s="915">
        <f>'House Count'!E473</f>
        <v>0</v>
      </c>
      <c r="C473" s="915">
        <f>'House Count'!B473</f>
        <v>0</v>
      </c>
      <c r="D473" s="915">
        <f>'House Count'!C473</f>
        <v>0</v>
      </c>
      <c r="E473" s="915">
        <f>'House Count'!D473</f>
        <v>0</v>
      </c>
      <c r="F473" s="915" t="str">
        <f t="shared" si="7"/>
        <v/>
      </c>
      <c r="G473" s="915">
        <f>'House Count'!F473</f>
        <v>0</v>
      </c>
      <c r="H473" s="915">
        <f>'House Count'!H473</f>
        <v>0</v>
      </c>
    </row>
    <row r="474" spans="1:8" x14ac:dyDescent="0.25">
      <c r="A474" s="914">
        <f>'House Count'!A474</f>
        <v>0</v>
      </c>
      <c r="B474" s="915">
        <f>'House Count'!E474</f>
        <v>0</v>
      </c>
      <c r="C474" s="915">
        <f>'House Count'!B474</f>
        <v>0</v>
      </c>
      <c r="D474" s="915">
        <f>'House Count'!C474</f>
        <v>0</v>
      </c>
      <c r="E474" s="915">
        <f>'House Count'!D474</f>
        <v>0</v>
      </c>
      <c r="F474" s="915" t="str">
        <f t="shared" si="7"/>
        <v/>
      </c>
      <c r="G474" s="915">
        <f>'House Count'!F474</f>
        <v>0</v>
      </c>
      <c r="H474" s="915">
        <f>'House Count'!H474</f>
        <v>0</v>
      </c>
    </row>
    <row r="475" spans="1:8" x14ac:dyDescent="0.25">
      <c r="A475" s="914">
        <f>'House Count'!A475</f>
        <v>0</v>
      </c>
      <c r="B475" s="915">
        <f>'House Count'!E475</f>
        <v>0</v>
      </c>
      <c r="C475" s="915">
        <f>'House Count'!B475</f>
        <v>0</v>
      </c>
      <c r="D475" s="915">
        <f>'House Count'!C475</f>
        <v>0</v>
      </c>
      <c r="E475" s="915">
        <f>'House Count'!D475</f>
        <v>0</v>
      </c>
      <c r="F475" s="915" t="str">
        <f t="shared" si="7"/>
        <v/>
      </c>
      <c r="G475" s="915">
        <f>'House Count'!F475</f>
        <v>0</v>
      </c>
      <c r="H475" s="915">
        <f>'House Count'!H475</f>
        <v>0</v>
      </c>
    </row>
    <row r="476" spans="1:8" x14ac:dyDescent="0.25">
      <c r="A476" s="914">
        <f>'House Count'!A476</f>
        <v>0</v>
      </c>
      <c r="B476" s="915">
        <f>'House Count'!E476</f>
        <v>0</v>
      </c>
      <c r="C476" s="915">
        <f>'House Count'!B476</f>
        <v>0</v>
      </c>
      <c r="D476" s="915">
        <f>'House Count'!C476</f>
        <v>0</v>
      </c>
      <c r="E476" s="915">
        <f>'House Count'!D476</f>
        <v>0</v>
      </c>
      <c r="F476" s="915" t="str">
        <f t="shared" si="7"/>
        <v/>
      </c>
      <c r="G476" s="915">
        <f>'House Count'!F476</f>
        <v>0</v>
      </c>
      <c r="H476" s="915">
        <f>'House Count'!H476</f>
        <v>0</v>
      </c>
    </row>
    <row r="477" spans="1:8" x14ac:dyDescent="0.25">
      <c r="A477" s="914">
        <f>'House Count'!A477</f>
        <v>0</v>
      </c>
      <c r="B477" s="915">
        <f>'House Count'!E477</f>
        <v>0</v>
      </c>
      <c r="C477" s="915">
        <f>'House Count'!B477</f>
        <v>0</v>
      </c>
      <c r="D477" s="915">
        <f>'House Count'!C477</f>
        <v>0</v>
      </c>
      <c r="E477" s="915">
        <f>'House Count'!D477</f>
        <v>0</v>
      </c>
      <c r="F477" s="915" t="str">
        <f t="shared" si="7"/>
        <v/>
      </c>
      <c r="G477" s="915">
        <f>'House Count'!F477</f>
        <v>0</v>
      </c>
      <c r="H477" s="915">
        <f>'House Count'!H477</f>
        <v>0</v>
      </c>
    </row>
    <row r="478" spans="1:8" x14ac:dyDescent="0.25">
      <c r="A478" s="914">
        <f>'House Count'!A478</f>
        <v>0</v>
      </c>
      <c r="B478" s="915">
        <f>'House Count'!E478</f>
        <v>0</v>
      </c>
      <c r="C478" s="915">
        <f>'House Count'!B478</f>
        <v>0</v>
      </c>
      <c r="D478" s="915">
        <f>'House Count'!C478</f>
        <v>0</v>
      </c>
      <c r="E478" s="915">
        <f>'House Count'!D478</f>
        <v>0</v>
      </c>
      <c r="F478" s="915" t="str">
        <f t="shared" si="7"/>
        <v/>
      </c>
      <c r="G478" s="915">
        <f>'House Count'!F478</f>
        <v>0</v>
      </c>
      <c r="H478" s="915">
        <f>'House Count'!H478</f>
        <v>0</v>
      </c>
    </row>
    <row r="479" spans="1:8" x14ac:dyDescent="0.25">
      <c r="A479" s="914">
        <f>'House Count'!A479</f>
        <v>0</v>
      </c>
      <c r="B479" s="915">
        <f>'House Count'!E479</f>
        <v>0</v>
      </c>
      <c r="C479" s="915">
        <f>'House Count'!B479</f>
        <v>0</v>
      </c>
      <c r="D479" s="915">
        <f>'House Count'!C479</f>
        <v>0</v>
      </c>
      <c r="E479" s="915">
        <f>'House Count'!D479</f>
        <v>0</v>
      </c>
      <c r="F479" s="915" t="str">
        <f t="shared" si="7"/>
        <v/>
      </c>
      <c r="G479" s="915">
        <f>'House Count'!F479</f>
        <v>0</v>
      </c>
      <c r="H479" s="915">
        <f>'House Count'!H479</f>
        <v>0</v>
      </c>
    </row>
    <row r="480" spans="1:8" x14ac:dyDescent="0.25">
      <c r="A480" s="914">
        <f>'House Count'!A480</f>
        <v>0</v>
      </c>
      <c r="B480" s="915">
        <f>'House Count'!E480</f>
        <v>0</v>
      </c>
      <c r="C480" s="915">
        <f>'House Count'!B480</f>
        <v>0</v>
      </c>
      <c r="D480" s="915">
        <f>'House Count'!C480</f>
        <v>0</v>
      </c>
      <c r="E480" s="915">
        <f>'House Count'!D480</f>
        <v>0</v>
      </c>
      <c r="F480" s="915" t="str">
        <f t="shared" si="7"/>
        <v/>
      </c>
      <c r="G480" s="915">
        <f>'House Count'!F480</f>
        <v>0</v>
      </c>
      <c r="H480" s="915">
        <f>'House Count'!H480</f>
        <v>0</v>
      </c>
    </row>
    <row r="481" spans="1:8" x14ac:dyDescent="0.25">
      <c r="A481" s="914">
        <f>'House Count'!A481</f>
        <v>0</v>
      </c>
      <c r="B481" s="915">
        <f>'House Count'!E481</f>
        <v>0</v>
      </c>
      <c r="C481" s="915">
        <f>'House Count'!B481</f>
        <v>0</v>
      </c>
      <c r="D481" s="915">
        <f>'House Count'!C481</f>
        <v>0</v>
      </c>
      <c r="E481" s="915">
        <f>'House Count'!D481</f>
        <v>0</v>
      </c>
      <c r="F481" s="915" t="str">
        <f t="shared" si="7"/>
        <v/>
      </c>
      <c r="G481" s="915">
        <f>'House Count'!F481</f>
        <v>0</v>
      </c>
      <c r="H481" s="915">
        <f>'House Count'!H481</f>
        <v>0</v>
      </c>
    </row>
    <row r="482" spans="1:8" x14ac:dyDescent="0.25">
      <c r="A482" s="914">
        <f>'House Count'!A482</f>
        <v>0</v>
      </c>
      <c r="B482" s="915">
        <f>'House Count'!E482</f>
        <v>0</v>
      </c>
      <c r="C482" s="915">
        <f>'House Count'!B482</f>
        <v>0</v>
      </c>
      <c r="D482" s="915">
        <f>'House Count'!C482</f>
        <v>0</v>
      </c>
      <c r="E482" s="915">
        <f>'House Count'!D482</f>
        <v>0</v>
      </c>
      <c r="F482" s="915" t="str">
        <f t="shared" si="7"/>
        <v/>
      </c>
      <c r="G482" s="915">
        <f>'House Count'!F482</f>
        <v>0</v>
      </c>
      <c r="H482" s="915">
        <f>'House Count'!H482</f>
        <v>0</v>
      </c>
    </row>
    <row r="483" spans="1:8" x14ac:dyDescent="0.25">
      <c r="A483" s="914">
        <f>'House Count'!A483</f>
        <v>0</v>
      </c>
      <c r="B483" s="915">
        <f>'House Count'!E483</f>
        <v>0</v>
      </c>
      <c r="C483" s="915">
        <f>'House Count'!B483</f>
        <v>0</v>
      </c>
      <c r="D483" s="915">
        <f>'House Count'!C483</f>
        <v>0</v>
      </c>
      <c r="E483" s="915">
        <f>'House Count'!D483</f>
        <v>0</v>
      </c>
      <c r="F483" s="915" t="str">
        <f t="shared" si="7"/>
        <v/>
      </c>
      <c r="G483" s="915">
        <f>'House Count'!F483</f>
        <v>0</v>
      </c>
      <c r="H483" s="915">
        <f>'House Count'!H483</f>
        <v>0</v>
      </c>
    </row>
    <row r="484" spans="1:8" x14ac:dyDescent="0.25">
      <c r="A484" s="914">
        <f>'House Count'!A484</f>
        <v>0</v>
      </c>
      <c r="B484" s="915">
        <f>'House Count'!E484</f>
        <v>0</v>
      </c>
      <c r="C484" s="915">
        <f>'House Count'!B484</f>
        <v>0</v>
      </c>
      <c r="D484" s="915">
        <f>'House Count'!C484</f>
        <v>0</v>
      </c>
      <c r="E484" s="915">
        <f>'House Count'!D484</f>
        <v>0</v>
      </c>
      <c r="F484" s="915" t="str">
        <f t="shared" si="7"/>
        <v/>
      </c>
      <c r="G484" s="915">
        <f>'House Count'!F484</f>
        <v>0</v>
      </c>
      <c r="H484" s="915">
        <f>'House Count'!H484</f>
        <v>0</v>
      </c>
    </row>
    <row r="485" spans="1:8" x14ac:dyDescent="0.25">
      <c r="A485" s="914">
        <f>'House Count'!A485</f>
        <v>0</v>
      </c>
      <c r="B485" s="915">
        <f>'House Count'!E485</f>
        <v>0</v>
      </c>
      <c r="C485" s="915">
        <f>'House Count'!B485</f>
        <v>0</v>
      </c>
      <c r="D485" s="915">
        <f>'House Count'!C485</f>
        <v>0</v>
      </c>
      <c r="E485" s="915">
        <f>'House Count'!D485</f>
        <v>0</v>
      </c>
      <c r="F485" s="915" t="str">
        <f t="shared" si="7"/>
        <v/>
      </c>
      <c r="G485" s="915">
        <f>'House Count'!F485</f>
        <v>0</v>
      </c>
      <c r="H485" s="915">
        <f>'House Count'!H485</f>
        <v>0</v>
      </c>
    </row>
    <row r="486" spans="1:8" x14ac:dyDescent="0.25">
      <c r="A486" s="914">
        <f>'House Count'!A486</f>
        <v>0</v>
      </c>
      <c r="B486" s="915">
        <f>'House Count'!E486</f>
        <v>0</v>
      </c>
      <c r="C486" s="915">
        <f>'House Count'!B486</f>
        <v>0</v>
      </c>
      <c r="D486" s="915">
        <f>'House Count'!C486</f>
        <v>0</v>
      </c>
      <c r="E486" s="915">
        <f>'House Count'!D486</f>
        <v>0</v>
      </c>
      <c r="F486" s="915" t="str">
        <f t="shared" si="7"/>
        <v/>
      </c>
      <c r="G486" s="915">
        <f>'House Count'!F486</f>
        <v>0</v>
      </c>
      <c r="H486" s="915">
        <f>'House Count'!H486</f>
        <v>0</v>
      </c>
    </row>
    <row r="487" spans="1:8" x14ac:dyDescent="0.25">
      <c r="A487" s="914">
        <f>'House Count'!A487</f>
        <v>0</v>
      </c>
      <c r="B487" s="915">
        <f>'House Count'!E487</f>
        <v>0</v>
      </c>
      <c r="C487" s="915">
        <f>'House Count'!B487</f>
        <v>0</v>
      </c>
      <c r="D487" s="915">
        <f>'House Count'!C487</f>
        <v>0</v>
      </c>
      <c r="E487" s="915">
        <f>'House Count'!D487</f>
        <v>0</v>
      </c>
      <c r="F487" s="915" t="str">
        <f t="shared" si="7"/>
        <v/>
      </c>
      <c r="G487" s="915">
        <f>'House Count'!F487</f>
        <v>0</v>
      </c>
      <c r="H487" s="915">
        <f>'House Count'!H487</f>
        <v>0</v>
      </c>
    </row>
    <row r="488" spans="1:8" x14ac:dyDescent="0.25">
      <c r="A488" s="914">
        <f>'House Count'!A488</f>
        <v>0</v>
      </c>
      <c r="B488" s="915">
        <f>'House Count'!E488</f>
        <v>0</v>
      </c>
      <c r="C488" s="915">
        <f>'House Count'!B488</f>
        <v>0</v>
      </c>
      <c r="D488" s="915">
        <f>'House Count'!C488</f>
        <v>0</v>
      </c>
      <c r="E488" s="915">
        <f>'House Count'!D488</f>
        <v>0</v>
      </c>
      <c r="F488" s="915" t="str">
        <f t="shared" si="7"/>
        <v/>
      </c>
      <c r="G488" s="915">
        <f>'House Count'!F488</f>
        <v>0</v>
      </c>
      <c r="H488" s="915">
        <f>'House Count'!H488</f>
        <v>0</v>
      </c>
    </row>
    <row r="489" spans="1:8" x14ac:dyDescent="0.25">
      <c r="A489" s="914">
        <f>'House Count'!A489</f>
        <v>0</v>
      </c>
      <c r="B489" s="915">
        <f>'House Count'!E489</f>
        <v>0</v>
      </c>
      <c r="C489" s="915">
        <f>'House Count'!B489</f>
        <v>0</v>
      </c>
      <c r="D489" s="915">
        <f>'House Count'!C489</f>
        <v>0</v>
      </c>
      <c r="E489" s="915">
        <f>'House Count'!D489</f>
        <v>0</v>
      </c>
      <c r="F489" s="915" t="str">
        <f t="shared" si="7"/>
        <v/>
      </c>
      <c r="G489" s="915">
        <f>'House Count'!F489</f>
        <v>0</v>
      </c>
      <c r="H489" s="915">
        <f>'House Count'!H489</f>
        <v>0</v>
      </c>
    </row>
    <row r="490" spans="1:8" x14ac:dyDescent="0.25">
      <c r="A490" s="914">
        <f>'House Count'!A490</f>
        <v>0</v>
      </c>
      <c r="B490" s="915">
        <f>'House Count'!E490</f>
        <v>0</v>
      </c>
      <c r="C490" s="915">
        <f>'House Count'!B490</f>
        <v>0</v>
      </c>
      <c r="D490" s="915">
        <f>'House Count'!C490</f>
        <v>0</v>
      </c>
      <c r="E490" s="915">
        <f>'House Count'!D490</f>
        <v>0</v>
      </c>
      <c r="F490" s="915" t="str">
        <f t="shared" si="7"/>
        <v/>
      </c>
      <c r="G490" s="915">
        <f>'House Count'!F490</f>
        <v>0</v>
      </c>
      <c r="H490" s="915">
        <f>'House Count'!H490</f>
        <v>0</v>
      </c>
    </row>
    <row r="491" spans="1:8" x14ac:dyDescent="0.25">
      <c r="A491" s="914">
        <f>'House Count'!A491</f>
        <v>0</v>
      </c>
      <c r="B491" s="915">
        <f>'House Count'!E491</f>
        <v>0</v>
      </c>
      <c r="C491" s="915">
        <f>'House Count'!B491</f>
        <v>0</v>
      </c>
      <c r="D491" s="915">
        <f>'House Count'!C491</f>
        <v>0</v>
      </c>
      <c r="E491" s="915">
        <f>'House Count'!D491</f>
        <v>0</v>
      </c>
      <c r="F491" s="915" t="str">
        <f t="shared" si="7"/>
        <v/>
      </c>
      <c r="G491" s="915">
        <f>'House Count'!F491</f>
        <v>0</v>
      </c>
      <c r="H491" s="915">
        <f>'House Count'!H491</f>
        <v>0</v>
      </c>
    </row>
    <row r="492" spans="1:8" x14ac:dyDescent="0.25">
      <c r="A492" s="914">
        <f>'House Count'!A492</f>
        <v>0</v>
      </c>
      <c r="B492" s="915">
        <f>'House Count'!E492</f>
        <v>0</v>
      </c>
      <c r="C492" s="915">
        <f>'House Count'!B492</f>
        <v>0</v>
      </c>
      <c r="D492" s="915">
        <f>'House Count'!C492</f>
        <v>0</v>
      </c>
      <c r="E492" s="915">
        <f>'House Count'!D492</f>
        <v>0</v>
      </c>
      <c r="F492" s="915" t="str">
        <f t="shared" si="7"/>
        <v/>
      </c>
      <c r="G492" s="915">
        <f>'House Count'!F492</f>
        <v>0</v>
      </c>
      <c r="H492" s="915">
        <f>'House Count'!H492</f>
        <v>0</v>
      </c>
    </row>
    <row r="493" spans="1:8" x14ac:dyDescent="0.25">
      <c r="A493" s="914">
        <f>'House Count'!A493</f>
        <v>0</v>
      </c>
      <c r="B493" s="915">
        <f>'House Count'!E493</f>
        <v>0</v>
      </c>
      <c r="C493" s="915">
        <f>'House Count'!B493</f>
        <v>0</v>
      </c>
      <c r="D493" s="915">
        <f>'House Count'!C493</f>
        <v>0</v>
      </c>
      <c r="E493" s="915">
        <f>'House Count'!D493</f>
        <v>0</v>
      </c>
      <c r="F493" s="915" t="str">
        <f t="shared" si="7"/>
        <v/>
      </c>
      <c r="G493" s="915">
        <f>'House Count'!F493</f>
        <v>0</v>
      </c>
      <c r="H493" s="915">
        <f>'House Count'!H493</f>
        <v>0</v>
      </c>
    </row>
    <row r="494" spans="1:8" x14ac:dyDescent="0.25">
      <c r="A494" s="914">
        <f>'House Count'!A494</f>
        <v>0</v>
      </c>
      <c r="B494" s="915">
        <f>'House Count'!E494</f>
        <v>0</v>
      </c>
      <c r="C494" s="915">
        <f>'House Count'!B494</f>
        <v>0</v>
      </c>
      <c r="D494" s="915">
        <f>'House Count'!C494</f>
        <v>0</v>
      </c>
      <c r="E494" s="915">
        <f>'House Count'!D494</f>
        <v>0</v>
      </c>
      <c r="F494" s="915" t="str">
        <f t="shared" si="7"/>
        <v/>
      </c>
      <c r="G494" s="915">
        <f>'House Count'!F494</f>
        <v>0</v>
      </c>
      <c r="H494" s="915">
        <f>'House Count'!H494</f>
        <v>0</v>
      </c>
    </row>
    <row r="495" spans="1:8" x14ac:dyDescent="0.25">
      <c r="A495" s="914">
        <f>'House Count'!A495</f>
        <v>0</v>
      </c>
      <c r="B495" s="915">
        <f>'House Count'!E495</f>
        <v>0</v>
      </c>
      <c r="C495" s="915">
        <f>'House Count'!B495</f>
        <v>0</v>
      </c>
      <c r="D495" s="915">
        <f>'House Count'!C495</f>
        <v>0</v>
      </c>
      <c r="E495" s="915">
        <f>'House Count'!D495</f>
        <v>0</v>
      </c>
      <c r="F495" s="915" t="str">
        <f t="shared" si="7"/>
        <v/>
      </c>
      <c r="G495" s="915">
        <f>'House Count'!F495</f>
        <v>0</v>
      </c>
      <c r="H495" s="915">
        <f>'House Count'!H495</f>
        <v>0</v>
      </c>
    </row>
    <row r="496" spans="1:8" x14ac:dyDescent="0.25">
      <c r="A496" s="914">
        <f>'House Count'!A496</f>
        <v>0</v>
      </c>
      <c r="B496" s="915">
        <f>'House Count'!E496</f>
        <v>0</v>
      </c>
      <c r="C496" s="915">
        <f>'House Count'!B496</f>
        <v>0</v>
      </c>
      <c r="D496" s="915">
        <f>'House Count'!C496</f>
        <v>0</v>
      </c>
      <c r="E496" s="915">
        <f>'House Count'!D496</f>
        <v>0</v>
      </c>
      <c r="F496" s="915" t="str">
        <f t="shared" si="7"/>
        <v/>
      </c>
      <c r="G496" s="915">
        <f>'House Count'!F496</f>
        <v>0</v>
      </c>
      <c r="H496" s="915">
        <f>'House Count'!H496</f>
        <v>0</v>
      </c>
    </row>
    <row r="497" spans="1:8" x14ac:dyDescent="0.25">
      <c r="A497" s="914">
        <f>'House Count'!A497</f>
        <v>0</v>
      </c>
      <c r="B497" s="915">
        <f>'House Count'!E497</f>
        <v>0</v>
      </c>
      <c r="C497" s="915">
        <f>'House Count'!B497</f>
        <v>0</v>
      </c>
      <c r="D497" s="915">
        <f>'House Count'!C497</f>
        <v>0</v>
      </c>
      <c r="E497" s="915">
        <f>'House Count'!D497</f>
        <v>0</v>
      </c>
      <c r="F497" s="915" t="str">
        <f t="shared" si="7"/>
        <v/>
      </c>
      <c r="G497" s="915">
        <f>'House Count'!F497</f>
        <v>0</v>
      </c>
      <c r="H497" s="915">
        <f>'House Count'!H497</f>
        <v>0</v>
      </c>
    </row>
    <row r="498" spans="1:8" x14ac:dyDescent="0.25">
      <c r="A498" s="914">
        <f>'House Count'!A498</f>
        <v>0</v>
      </c>
      <c r="B498" s="915">
        <f>'House Count'!E498</f>
        <v>0</v>
      </c>
      <c r="C498" s="915">
        <f>'House Count'!B498</f>
        <v>0</v>
      </c>
      <c r="D498" s="915">
        <f>'House Count'!C498</f>
        <v>0</v>
      </c>
      <c r="E498" s="915">
        <f>'House Count'!D498</f>
        <v>0</v>
      </c>
      <c r="F498" s="915" t="str">
        <f t="shared" si="7"/>
        <v/>
      </c>
      <c r="G498" s="915">
        <f>'House Count'!F498</f>
        <v>0</v>
      </c>
      <c r="H498" s="915">
        <f>'House Count'!H498</f>
        <v>0</v>
      </c>
    </row>
    <row r="499" spans="1:8" x14ac:dyDescent="0.25">
      <c r="A499" s="914">
        <f>'House Count'!A499</f>
        <v>0</v>
      </c>
      <c r="B499" s="915">
        <f>'House Count'!E499</f>
        <v>0</v>
      </c>
      <c r="C499" s="915">
        <f>'House Count'!B499</f>
        <v>0</v>
      </c>
      <c r="D499" s="915">
        <f>'House Count'!C499</f>
        <v>0</v>
      </c>
      <c r="E499" s="915">
        <f>'House Count'!D499</f>
        <v>0</v>
      </c>
      <c r="F499" s="915" t="str">
        <f t="shared" si="7"/>
        <v/>
      </c>
      <c r="G499" s="915">
        <f>'House Count'!F499</f>
        <v>0</v>
      </c>
      <c r="H499" s="915">
        <f>'House Count'!H499</f>
        <v>0</v>
      </c>
    </row>
    <row r="500" spans="1:8" x14ac:dyDescent="0.25">
      <c r="A500" s="914">
        <f>'House Count'!A500</f>
        <v>0</v>
      </c>
      <c r="B500" s="915">
        <f>'House Count'!E500</f>
        <v>0</v>
      </c>
      <c r="C500" s="915">
        <f>'House Count'!B500</f>
        <v>0</v>
      </c>
      <c r="D500" s="915">
        <f>'House Count'!C500</f>
        <v>0</v>
      </c>
      <c r="E500" s="915">
        <f>'House Count'!D500</f>
        <v>0</v>
      </c>
      <c r="F500" s="915" t="str">
        <f t="shared" si="7"/>
        <v/>
      </c>
      <c r="G500" s="915">
        <f>'House Count'!F500</f>
        <v>0</v>
      </c>
      <c r="H500" s="915">
        <f>'House Count'!H500</f>
        <v>0</v>
      </c>
    </row>
    <row r="501" spans="1:8" x14ac:dyDescent="0.25">
      <c r="A501" s="914">
        <f>'House Count'!A501</f>
        <v>0</v>
      </c>
      <c r="B501" s="915">
        <f>'House Count'!E501</f>
        <v>0</v>
      </c>
      <c r="C501" s="915">
        <f>'House Count'!B501</f>
        <v>0</v>
      </c>
      <c r="D501" s="915">
        <f>'House Count'!C501</f>
        <v>0</v>
      </c>
      <c r="E501" s="915">
        <f>'House Count'!D501</f>
        <v>0</v>
      </c>
      <c r="F501" s="915" t="str">
        <f t="shared" si="7"/>
        <v/>
      </c>
      <c r="G501" s="915">
        <f>'House Count'!F501</f>
        <v>0</v>
      </c>
      <c r="H501" s="915">
        <f>'House Count'!H501</f>
        <v>0</v>
      </c>
    </row>
    <row r="502" spans="1:8" x14ac:dyDescent="0.25">
      <c r="A502" s="914">
        <f>'House Count'!A502</f>
        <v>0</v>
      </c>
      <c r="B502" s="915">
        <f>'House Count'!E502</f>
        <v>0</v>
      </c>
      <c r="C502" s="915">
        <f>'House Count'!B502</f>
        <v>0</v>
      </c>
      <c r="D502" s="915">
        <f>'House Count'!C502</f>
        <v>0</v>
      </c>
      <c r="E502" s="915">
        <f>'House Count'!D502</f>
        <v>0</v>
      </c>
      <c r="F502" s="915" t="str">
        <f t="shared" si="7"/>
        <v/>
      </c>
      <c r="G502" s="915">
        <f>'House Count'!F502</f>
        <v>0</v>
      </c>
      <c r="H502" s="915">
        <f>'House Count'!H502</f>
        <v>0</v>
      </c>
    </row>
    <row r="503" spans="1:8" x14ac:dyDescent="0.25">
      <c r="A503" s="914">
        <f>'House Count'!A503</f>
        <v>0</v>
      </c>
      <c r="B503" s="915">
        <f>'House Count'!E503</f>
        <v>0</v>
      </c>
      <c r="C503" s="915">
        <f>'House Count'!B503</f>
        <v>0</v>
      </c>
      <c r="D503" s="915">
        <f>'House Count'!C503</f>
        <v>0</v>
      </c>
      <c r="E503" s="915">
        <f>'House Count'!D503</f>
        <v>0</v>
      </c>
      <c r="F503" s="915" t="str">
        <f t="shared" si="7"/>
        <v/>
      </c>
      <c r="G503" s="915">
        <f>'House Count'!F503</f>
        <v>0</v>
      </c>
      <c r="H503" s="915">
        <f>'House Count'!H503</f>
        <v>0</v>
      </c>
    </row>
    <row r="504" spans="1:8" x14ac:dyDescent="0.25">
      <c r="A504" s="914">
        <f>'House Count'!A504</f>
        <v>0</v>
      </c>
      <c r="B504" s="915">
        <f>'House Count'!E504</f>
        <v>0</v>
      </c>
      <c r="C504" s="915">
        <f>'House Count'!B504</f>
        <v>0</v>
      </c>
      <c r="D504" s="915">
        <f>'House Count'!C504</f>
        <v>0</v>
      </c>
      <c r="E504" s="915">
        <f>'House Count'!D504</f>
        <v>0</v>
      </c>
      <c r="F504" s="915" t="str">
        <f t="shared" si="7"/>
        <v/>
      </c>
      <c r="G504" s="915">
        <f>'House Count'!F504</f>
        <v>0</v>
      </c>
      <c r="H504" s="915">
        <f>'House Count'!H504</f>
        <v>0</v>
      </c>
    </row>
    <row r="505" spans="1:8" x14ac:dyDescent="0.25">
      <c r="A505" s="914">
        <f>'House Count'!A505</f>
        <v>0</v>
      </c>
      <c r="B505" s="915">
        <f>'House Count'!E505</f>
        <v>0</v>
      </c>
      <c r="C505" s="915">
        <f>'House Count'!B505</f>
        <v>0</v>
      </c>
      <c r="D505" s="915">
        <f>'House Count'!C505</f>
        <v>0</v>
      </c>
      <c r="E505" s="915">
        <f>'House Count'!D505</f>
        <v>0</v>
      </c>
      <c r="F505" s="915" t="str">
        <f t="shared" si="7"/>
        <v/>
      </c>
      <c r="G505" s="915">
        <f>'House Count'!F505</f>
        <v>0</v>
      </c>
      <c r="H505" s="915">
        <f>'House Count'!H505</f>
        <v>0</v>
      </c>
    </row>
    <row r="506" spans="1:8" x14ac:dyDescent="0.25">
      <c r="A506" s="914">
        <f>'House Count'!A506</f>
        <v>0</v>
      </c>
      <c r="B506" s="915">
        <f>'House Count'!E506</f>
        <v>0</v>
      </c>
      <c r="C506" s="915">
        <f>'House Count'!B506</f>
        <v>0</v>
      </c>
      <c r="D506" s="915">
        <f>'House Count'!C506</f>
        <v>0</v>
      </c>
      <c r="E506" s="915">
        <f>'House Count'!D506</f>
        <v>0</v>
      </c>
      <c r="F506" s="915" t="str">
        <f t="shared" si="7"/>
        <v/>
      </c>
      <c r="G506" s="915">
        <f>'House Count'!F506</f>
        <v>0</v>
      </c>
      <c r="H506" s="915">
        <f>'House Count'!H506</f>
        <v>0</v>
      </c>
    </row>
    <row r="507" spans="1:8" x14ac:dyDescent="0.25">
      <c r="A507" s="914">
        <f>'House Count'!A507</f>
        <v>0</v>
      </c>
      <c r="B507" s="915">
        <f>'House Count'!E507</f>
        <v>0</v>
      </c>
      <c r="C507" s="915">
        <f>'House Count'!B507</f>
        <v>0</v>
      </c>
      <c r="D507" s="915">
        <f>'House Count'!C507</f>
        <v>0</v>
      </c>
      <c r="E507" s="915">
        <f>'House Count'!D507</f>
        <v>0</v>
      </c>
      <c r="F507" s="915" t="str">
        <f t="shared" si="7"/>
        <v/>
      </c>
      <c r="G507" s="915">
        <f>'House Count'!F507</f>
        <v>0</v>
      </c>
      <c r="H507" s="915">
        <f>'House Count'!H507</f>
        <v>0</v>
      </c>
    </row>
    <row r="508" spans="1:8" x14ac:dyDescent="0.25">
      <c r="A508" s="914">
        <f>'House Count'!A508</f>
        <v>0</v>
      </c>
      <c r="B508" s="915">
        <f>'House Count'!E508</f>
        <v>0</v>
      </c>
      <c r="C508" s="915">
        <f>'House Count'!B508</f>
        <v>0</v>
      </c>
      <c r="D508" s="915">
        <f>'House Count'!C508</f>
        <v>0</v>
      </c>
      <c r="E508" s="915">
        <f>'House Count'!D508</f>
        <v>0</v>
      </c>
      <c r="F508" s="915" t="str">
        <f t="shared" si="7"/>
        <v/>
      </c>
      <c r="G508" s="915">
        <f>'House Count'!F508</f>
        <v>0</v>
      </c>
      <c r="H508" s="915">
        <f>'House Count'!H508</f>
        <v>0</v>
      </c>
    </row>
    <row r="509" spans="1:8" x14ac:dyDescent="0.25">
      <c r="A509" s="914">
        <f>'House Count'!A509</f>
        <v>0</v>
      </c>
      <c r="B509" s="915">
        <f>'House Count'!E509</f>
        <v>0</v>
      </c>
      <c r="C509" s="915">
        <f>'House Count'!B509</f>
        <v>0</v>
      </c>
      <c r="D509" s="915">
        <f>'House Count'!C509</f>
        <v>0</v>
      </c>
      <c r="E509" s="915">
        <f>'House Count'!D509</f>
        <v>0</v>
      </c>
      <c r="F509" s="915" t="str">
        <f t="shared" si="7"/>
        <v/>
      </c>
      <c r="G509" s="915">
        <f>'House Count'!F509</f>
        <v>0</v>
      </c>
      <c r="H509" s="915">
        <f>'House Count'!H509</f>
        <v>0</v>
      </c>
    </row>
    <row r="510" spans="1:8" x14ac:dyDescent="0.25">
      <c r="A510" s="914">
        <f>'House Count'!A510</f>
        <v>0</v>
      </c>
      <c r="B510" s="915">
        <f>'House Count'!E510</f>
        <v>0</v>
      </c>
      <c r="C510" s="915">
        <f>'House Count'!B510</f>
        <v>0</v>
      </c>
      <c r="D510" s="915">
        <f>'House Count'!C510</f>
        <v>0</v>
      </c>
      <c r="E510" s="915">
        <f>'House Count'!D510</f>
        <v>0</v>
      </c>
      <c r="F510" s="915" t="str">
        <f t="shared" si="7"/>
        <v/>
      </c>
      <c r="G510" s="915">
        <f>'House Count'!F510</f>
        <v>0</v>
      </c>
      <c r="H510" s="915">
        <f>'House Count'!H510</f>
        <v>0</v>
      </c>
    </row>
    <row r="511" spans="1:8" x14ac:dyDescent="0.25">
      <c r="A511" s="914">
        <f>'House Count'!A511</f>
        <v>0</v>
      </c>
      <c r="B511" s="915">
        <f>'House Count'!E511</f>
        <v>0</v>
      </c>
      <c r="C511" s="915">
        <f>'House Count'!B511</f>
        <v>0</v>
      </c>
      <c r="D511" s="915">
        <f>'House Count'!C511</f>
        <v>0</v>
      </c>
      <c r="E511" s="915">
        <f>'House Count'!D511</f>
        <v>0</v>
      </c>
      <c r="F511" s="915" t="str">
        <f t="shared" si="7"/>
        <v/>
      </c>
      <c r="G511" s="915">
        <f>'House Count'!F511</f>
        <v>0</v>
      </c>
      <c r="H511" s="915">
        <f>'House Count'!H511</f>
        <v>0</v>
      </c>
    </row>
    <row r="512" spans="1:8" x14ac:dyDescent="0.25">
      <c r="A512" s="914">
        <f>'House Count'!A512</f>
        <v>0</v>
      </c>
      <c r="B512" s="915">
        <f>'House Count'!E512</f>
        <v>0</v>
      </c>
      <c r="C512" s="915">
        <f>'House Count'!B512</f>
        <v>0</v>
      </c>
      <c r="D512" s="915">
        <f>'House Count'!C512</f>
        <v>0</v>
      </c>
      <c r="E512" s="915">
        <f>'House Count'!D512</f>
        <v>0</v>
      </c>
      <c r="F512" s="915" t="str">
        <f t="shared" si="7"/>
        <v/>
      </c>
      <c r="G512" s="915">
        <f>'House Count'!F512</f>
        <v>0</v>
      </c>
      <c r="H512" s="915">
        <f>'House Count'!H512</f>
        <v>0</v>
      </c>
    </row>
    <row r="513" spans="1:8" x14ac:dyDescent="0.25">
      <c r="A513" s="914">
        <f>'House Count'!A513</f>
        <v>0</v>
      </c>
      <c r="B513" s="915">
        <f>'House Count'!E513</f>
        <v>0</v>
      </c>
      <c r="C513" s="915">
        <f>'House Count'!B513</f>
        <v>0</v>
      </c>
      <c r="D513" s="915">
        <f>'House Count'!C513</f>
        <v>0</v>
      </c>
      <c r="E513" s="915">
        <f>'House Count'!D513</f>
        <v>0</v>
      </c>
      <c r="F513" s="915" t="str">
        <f t="shared" si="7"/>
        <v/>
      </c>
      <c r="G513" s="915">
        <f>'House Count'!F513</f>
        <v>0</v>
      </c>
      <c r="H513" s="915">
        <f>'House Count'!H513</f>
        <v>0</v>
      </c>
    </row>
    <row r="514" spans="1:8" x14ac:dyDescent="0.25">
      <c r="A514" s="914">
        <f>'House Count'!A514</f>
        <v>0</v>
      </c>
      <c r="B514" s="915">
        <f>'House Count'!E514</f>
        <v>0</v>
      </c>
      <c r="C514" s="915">
        <f>'House Count'!B514</f>
        <v>0</v>
      </c>
      <c r="D514" s="915">
        <f>'House Count'!C514</f>
        <v>0</v>
      </c>
      <c r="E514" s="915">
        <f>'House Count'!D514</f>
        <v>0</v>
      </c>
      <c r="F514" s="915" t="str">
        <f t="shared" si="7"/>
        <v/>
      </c>
      <c r="G514" s="915">
        <f>'House Count'!F514</f>
        <v>0</v>
      </c>
      <c r="H514" s="915">
        <f>'House Count'!H514</f>
        <v>0</v>
      </c>
    </row>
    <row r="515" spans="1:8" x14ac:dyDescent="0.25">
      <c r="A515" s="914">
        <f>'House Count'!A515</f>
        <v>0</v>
      </c>
      <c r="B515" s="915">
        <f>'House Count'!E515</f>
        <v>0</v>
      </c>
      <c r="C515" s="915">
        <f>'House Count'!B515</f>
        <v>0</v>
      </c>
      <c r="D515" s="915">
        <f>'House Count'!C515</f>
        <v>0</v>
      </c>
      <c r="E515" s="915">
        <f>'House Count'!D515</f>
        <v>0</v>
      </c>
      <c r="F515" s="915" t="str">
        <f t="shared" ref="F515:F578" si="8">IF(G515="RES-SFU","RESIDENTIAL",IF(G515="RES-HOA","RESIDENTIAL",IF(G515="RES-MDU","RESIDENTIAL",IF(G515="COMM-SU","BUSINESS",IF(G515="COM-MTU","BUSINESS",IF(G515="ENT","BUSINESS",""))))))</f>
        <v/>
      </c>
      <c r="G515" s="915">
        <f>'House Count'!F515</f>
        <v>0</v>
      </c>
      <c r="H515" s="915">
        <f>'House Count'!H515</f>
        <v>0</v>
      </c>
    </row>
    <row r="516" spans="1:8" x14ac:dyDescent="0.25">
      <c r="A516" s="914">
        <f>'House Count'!A516</f>
        <v>0</v>
      </c>
      <c r="B516" s="915">
        <f>'House Count'!E516</f>
        <v>0</v>
      </c>
      <c r="C516" s="915">
        <f>'House Count'!B516</f>
        <v>0</v>
      </c>
      <c r="D516" s="915">
        <f>'House Count'!C516</f>
        <v>0</v>
      </c>
      <c r="E516" s="915">
        <f>'House Count'!D516</f>
        <v>0</v>
      </c>
      <c r="F516" s="915" t="str">
        <f t="shared" si="8"/>
        <v/>
      </c>
      <c r="G516" s="915">
        <f>'House Count'!F516</f>
        <v>0</v>
      </c>
      <c r="H516" s="915">
        <f>'House Count'!H516</f>
        <v>0</v>
      </c>
    </row>
    <row r="517" spans="1:8" x14ac:dyDescent="0.25">
      <c r="A517" s="914">
        <f>'House Count'!A517</f>
        <v>0</v>
      </c>
      <c r="B517" s="915">
        <f>'House Count'!E517</f>
        <v>0</v>
      </c>
      <c r="C517" s="915">
        <f>'House Count'!B517</f>
        <v>0</v>
      </c>
      <c r="D517" s="915">
        <f>'House Count'!C517</f>
        <v>0</v>
      </c>
      <c r="E517" s="915">
        <f>'House Count'!D517</f>
        <v>0</v>
      </c>
      <c r="F517" s="915" t="str">
        <f t="shared" si="8"/>
        <v/>
      </c>
      <c r="G517" s="915">
        <f>'House Count'!F517</f>
        <v>0</v>
      </c>
      <c r="H517" s="915">
        <f>'House Count'!H517</f>
        <v>0</v>
      </c>
    </row>
    <row r="518" spans="1:8" x14ac:dyDescent="0.25">
      <c r="A518" s="914">
        <f>'House Count'!A518</f>
        <v>0</v>
      </c>
      <c r="B518" s="915">
        <f>'House Count'!E518</f>
        <v>0</v>
      </c>
      <c r="C518" s="915">
        <f>'House Count'!B518</f>
        <v>0</v>
      </c>
      <c r="D518" s="915">
        <f>'House Count'!C518</f>
        <v>0</v>
      </c>
      <c r="E518" s="915">
        <f>'House Count'!D518</f>
        <v>0</v>
      </c>
      <c r="F518" s="915" t="str">
        <f t="shared" si="8"/>
        <v/>
      </c>
      <c r="G518" s="915">
        <f>'House Count'!F518</f>
        <v>0</v>
      </c>
      <c r="H518" s="915">
        <f>'House Count'!H518</f>
        <v>0</v>
      </c>
    </row>
    <row r="519" spans="1:8" x14ac:dyDescent="0.25">
      <c r="A519" s="914">
        <f>'House Count'!A519</f>
        <v>0</v>
      </c>
      <c r="B519" s="915">
        <f>'House Count'!E519</f>
        <v>0</v>
      </c>
      <c r="C519" s="915">
        <f>'House Count'!B519</f>
        <v>0</v>
      </c>
      <c r="D519" s="915">
        <f>'House Count'!C519</f>
        <v>0</v>
      </c>
      <c r="E519" s="915">
        <f>'House Count'!D519</f>
        <v>0</v>
      </c>
      <c r="F519" s="915" t="str">
        <f t="shared" si="8"/>
        <v/>
      </c>
      <c r="G519" s="915">
        <f>'House Count'!F519</f>
        <v>0</v>
      </c>
      <c r="H519" s="915">
        <f>'House Count'!H519</f>
        <v>0</v>
      </c>
    </row>
    <row r="520" spans="1:8" x14ac:dyDescent="0.25">
      <c r="A520" s="914">
        <f>'House Count'!A520</f>
        <v>0</v>
      </c>
      <c r="B520" s="915">
        <f>'House Count'!E520</f>
        <v>0</v>
      </c>
      <c r="C520" s="915">
        <f>'House Count'!B520</f>
        <v>0</v>
      </c>
      <c r="D520" s="915">
        <f>'House Count'!C520</f>
        <v>0</v>
      </c>
      <c r="E520" s="915">
        <f>'House Count'!D520</f>
        <v>0</v>
      </c>
      <c r="F520" s="915" t="str">
        <f t="shared" si="8"/>
        <v/>
      </c>
      <c r="G520" s="915">
        <f>'House Count'!F520</f>
        <v>0</v>
      </c>
      <c r="H520" s="915">
        <f>'House Count'!H520</f>
        <v>0</v>
      </c>
    </row>
    <row r="521" spans="1:8" x14ac:dyDescent="0.25">
      <c r="A521" s="914">
        <f>'House Count'!A521</f>
        <v>0</v>
      </c>
      <c r="B521" s="915">
        <f>'House Count'!E521</f>
        <v>0</v>
      </c>
      <c r="C521" s="915">
        <f>'House Count'!B521</f>
        <v>0</v>
      </c>
      <c r="D521" s="915">
        <f>'House Count'!C521</f>
        <v>0</v>
      </c>
      <c r="E521" s="915">
        <f>'House Count'!D521</f>
        <v>0</v>
      </c>
      <c r="F521" s="915" t="str">
        <f t="shared" si="8"/>
        <v/>
      </c>
      <c r="G521" s="915">
        <f>'House Count'!F521</f>
        <v>0</v>
      </c>
      <c r="H521" s="915">
        <f>'House Count'!H521</f>
        <v>0</v>
      </c>
    </row>
    <row r="522" spans="1:8" x14ac:dyDescent="0.25">
      <c r="A522" s="914">
        <f>'House Count'!A522</f>
        <v>0</v>
      </c>
      <c r="B522" s="915">
        <f>'House Count'!E522</f>
        <v>0</v>
      </c>
      <c r="C522" s="915">
        <f>'House Count'!B522</f>
        <v>0</v>
      </c>
      <c r="D522" s="915">
        <f>'House Count'!C522</f>
        <v>0</v>
      </c>
      <c r="E522" s="915">
        <f>'House Count'!D522</f>
        <v>0</v>
      </c>
      <c r="F522" s="915" t="str">
        <f t="shared" si="8"/>
        <v/>
      </c>
      <c r="G522" s="915">
        <f>'House Count'!F522</f>
        <v>0</v>
      </c>
      <c r="H522" s="915">
        <f>'House Count'!H522</f>
        <v>0</v>
      </c>
    </row>
    <row r="523" spans="1:8" x14ac:dyDescent="0.25">
      <c r="A523" s="914">
        <f>'House Count'!A523</f>
        <v>0</v>
      </c>
      <c r="B523" s="915">
        <f>'House Count'!E523</f>
        <v>0</v>
      </c>
      <c r="C523" s="915">
        <f>'House Count'!B523</f>
        <v>0</v>
      </c>
      <c r="D523" s="915">
        <f>'House Count'!C523</f>
        <v>0</v>
      </c>
      <c r="E523" s="915">
        <f>'House Count'!D523</f>
        <v>0</v>
      </c>
      <c r="F523" s="915" t="str">
        <f t="shared" si="8"/>
        <v/>
      </c>
      <c r="G523" s="915">
        <f>'House Count'!F523</f>
        <v>0</v>
      </c>
      <c r="H523" s="915">
        <f>'House Count'!H523</f>
        <v>0</v>
      </c>
    </row>
    <row r="524" spans="1:8" x14ac:dyDescent="0.25">
      <c r="A524" s="914">
        <f>'House Count'!A524</f>
        <v>0</v>
      </c>
      <c r="B524" s="915">
        <f>'House Count'!E524</f>
        <v>0</v>
      </c>
      <c r="C524" s="915">
        <f>'House Count'!B524</f>
        <v>0</v>
      </c>
      <c r="D524" s="915">
        <f>'House Count'!C524</f>
        <v>0</v>
      </c>
      <c r="E524" s="915">
        <f>'House Count'!D524</f>
        <v>0</v>
      </c>
      <c r="F524" s="915" t="str">
        <f t="shared" si="8"/>
        <v/>
      </c>
      <c r="G524" s="915">
        <f>'House Count'!F524</f>
        <v>0</v>
      </c>
      <c r="H524" s="915">
        <f>'House Count'!H524</f>
        <v>0</v>
      </c>
    </row>
    <row r="525" spans="1:8" x14ac:dyDescent="0.25">
      <c r="A525" s="914">
        <f>'House Count'!A525</f>
        <v>0</v>
      </c>
      <c r="B525" s="915">
        <f>'House Count'!E525</f>
        <v>0</v>
      </c>
      <c r="C525" s="915">
        <f>'House Count'!B525</f>
        <v>0</v>
      </c>
      <c r="D525" s="915">
        <f>'House Count'!C525</f>
        <v>0</v>
      </c>
      <c r="E525" s="915">
        <f>'House Count'!D525</f>
        <v>0</v>
      </c>
      <c r="F525" s="915" t="str">
        <f t="shared" si="8"/>
        <v/>
      </c>
      <c r="G525" s="915">
        <f>'House Count'!F525</f>
        <v>0</v>
      </c>
      <c r="H525" s="915">
        <f>'House Count'!H525</f>
        <v>0</v>
      </c>
    </row>
    <row r="526" spans="1:8" x14ac:dyDescent="0.25">
      <c r="A526" s="914">
        <f>'House Count'!A526</f>
        <v>0</v>
      </c>
      <c r="B526" s="915">
        <f>'House Count'!E526</f>
        <v>0</v>
      </c>
      <c r="C526" s="915">
        <f>'House Count'!B526</f>
        <v>0</v>
      </c>
      <c r="D526" s="915">
        <f>'House Count'!C526</f>
        <v>0</v>
      </c>
      <c r="E526" s="915">
        <f>'House Count'!D526</f>
        <v>0</v>
      </c>
      <c r="F526" s="915" t="str">
        <f t="shared" si="8"/>
        <v/>
      </c>
      <c r="G526" s="915">
        <f>'House Count'!F526</f>
        <v>0</v>
      </c>
      <c r="H526" s="915">
        <f>'House Count'!H526</f>
        <v>0</v>
      </c>
    </row>
    <row r="527" spans="1:8" x14ac:dyDescent="0.25">
      <c r="A527" s="914">
        <f>'House Count'!A527</f>
        <v>0</v>
      </c>
      <c r="B527" s="915">
        <f>'House Count'!E527</f>
        <v>0</v>
      </c>
      <c r="C527" s="915">
        <f>'House Count'!B527</f>
        <v>0</v>
      </c>
      <c r="D527" s="915">
        <f>'House Count'!C527</f>
        <v>0</v>
      </c>
      <c r="E527" s="915">
        <f>'House Count'!D527</f>
        <v>0</v>
      </c>
      <c r="F527" s="915" t="str">
        <f t="shared" si="8"/>
        <v/>
      </c>
      <c r="G527" s="915">
        <f>'House Count'!F527</f>
        <v>0</v>
      </c>
      <c r="H527" s="915">
        <f>'House Count'!H527</f>
        <v>0</v>
      </c>
    </row>
    <row r="528" spans="1:8" x14ac:dyDescent="0.25">
      <c r="A528" s="914">
        <f>'House Count'!A528</f>
        <v>0</v>
      </c>
      <c r="B528" s="915">
        <f>'House Count'!E528</f>
        <v>0</v>
      </c>
      <c r="C528" s="915">
        <f>'House Count'!B528</f>
        <v>0</v>
      </c>
      <c r="D528" s="915">
        <f>'House Count'!C528</f>
        <v>0</v>
      </c>
      <c r="E528" s="915">
        <f>'House Count'!D528</f>
        <v>0</v>
      </c>
      <c r="F528" s="915" t="str">
        <f t="shared" si="8"/>
        <v/>
      </c>
      <c r="G528" s="915">
        <f>'House Count'!F528</f>
        <v>0</v>
      </c>
      <c r="H528" s="915">
        <f>'House Count'!H528</f>
        <v>0</v>
      </c>
    </row>
    <row r="529" spans="1:8" x14ac:dyDescent="0.25">
      <c r="A529" s="914">
        <f>'House Count'!A529</f>
        <v>0</v>
      </c>
      <c r="B529" s="915">
        <f>'House Count'!E529</f>
        <v>0</v>
      </c>
      <c r="C529" s="915">
        <f>'House Count'!B529</f>
        <v>0</v>
      </c>
      <c r="D529" s="915">
        <f>'House Count'!C529</f>
        <v>0</v>
      </c>
      <c r="E529" s="915">
        <f>'House Count'!D529</f>
        <v>0</v>
      </c>
      <c r="F529" s="915" t="str">
        <f t="shared" si="8"/>
        <v/>
      </c>
      <c r="G529" s="915">
        <f>'House Count'!F529</f>
        <v>0</v>
      </c>
      <c r="H529" s="915">
        <f>'House Count'!H529</f>
        <v>0</v>
      </c>
    </row>
    <row r="530" spans="1:8" x14ac:dyDescent="0.25">
      <c r="A530" s="914">
        <f>'House Count'!A530</f>
        <v>0</v>
      </c>
      <c r="B530" s="915">
        <f>'House Count'!E530</f>
        <v>0</v>
      </c>
      <c r="C530" s="915">
        <f>'House Count'!B530</f>
        <v>0</v>
      </c>
      <c r="D530" s="915">
        <f>'House Count'!C530</f>
        <v>0</v>
      </c>
      <c r="E530" s="915">
        <f>'House Count'!D530</f>
        <v>0</v>
      </c>
      <c r="F530" s="915" t="str">
        <f t="shared" si="8"/>
        <v/>
      </c>
      <c r="G530" s="915">
        <f>'House Count'!F530</f>
        <v>0</v>
      </c>
      <c r="H530" s="915">
        <f>'House Count'!H530</f>
        <v>0</v>
      </c>
    </row>
    <row r="531" spans="1:8" x14ac:dyDescent="0.25">
      <c r="A531" s="914">
        <f>'House Count'!A531</f>
        <v>0</v>
      </c>
      <c r="B531" s="915">
        <f>'House Count'!E531</f>
        <v>0</v>
      </c>
      <c r="C531" s="915">
        <f>'House Count'!B531</f>
        <v>0</v>
      </c>
      <c r="D531" s="915">
        <f>'House Count'!C531</f>
        <v>0</v>
      </c>
      <c r="E531" s="915">
        <f>'House Count'!D531</f>
        <v>0</v>
      </c>
      <c r="F531" s="915" t="str">
        <f t="shared" si="8"/>
        <v/>
      </c>
      <c r="G531" s="915">
        <f>'House Count'!F531</f>
        <v>0</v>
      </c>
      <c r="H531" s="915">
        <f>'House Count'!H531</f>
        <v>0</v>
      </c>
    </row>
    <row r="532" spans="1:8" x14ac:dyDescent="0.25">
      <c r="A532" s="914">
        <f>'House Count'!A532</f>
        <v>0</v>
      </c>
      <c r="B532" s="915">
        <f>'House Count'!E532</f>
        <v>0</v>
      </c>
      <c r="C532" s="915">
        <f>'House Count'!B532</f>
        <v>0</v>
      </c>
      <c r="D532" s="915">
        <f>'House Count'!C532</f>
        <v>0</v>
      </c>
      <c r="E532" s="915">
        <f>'House Count'!D532</f>
        <v>0</v>
      </c>
      <c r="F532" s="915" t="str">
        <f t="shared" si="8"/>
        <v/>
      </c>
      <c r="G532" s="915">
        <f>'House Count'!F532</f>
        <v>0</v>
      </c>
      <c r="H532" s="915">
        <f>'House Count'!H532</f>
        <v>0</v>
      </c>
    </row>
    <row r="533" spans="1:8" x14ac:dyDescent="0.25">
      <c r="A533" s="914">
        <f>'House Count'!A533</f>
        <v>0</v>
      </c>
      <c r="B533" s="915">
        <f>'House Count'!E533</f>
        <v>0</v>
      </c>
      <c r="C533" s="915">
        <f>'House Count'!B533</f>
        <v>0</v>
      </c>
      <c r="D533" s="915">
        <f>'House Count'!C533</f>
        <v>0</v>
      </c>
      <c r="E533" s="915">
        <f>'House Count'!D533</f>
        <v>0</v>
      </c>
      <c r="F533" s="915" t="str">
        <f t="shared" si="8"/>
        <v/>
      </c>
      <c r="G533" s="915">
        <f>'House Count'!F533</f>
        <v>0</v>
      </c>
      <c r="H533" s="915">
        <f>'House Count'!H533</f>
        <v>0</v>
      </c>
    </row>
    <row r="534" spans="1:8" x14ac:dyDescent="0.25">
      <c r="A534" s="914">
        <f>'House Count'!A534</f>
        <v>0</v>
      </c>
      <c r="B534" s="915">
        <f>'House Count'!E534</f>
        <v>0</v>
      </c>
      <c r="C534" s="915">
        <f>'House Count'!B534</f>
        <v>0</v>
      </c>
      <c r="D534" s="915">
        <f>'House Count'!C534</f>
        <v>0</v>
      </c>
      <c r="E534" s="915">
        <f>'House Count'!D534</f>
        <v>0</v>
      </c>
      <c r="F534" s="915" t="str">
        <f t="shared" si="8"/>
        <v/>
      </c>
      <c r="G534" s="915">
        <f>'House Count'!F534</f>
        <v>0</v>
      </c>
      <c r="H534" s="915">
        <f>'House Count'!H534</f>
        <v>0</v>
      </c>
    </row>
    <row r="535" spans="1:8" x14ac:dyDescent="0.25">
      <c r="A535" s="914">
        <f>'House Count'!A535</f>
        <v>0</v>
      </c>
      <c r="B535" s="915">
        <f>'House Count'!E535</f>
        <v>0</v>
      </c>
      <c r="C535" s="915">
        <f>'House Count'!B535</f>
        <v>0</v>
      </c>
      <c r="D535" s="915">
        <f>'House Count'!C535</f>
        <v>0</v>
      </c>
      <c r="E535" s="915">
        <f>'House Count'!D535</f>
        <v>0</v>
      </c>
      <c r="F535" s="915" t="str">
        <f t="shared" si="8"/>
        <v/>
      </c>
      <c r="G535" s="915">
        <f>'House Count'!F535</f>
        <v>0</v>
      </c>
      <c r="H535" s="915">
        <f>'House Count'!H535</f>
        <v>0</v>
      </c>
    </row>
    <row r="536" spans="1:8" x14ac:dyDescent="0.25">
      <c r="A536" s="914">
        <f>'House Count'!A536</f>
        <v>0</v>
      </c>
      <c r="B536" s="915">
        <f>'House Count'!E536</f>
        <v>0</v>
      </c>
      <c r="C536" s="915">
        <f>'House Count'!B536</f>
        <v>0</v>
      </c>
      <c r="D536" s="915">
        <f>'House Count'!C536</f>
        <v>0</v>
      </c>
      <c r="E536" s="915">
        <f>'House Count'!D536</f>
        <v>0</v>
      </c>
      <c r="F536" s="915" t="str">
        <f t="shared" si="8"/>
        <v/>
      </c>
      <c r="G536" s="915">
        <f>'House Count'!F536</f>
        <v>0</v>
      </c>
      <c r="H536" s="915">
        <f>'House Count'!H536</f>
        <v>0</v>
      </c>
    </row>
    <row r="537" spans="1:8" x14ac:dyDescent="0.25">
      <c r="A537" s="914">
        <f>'House Count'!A537</f>
        <v>0</v>
      </c>
      <c r="B537" s="915">
        <f>'House Count'!E537</f>
        <v>0</v>
      </c>
      <c r="C537" s="915">
        <f>'House Count'!B537</f>
        <v>0</v>
      </c>
      <c r="D537" s="915">
        <f>'House Count'!C537</f>
        <v>0</v>
      </c>
      <c r="E537" s="915">
        <f>'House Count'!D537</f>
        <v>0</v>
      </c>
      <c r="F537" s="915" t="str">
        <f t="shared" si="8"/>
        <v/>
      </c>
      <c r="G537" s="915">
        <f>'House Count'!F537</f>
        <v>0</v>
      </c>
      <c r="H537" s="915">
        <f>'House Count'!H537</f>
        <v>0</v>
      </c>
    </row>
    <row r="538" spans="1:8" x14ac:dyDescent="0.25">
      <c r="A538" s="914">
        <f>'House Count'!A538</f>
        <v>0</v>
      </c>
      <c r="B538" s="915">
        <f>'House Count'!E538</f>
        <v>0</v>
      </c>
      <c r="C538" s="915">
        <f>'House Count'!B538</f>
        <v>0</v>
      </c>
      <c r="D538" s="915">
        <f>'House Count'!C538</f>
        <v>0</v>
      </c>
      <c r="E538" s="915">
        <f>'House Count'!D538</f>
        <v>0</v>
      </c>
      <c r="F538" s="915" t="str">
        <f t="shared" si="8"/>
        <v/>
      </c>
      <c r="G538" s="915">
        <f>'House Count'!F538</f>
        <v>0</v>
      </c>
      <c r="H538" s="915">
        <f>'House Count'!H538</f>
        <v>0</v>
      </c>
    </row>
    <row r="539" spans="1:8" x14ac:dyDescent="0.25">
      <c r="A539" s="914">
        <f>'House Count'!A539</f>
        <v>0</v>
      </c>
      <c r="B539" s="915">
        <f>'House Count'!E539</f>
        <v>0</v>
      </c>
      <c r="C539" s="915">
        <f>'House Count'!B539</f>
        <v>0</v>
      </c>
      <c r="D539" s="915">
        <f>'House Count'!C539</f>
        <v>0</v>
      </c>
      <c r="E539" s="915">
        <f>'House Count'!D539</f>
        <v>0</v>
      </c>
      <c r="F539" s="915" t="str">
        <f t="shared" si="8"/>
        <v/>
      </c>
      <c r="G539" s="915">
        <f>'House Count'!F539</f>
        <v>0</v>
      </c>
      <c r="H539" s="915">
        <f>'House Count'!H539</f>
        <v>0</v>
      </c>
    </row>
    <row r="540" spans="1:8" x14ac:dyDescent="0.25">
      <c r="A540" s="914">
        <f>'House Count'!A540</f>
        <v>0</v>
      </c>
      <c r="B540" s="915">
        <f>'House Count'!E540</f>
        <v>0</v>
      </c>
      <c r="C540" s="915">
        <f>'House Count'!B540</f>
        <v>0</v>
      </c>
      <c r="D540" s="915">
        <f>'House Count'!C540</f>
        <v>0</v>
      </c>
      <c r="E540" s="915">
        <f>'House Count'!D540</f>
        <v>0</v>
      </c>
      <c r="F540" s="915" t="str">
        <f t="shared" si="8"/>
        <v/>
      </c>
      <c r="G540" s="915">
        <f>'House Count'!F540</f>
        <v>0</v>
      </c>
      <c r="H540" s="915">
        <f>'House Count'!H540</f>
        <v>0</v>
      </c>
    </row>
    <row r="541" spans="1:8" x14ac:dyDescent="0.25">
      <c r="A541" s="914">
        <f>'House Count'!A541</f>
        <v>0</v>
      </c>
      <c r="B541" s="915">
        <f>'House Count'!E541</f>
        <v>0</v>
      </c>
      <c r="C541" s="915">
        <f>'House Count'!B541</f>
        <v>0</v>
      </c>
      <c r="D541" s="915">
        <f>'House Count'!C541</f>
        <v>0</v>
      </c>
      <c r="E541" s="915">
        <f>'House Count'!D541</f>
        <v>0</v>
      </c>
      <c r="F541" s="915" t="str">
        <f t="shared" si="8"/>
        <v/>
      </c>
      <c r="G541" s="915">
        <f>'House Count'!F541</f>
        <v>0</v>
      </c>
      <c r="H541" s="915">
        <f>'House Count'!H541</f>
        <v>0</v>
      </c>
    </row>
    <row r="542" spans="1:8" x14ac:dyDescent="0.25">
      <c r="A542" s="914">
        <f>'House Count'!A542</f>
        <v>0</v>
      </c>
      <c r="B542" s="915">
        <f>'House Count'!E542</f>
        <v>0</v>
      </c>
      <c r="C542" s="915">
        <f>'House Count'!B542</f>
        <v>0</v>
      </c>
      <c r="D542" s="915">
        <f>'House Count'!C542</f>
        <v>0</v>
      </c>
      <c r="E542" s="915">
        <f>'House Count'!D542</f>
        <v>0</v>
      </c>
      <c r="F542" s="915" t="str">
        <f t="shared" si="8"/>
        <v/>
      </c>
      <c r="G542" s="915">
        <f>'House Count'!F542</f>
        <v>0</v>
      </c>
      <c r="H542" s="915">
        <f>'House Count'!H542</f>
        <v>0</v>
      </c>
    </row>
    <row r="543" spans="1:8" x14ac:dyDescent="0.25">
      <c r="A543" s="914">
        <f>'House Count'!A543</f>
        <v>0</v>
      </c>
      <c r="B543" s="915">
        <f>'House Count'!E543</f>
        <v>0</v>
      </c>
      <c r="C543" s="915">
        <f>'House Count'!B543</f>
        <v>0</v>
      </c>
      <c r="D543" s="915">
        <f>'House Count'!C543</f>
        <v>0</v>
      </c>
      <c r="E543" s="915">
        <f>'House Count'!D543</f>
        <v>0</v>
      </c>
      <c r="F543" s="915" t="str">
        <f t="shared" si="8"/>
        <v/>
      </c>
      <c r="G543" s="915">
        <f>'House Count'!F543</f>
        <v>0</v>
      </c>
      <c r="H543" s="915">
        <f>'House Count'!H543</f>
        <v>0</v>
      </c>
    </row>
    <row r="544" spans="1:8" x14ac:dyDescent="0.25">
      <c r="A544" s="914">
        <f>'House Count'!A544</f>
        <v>0</v>
      </c>
      <c r="B544" s="915">
        <f>'House Count'!E544</f>
        <v>0</v>
      </c>
      <c r="C544" s="915">
        <f>'House Count'!B544</f>
        <v>0</v>
      </c>
      <c r="D544" s="915">
        <f>'House Count'!C544</f>
        <v>0</v>
      </c>
      <c r="E544" s="915">
        <f>'House Count'!D544</f>
        <v>0</v>
      </c>
      <c r="F544" s="915" t="str">
        <f t="shared" si="8"/>
        <v/>
      </c>
      <c r="G544" s="915">
        <f>'House Count'!F544</f>
        <v>0</v>
      </c>
      <c r="H544" s="915">
        <f>'House Count'!H544</f>
        <v>0</v>
      </c>
    </row>
    <row r="545" spans="1:8" x14ac:dyDescent="0.25">
      <c r="A545" s="914">
        <f>'House Count'!A545</f>
        <v>0</v>
      </c>
      <c r="B545" s="915">
        <f>'House Count'!E545</f>
        <v>0</v>
      </c>
      <c r="C545" s="915">
        <f>'House Count'!B545</f>
        <v>0</v>
      </c>
      <c r="D545" s="915">
        <f>'House Count'!C545</f>
        <v>0</v>
      </c>
      <c r="E545" s="915">
        <f>'House Count'!D545</f>
        <v>0</v>
      </c>
      <c r="F545" s="915" t="str">
        <f t="shared" si="8"/>
        <v/>
      </c>
      <c r="G545" s="915">
        <f>'House Count'!F545</f>
        <v>0</v>
      </c>
      <c r="H545" s="915">
        <f>'House Count'!H545</f>
        <v>0</v>
      </c>
    </row>
    <row r="546" spans="1:8" x14ac:dyDescent="0.25">
      <c r="A546" s="914">
        <f>'House Count'!A546</f>
        <v>0</v>
      </c>
      <c r="B546" s="915">
        <f>'House Count'!E546</f>
        <v>0</v>
      </c>
      <c r="C546" s="915">
        <f>'House Count'!B546</f>
        <v>0</v>
      </c>
      <c r="D546" s="915">
        <f>'House Count'!C546</f>
        <v>0</v>
      </c>
      <c r="E546" s="915">
        <f>'House Count'!D546</f>
        <v>0</v>
      </c>
      <c r="F546" s="915" t="str">
        <f t="shared" si="8"/>
        <v/>
      </c>
      <c r="G546" s="915">
        <f>'House Count'!F546</f>
        <v>0</v>
      </c>
      <c r="H546" s="915">
        <f>'House Count'!H546</f>
        <v>0</v>
      </c>
    </row>
    <row r="547" spans="1:8" x14ac:dyDescent="0.25">
      <c r="A547" s="914">
        <f>'House Count'!A547</f>
        <v>0</v>
      </c>
      <c r="B547" s="915">
        <f>'House Count'!E547</f>
        <v>0</v>
      </c>
      <c r="C547" s="915">
        <f>'House Count'!B547</f>
        <v>0</v>
      </c>
      <c r="D547" s="915">
        <f>'House Count'!C547</f>
        <v>0</v>
      </c>
      <c r="E547" s="915">
        <f>'House Count'!D547</f>
        <v>0</v>
      </c>
      <c r="F547" s="915" t="str">
        <f t="shared" si="8"/>
        <v/>
      </c>
      <c r="G547" s="915">
        <f>'House Count'!F547</f>
        <v>0</v>
      </c>
      <c r="H547" s="915">
        <f>'House Count'!H547</f>
        <v>0</v>
      </c>
    </row>
    <row r="548" spans="1:8" x14ac:dyDescent="0.25">
      <c r="A548" s="914">
        <f>'House Count'!A548</f>
        <v>0</v>
      </c>
      <c r="B548" s="915">
        <f>'House Count'!E548</f>
        <v>0</v>
      </c>
      <c r="C548" s="915">
        <f>'House Count'!B548</f>
        <v>0</v>
      </c>
      <c r="D548" s="915">
        <f>'House Count'!C548</f>
        <v>0</v>
      </c>
      <c r="E548" s="915">
        <f>'House Count'!D548</f>
        <v>0</v>
      </c>
      <c r="F548" s="915" t="str">
        <f t="shared" si="8"/>
        <v/>
      </c>
      <c r="G548" s="915">
        <f>'House Count'!F548</f>
        <v>0</v>
      </c>
      <c r="H548" s="915">
        <f>'House Count'!H548</f>
        <v>0</v>
      </c>
    </row>
    <row r="549" spans="1:8" x14ac:dyDescent="0.25">
      <c r="A549" s="914">
        <f>'House Count'!A549</f>
        <v>0</v>
      </c>
      <c r="B549" s="915">
        <f>'House Count'!E549</f>
        <v>0</v>
      </c>
      <c r="C549" s="915">
        <f>'House Count'!B549</f>
        <v>0</v>
      </c>
      <c r="D549" s="915">
        <f>'House Count'!C549</f>
        <v>0</v>
      </c>
      <c r="E549" s="915">
        <f>'House Count'!D549</f>
        <v>0</v>
      </c>
      <c r="F549" s="915" t="str">
        <f t="shared" si="8"/>
        <v/>
      </c>
      <c r="G549" s="915">
        <f>'House Count'!F549</f>
        <v>0</v>
      </c>
      <c r="H549" s="915">
        <f>'House Count'!H549</f>
        <v>0</v>
      </c>
    </row>
    <row r="550" spans="1:8" x14ac:dyDescent="0.25">
      <c r="A550" s="914">
        <f>'House Count'!A550</f>
        <v>0</v>
      </c>
      <c r="B550" s="915">
        <f>'House Count'!E550</f>
        <v>0</v>
      </c>
      <c r="C550" s="915">
        <f>'House Count'!B550</f>
        <v>0</v>
      </c>
      <c r="D550" s="915">
        <f>'House Count'!C550</f>
        <v>0</v>
      </c>
      <c r="E550" s="915">
        <f>'House Count'!D550</f>
        <v>0</v>
      </c>
      <c r="F550" s="915" t="str">
        <f t="shared" si="8"/>
        <v/>
      </c>
      <c r="G550" s="915">
        <f>'House Count'!F550</f>
        <v>0</v>
      </c>
      <c r="H550" s="915">
        <f>'House Count'!H550</f>
        <v>0</v>
      </c>
    </row>
    <row r="551" spans="1:8" x14ac:dyDescent="0.25">
      <c r="A551" s="914">
        <f>'House Count'!A551</f>
        <v>0</v>
      </c>
      <c r="B551" s="915">
        <f>'House Count'!E551</f>
        <v>0</v>
      </c>
      <c r="C551" s="915">
        <f>'House Count'!B551</f>
        <v>0</v>
      </c>
      <c r="D551" s="915">
        <f>'House Count'!C551</f>
        <v>0</v>
      </c>
      <c r="E551" s="915">
        <f>'House Count'!D551</f>
        <v>0</v>
      </c>
      <c r="F551" s="915" t="str">
        <f t="shared" si="8"/>
        <v/>
      </c>
      <c r="G551" s="915">
        <f>'House Count'!F551</f>
        <v>0</v>
      </c>
      <c r="H551" s="915">
        <f>'House Count'!H551</f>
        <v>0</v>
      </c>
    </row>
    <row r="552" spans="1:8" x14ac:dyDescent="0.25">
      <c r="A552" s="914">
        <f>'House Count'!A552</f>
        <v>0</v>
      </c>
      <c r="B552" s="915">
        <f>'House Count'!E552</f>
        <v>0</v>
      </c>
      <c r="C552" s="915">
        <f>'House Count'!B552</f>
        <v>0</v>
      </c>
      <c r="D552" s="915">
        <f>'House Count'!C552</f>
        <v>0</v>
      </c>
      <c r="E552" s="915">
        <f>'House Count'!D552</f>
        <v>0</v>
      </c>
      <c r="F552" s="915" t="str">
        <f t="shared" si="8"/>
        <v/>
      </c>
      <c r="G552" s="915">
        <f>'House Count'!F552</f>
        <v>0</v>
      </c>
      <c r="H552" s="915">
        <f>'House Count'!H552</f>
        <v>0</v>
      </c>
    </row>
    <row r="553" spans="1:8" x14ac:dyDescent="0.25">
      <c r="A553" s="914">
        <f>'House Count'!A553</f>
        <v>0</v>
      </c>
      <c r="B553" s="915">
        <f>'House Count'!E553</f>
        <v>0</v>
      </c>
      <c r="C553" s="915">
        <f>'House Count'!B553</f>
        <v>0</v>
      </c>
      <c r="D553" s="915">
        <f>'House Count'!C553</f>
        <v>0</v>
      </c>
      <c r="E553" s="915">
        <f>'House Count'!D553</f>
        <v>0</v>
      </c>
      <c r="F553" s="915" t="str">
        <f t="shared" si="8"/>
        <v/>
      </c>
      <c r="G553" s="915">
        <f>'House Count'!F553</f>
        <v>0</v>
      </c>
      <c r="H553" s="915">
        <f>'House Count'!H553</f>
        <v>0</v>
      </c>
    </row>
    <row r="554" spans="1:8" x14ac:dyDescent="0.25">
      <c r="A554" s="914">
        <f>'House Count'!A554</f>
        <v>0</v>
      </c>
      <c r="B554" s="915">
        <f>'House Count'!E554</f>
        <v>0</v>
      </c>
      <c r="C554" s="915">
        <f>'House Count'!B554</f>
        <v>0</v>
      </c>
      <c r="D554" s="915">
        <f>'House Count'!C554</f>
        <v>0</v>
      </c>
      <c r="E554" s="915">
        <f>'House Count'!D554</f>
        <v>0</v>
      </c>
      <c r="F554" s="915" t="str">
        <f t="shared" si="8"/>
        <v/>
      </c>
      <c r="G554" s="915">
        <f>'House Count'!F554</f>
        <v>0</v>
      </c>
      <c r="H554" s="915">
        <f>'House Count'!H554</f>
        <v>0</v>
      </c>
    </row>
    <row r="555" spans="1:8" x14ac:dyDescent="0.25">
      <c r="A555" s="914">
        <f>'House Count'!A555</f>
        <v>0</v>
      </c>
      <c r="B555" s="915">
        <f>'House Count'!E555</f>
        <v>0</v>
      </c>
      <c r="C555" s="915">
        <f>'House Count'!B555</f>
        <v>0</v>
      </c>
      <c r="D555" s="915">
        <f>'House Count'!C555</f>
        <v>0</v>
      </c>
      <c r="E555" s="915">
        <f>'House Count'!D555</f>
        <v>0</v>
      </c>
      <c r="F555" s="915" t="str">
        <f t="shared" si="8"/>
        <v/>
      </c>
      <c r="G555" s="915">
        <f>'House Count'!F555</f>
        <v>0</v>
      </c>
      <c r="H555" s="915">
        <f>'House Count'!H555</f>
        <v>0</v>
      </c>
    </row>
    <row r="556" spans="1:8" x14ac:dyDescent="0.25">
      <c r="A556" s="914">
        <f>'House Count'!A556</f>
        <v>0</v>
      </c>
      <c r="B556" s="915">
        <f>'House Count'!E556</f>
        <v>0</v>
      </c>
      <c r="C556" s="915">
        <f>'House Count'!B556</f>
        <v>0</v>
      </c>
      <c r="D556" s="915">
        <f>'House Count'!C556</f>
        <v>0</v>
      </c>
      <c r="E556" s="915">
        <f>'House Count'!D556</f>
        <v>0</v>
      </c>
      <c r="F556" s="915" t="str">
        <f t="shared" si="8"/>
        <v/>
      </c>
      <c r="G556" s="915">
        <f>'House Count'!F556</f>
        <v>0</v>
      </c>
      <c r="H556" s="915">
        <f>'House Count'!H556</f>
        <v>0</v>
      </c>
    </row>
    <row r="557" spans="1:8" x14ac:dyDescent="0.25">
      <c r="A557" s="914">
        <f>'House Count'!A557</f>
        <v>0</v>
      </c>
      <c r="B557" s="915">
        <f>'House Count'!E557</f>
        <v>0</v>
      </c>
      <c r="C557" s="915">
        <f>'House Count'!B557</f>
        <v>0</v>
      </c>
      <c r="D557" s="915">
        <f>'House Count'!C557</f>
        <v>0</v>
      </c>
      <c r="E557" s="915">
        <f>'House Count'!D557</f>
        <v>0</v>
      </c>
      <c r="F557" s="915" t="str">
        <f t="shared" si="8"/>
        <v/>
      </c>
      <c r="G557" s="915">
        <f>'House Count'!F557</f>
        <v>0</v>
      </c>
      <c r="H557" s="915">
        <f>'House Count'!H557</f>
        <v>0</v>
      </c>
    </row>
    <row r="558" spans="1:8" x14ac:dyDescent="0.25">
      <c r="A558" s="914">
        <f>'House Count'!A558</f>
        <v>0</v>
      </c>
      <c r="B558" s="915">
        <f>'House Count'!E558</f>
        <v>0</v>
      </c>
      <c r="C558" s="915">
        <f>'House Count'!B558</f>
        <v>0</v>
      </c>
      <c r="D558" s="915">
        <f>'House Count'!C558</f>
        <v>0</v>
      </c>
      <c r="E558" s="915">
        <f>'House Count'!D558</f>
        <v>0</v>
      </c>
      <c r="F558" s="915" t="str">
        <f t="shared" si="8"/>
        <v/>
      </c>
      <c r="G558" s="915">
        <f>'House Count'!F558</f>
        <v>0</v>
      </c>
      <c r="H558" s="915">
        <f>'House Count'!H558</f>
        <v>0</v>
      </c>
    </row>
    <row r="559" spans="1:8" x14ac:dyDescent="0.25">
      <c r="A559" s="914">
        <f>'House Count'!A559</f>
        <v>0</v>
      </c>
      <c r="B559" s="915">
        <f>'House Count'!E559</f>
        <v>0</v>
      </c>
      <c r="C559" s="915">
        <f>'House Count'!B559</f>
        <v>0</v>
      </c>
      <c r="D559" s="915">
        <f>'House Count'!C559</f>
        <v>0</v>
      </c>
      <c r="E559" s="915">
        <f>'House Count'!D559</f>
        <v>0</v>
      </c>
      <c r="F559" s="915" t="str">
        <f t="shared" si="8"/>
        <v/>
      </c>
      <c r="G559" s="915">
        <f>'House Count'!F559</f>
        <v>0</v>
      </c>
      <c r="H559" s="915">
        <f>'House Count'!H559</f>
        <v>0</v>
      </c>
    </row>
    <row r="560" spans="1:8" x14ac:dyDescent="0.25">
      <c r="A560" s="914">
        <f>'House Count'!A560</f>
        <v>0</v>
      </c>
      <c r="B560" s="915">
        <f>'House Count'!E560</f>
        <v>0</v>
      </c>
      <c r="C560" s="915">
        <f>'House Count'!B560</f>
        <v>0</v>
      </c>
      <c r="D560" s="915">
        <f>'House Count'!C560</f>
        <v>0</v>
      </c>
      <c r="E560" s="915">
        <f>'House Count'!D560</f>
        <v>0</v>
      </c>
      <c r="F560" s="915" t="str">
        <f t="shared" si="8"/>
        <v/>
      </c>
      <c r="G560" s="915">
        <f>'House Count'!F560</f>
        <v>0</v>
      </c>
      <c r="H560" s="915">
        <f>'House Count'!H560</f>
        <v>0</v>
      </c>
    </row>
    <row r="561" spans="1:8" x14ac:dyDescent="0.25">
      <c r="A561" s="914">
        <f>'House Count'!A561</f>
        <v>0</v>
      </c>
      <c r="B561" s="915">
        <f>'House Count'!E561</f>
        <v>0</v>
      </c>
      <c r="C561" s="915">
        <f>'House Count'!B561</f>
        <v>0</v>
      </c>
      <c r="D561" s="915">
        <f>'House Count'!C561</f>
        <v>0</v>
      </c>
      <c r="E561" s="915">
        <f>'House Count'!D561</f>
        <v>0</v>
      </c>
      <c r="F561" s="915" t="str">
        <f t="shared" si="8"/>
        <v/>
      </c>
      <c r="G561" s="915">
        <f>'House Count'!F561</f>
        <v>0</v>
      </c>
      <c r="H561" s="915">
        <f>'House Count'!H561</f>
        <v>0</v>
      </c>
    </row>
    <row r="562" spans="1:8" x14ac:dyDescent="0.25">
      <c r="A562" s="914">
        <f>'House Count'!A562</f>
        <v>0</v>
      </c>
      <c r="B562" s="915">
        <f>'House Count'!E562</f>
        <v>0</v>
      </c>
      <c r="C562" s="915">
        <f>'House Count'!B562</f>
        <v>0</v>
      </c>
      <c r="D562" s="915">
        <f>'House Count'!C562</f>
        <v>0</v>
      </c>
      <c r="E562" s="915">
        <f>'House Count'!D562</f>
        <v>0</v>
      </c>
      <c r="F562" s="915" t="str">
        <f t="shared" si="8"/>
        <v/>
      </c>
      <c r="G562" s="915">
        <f>'House Count'!F562</f>
        <v>0</v>
      </c>
      <c r="H562" s="915">
        <f>'House Count'!H562</f>
        <v>0</v>
      </c>
    </row>
    <row r="563" spans="1:8" x14ac:dyDescent="0.25">
      <c r="A563" s="914">
        <f>'House Count'!A563</f>
        <v>0</v>
      </c>
      <c r="B563" s="915">
        <f>'House Count'!E563</f>
        <v>0</v>
      </c>
      <c r="C563" s="915">
        <f>'House Count'!B563</f>
        <v>0</v>
      </c>
      <c r="D563" s="915">
        <f>'House Count'!C563</f>
        <v>0</v>
      </c>
      <c r="E563" s="915">
        <f>'House Count'!D563</f>
        <v>0</v>
      </c>
      <c r="F563" s="915" t="str">
        <f t="shared" si="8"/>
        <v/>
      </c>
      <c r="G563" s="915">
        <f>'House Count'!F563</f>
        <v>0</v>
      </c>
      <c r="H563" s="915">
        <f>'House Count'!H563</f>
        <v>0</v>
      </c>
    </row>
    <row r="564" spans="1:8" x14ac:dyDescent="0.25">
      <c r="A564" s="914">
        <f>'House Count'!A564</f>
        <v>0</v>
      </c>
      <c r="B564" s="915">
        <f>'House Count'!E564</f>
        <v>0</v>
      </c>
      <c r="C564" s="915">
        <f>'House Count'!B564</f>
        <v>0</v>
      </c>
      <c r="D564" s="915">
        <f>'House Count'!C564</f>
        <v>0</v>
      </c>
      <c r="E564" s="915">
        <f>'House Count'!D564</f>
        <v>0</v>
      </c>
      <c r="F564" s="915" t="str">
        <f t="shared" si="8"/>
        <v/>
      </c>
      <c r="G564" s="915">
        <f>'House Count'!F564</f>
        <v>0</v>
      </c>
      <c r="H564" s="915">
        <f>'House Count'!H564</f>
        <v>0</v>
      </c>
    </row>
    <row r="565" spans="1:8" x14ac:dyDescent="0.25">
      <c r="A565" s="914">
        <f>'House Count'!A565</f>
        <v>0</v>
      </c>
      <c r="B565" s="915">
        <f>'House Count'!E565</f>
        <v>0</v>
      </c>
      <c r="C565" s="915">
        <f>'House Count'!B565</f>
        <v>0</v>
      </c>
      <c r="D565" s="915">
        <f>'House Count'!C565</f>
        <v>0</v>
      </c>
      <c r="E565" s="915">
        <f>'House Count'!D565</f>
        <v>0</v>
      </c>
      <c r="F565" s="915" t="str">
        <f t="shared" si="8"/>
        <v/>
      </c>
      <c r="G565" s="915">
        <f>'House Count'!F565</f>
        <v>0</v>
      </c>
      <c r="H565" s="915">
        <f>'House Count'!H565</f>
        <v>0</v>
      </c>
    </row>
    <row r="566" spans="1:8" x14ac:dyDescent="0.25">
      <c r="A566" s="914">
        <f>'House Count'!A566</f>
        <v>0</v>
      </c>
      <c r="B566" s="915">
        <f>'House Count'!E566</f>
        <v>0</v>
      </c>
      <c r="C566" s="915">
        <f>'House Count'!B566</f>
        <v>0</v>
      </c>
      <c r="D566" s="915">
        <f>'House Count'!C566</f>
        <v>0</v>
      </c>
      <c r="E566" s="915">
        <f>'House Count'!D566</f>
        <v>0</v>
      </c>
      <c r="F566" s="915" t="str">
        <f t="shared" si="8"/>
        <v/>
      </c>
      <c r="G566" s="915">
        <f>'House Count'!F566</f>
        <v>0</v>
      </c>
      <c r="H566" s="915">
        <f>'House Count'!H566</f>
        <v>0</v>
      </c>
    </row>
    <row r="567" spans="1:8" x14ac:dyDescent="0.25">
      <c r="A567" s="914">
        <f>'House Count'!A567</f>
        <v>0</v>
      </c>
      <c r="B567" s="915">
        <f>'House Count'!E567</f>
        <v>0</v>
      </c>
      <c r="C567" s="915">
        <f>'House Count'!B567</f>
        <v>0</v>
      </c>
      <c r="D567" s="915">
        <f>'House Count'!C567</f>
        <v>0</v>
      </c>
      <c r="E567" s="915">
        <f>'House Count'!D567</f>
        <v>0</v>
      </c>
      <c r="F567" s="915" t="str">
        <f t="shared" si="8"/>
        <v/>
      </c>
      <c r="G567" s="915">
        <f>'House Count'!F567</f>
        <v>0</v>
      </c>
      <c r="H567" s="915">
        <f>'House Count'!H567</f>
        <v>0</v>
      </c>
    </row>
    <row r="568" spans="1:8" x14ac:dyDescent="0.25">
      <c r="A568" s="914">
        <f>'House Count'!A568</f>
        <v>0</v>
      </c>
      <c r="B568" s="915">
        <f>'House Count'!E568</f>
        <v>0</v>
      </c>
      <c r="C568" s="915">
        <f>'House Count'!B568</f>
        <v>0</v>
      </c>
      <c r="D568" s="915">
        <f>'House Count'!C568</f>
        <v>0</v>
      </c>
      <c r="E568" s="915">
        <f>'House Count'!D568</f>
        <v>0</v>
      </c>
      <c r="F568" s="915" t="str">
        <f t="shared" si="8"/>
        <v/>
      </c>
      <c r="G568" s="915">
        <f>'House Count'!F568</f>
        <v>0</v>
      </c>
      <c r="H568" s="915">
        <f>'House Count'!H568</f>
        <v>0</v>
      </c>
    </row>
    <row r="569" spans="1:8" x14ac:dyDescent="0.25">
      <c r="A569" s="914">
        <f>'House Count'!A569</f>
        <v>0</v>
      </c>
      <c r="B569" s="915">
        <f>'House Count'!E569</f>
        <v>0</v>
      </c>
      <c r="C569" s="915">
        <f>'House Count'!B569</f>
        <v>0</v>
      </c>
      <c r="D569" s="915">
        <f>'House Count'!C569</f>
        <v>0</v>
      </c>
      <c r="E569" s="915">
        <f>'House Count'!D569</f>
        <v>0</v>
      </c>
      <c r="F569" s="915" t="str">
        <f t="shared" si="8"/>
        <v/>
      </c>
      <c r="G569" s="915">
        <f>'House Count'!F569</f>
        <v>0</v>
      </c>
      <c r="H569" s="915">
        <f>'House Count'!H569</f>
        <v>0</v>
      </c>
    </row>
    <row r="570" spans="1:8" x14ac:dyDescent="0.25">
      <c r="A570" s="914">
        <f>'House Count'!A570</f>
        <v>0</v>
      </c>
      <c r="B570" s="915">
        <f>'House Count'!E570</f>
        <v>0</v>
      </c>
      <c r="C570" s="915">
        <f>'House Count'!B570</f>
        <v>0</v>
      </c>
      <c r="D570" s="915">
        <f>'House Count'!C570</f>
        <v>0</v>
      </c>
      <c r="E570" s="915">
        <f>'House Count'!D570</f>
        <v>0</v>
      </c>
      <c r="F570" s="915" t="str">
        <f t="shared" si="8"/>
        <v/>
      </c>
      <c r="G570" s="915">
        <f>'House Count'!F570</f>
        <v>0</v>
      </c>
      <c r="H570" s="915">
        <f>'House Count'!H570</f>
        <v>0</v>
      </c>
    </row>
    <row r="571" spans="1:8" x14ac:dyDescent="0.25">
      <c r="A571" s="914">
        <f>'House Count'!A571</f>
        <v>0</v>
      </c>
      <c r="B571" s="915">
        <f>'House Count'!E571</f>
        <v>0</v>
      </c>
      <c r="C571" s="915">
        <f>'House Count'!B571</f>
        <v>0</v>
      </c>
      <c r="D571" s="915">
        <f>'House Count'!C571</f>
        <v>0</v>
      </c>
      <c r="E571" s="915">
        <f>'House Count'!D571</f>
        <v>0</v>
      </c>
      <c r="F571" s="915" t="str">
        <f t="shared" si="8"/>
        <v/>
      </c>
      <c r="G571" s="915">
        <f>'House Count'!F571</f>
        <v>0</v>
      </c>
      <c r="H571" s="915">
        <f>'House Count'!H571</f>
        <v>0</v>
      </c>
    </row>
    <row r="572" spans="1:8" x14ac:dyDescent="0.25">
      <c r="A572" s="914">
        <f>'House Count'!A572</f>
        <v>0</v>
      </c>
      <c r="B572" s="915">
        <f>'House Count'!E572</f>
        <v>0</v>
      </c>
      <c r="C572" s="915">
        <f>'House Count'!B572</f>
        <v>0</v>
      </c>
      <c r="D572" s="915">
        <f>'House Count'!C572</f>
        <v>0</v>
      </c>
      <c r="E572" s="915">
        <f>'House Count'!D572</f>
        <v>0</v>
      </c>
      <c r="F572" s="915" t="str">
        <f t="shared" si="8"/>
        <v/>
      </c>
      <c r="G572" s="915">
        <f>'House Count'!F572</f>
        <v>0</v>
      </c>
      <c r="H572" s="915">
        <f>'House Count'!H572</f>
        <v>0</v>
      </c>
    </row>
    <row r="573" spans="1:8" x14ac:dyDescent="0.25">
      <c r="A573" s="914">
        <f>'House Count'!A573</f>
        <v>0</v>
      </c>
      <c r="B573" s="915">
        <f>'House Count'!E573</f>
        <v>0</v>
      </c>
      <c r="C573" s="915">
        <f>'House Count'!B573</f>
        <v>0</v>
      </c>
      <c r="D573" s="915">
        <f>'House Count'!C573</f>
        <v>0</v>
      </c>
      <c r="E573" s="915">
        <f>'House Count'!D573</f>
        <v>0</v>
      </c>
      <c r="F573" s="915" t="str">
        <f t="shared" si="8"/>
        <v/>
      </c>
      <c r="G573" s="915">
        <f>'House Count'!F573</f>
        <v>0</v>
      </c>
      <c r="H573" s="915">
        <f>'House Count'!H573</f>
        <v>0</v>
      </c>
    </row>
    <row r="574" spans="1:8" x14ac:dyDescent="0.25">
      <c r="A574" s="914">
        <f>'House Count'!A574</f>
        <v>0</v>
      </c>
      <c r="B574" s="915">
        <f>'House Count'!E574</f>
        <v>0</v>
      </c>
      <c r="C574" s="915">
        <f>'House Count'!B574</f>
        <v>0</v>
      </c>
      <c r="D574" s="915">
        <f>'House Count'!C574</f>
        <v>0</v>
      </c>
      <c r="E574" s="915">
        <f>'House Count'!D574</f>
        <v>0</v>
      </c>
      <c r="F574" s="915" t="str">
        <f t="shared" si="8"/>
        <v/>
      </c>
      <c r="G574" s="915">
        <f>'House Count'!F574</f>
        <v>0</v>
      </c>
      <c r="H574" s="915">
        <f>'House Count'!H574</f>
        <v>0</v>
      </c>
    </row>
    <row r="575" spans="1:8" x14ac:dyDescent="0.25">
      <c r="A575" s="914">
        <f>'House Count'!A575</f>
        <v>0</v>
      </c>
      <c r="B575" s="915">
        <f>'House Count'!E575</f>
        <v>0</v>
      </c>
      <c r="C575" s="915">
        <f>'House Count'!B575</f>
        <v>0</v>
      </c>
      <c r="D575" s="915">
        <f>'House Count'!C575</f>
        <v>0</v>
      </c>
      <c r="E575" s="915">
        <f>'House Count'!D575</f>
        <v>0</v>
      </c>
      <c r="F575" s="915" t="str">
        <f t="shared" si="8"/>
        <v/>
      </c>
      <c r="G575" s="915">
        <f>'House Count'!F575</f>
        <v>0</v>
      </c>
      <c r="H575" s="915">
        <f>'House Count'!H575</f>
        <v>0</v>
      </c>
    </row>
    <row r="576" spans="1:8" x14ac:dyDescent="0.25">
      <c r="A576" s="914">
        <f>'House Count'!A576</f>
        <v>0</v>
      </c>
      <c r="B576" s="915">
        <f>'House Count'!E576</f>
        <v>0</v>
      </c>
      <c r="C576" s="915">
        <f>'House Count'!B576</f>
        <v>0</v>
      </c>
      <c r="D576" s="915">
        <f>'House Count'!C576</f>
        <v>0</v>
      </c>
      <c r="E576" s="915">
        <f>'House Count'!D576</f>
        <v>0</v>
      </c>
      <c r="F576" s="915" t="str">
        <f t="shared" si="8"/>
        <v/>
      </c>
      <c r="G576" s="915">
        <f>'House Count'!F576</f>
        <v>0</v>
      </c>
      <c r="H576" s="915">
        <f>'House Count'!H576</f>
        <v>0</v>
      </c>
    </row>
    <row r="577" spans="1:8" x14ac:dyDescent="0.25">
      <c r="A577" s="914">
        <f>'House Count'!A577</f>
        <v>0</v>
      </c>
      <c r="B577" s="915">
        <f>'House Count'!E577</f>
        <v>0</v>
      </c>
      <c r="C577" s="915">
        <f>'House Count'!B577</f>
        <v>0</v>
      </c>
      <c r="D577" s="915">
        <f>'House Count'!C577</f>
        <v>0</v>
      </c>
      <c r="E577" s="915">
        <f>'House Count'!D577</f>
        <v>0</v>
      </c>
      <c r="F577" s="915" t="str">
        <f t="shared" si="8"/>
        <v/>
      </c>
      <c r="G577" s="915">
        <f>'House Count'!F577</f>
        <v>0</v>
      </c>
      <c r="H577" s="915">
        <f>'House Count'!H577</f>
        <v>0</v>
      </c>
    </row>
    <row r="578" spans="1:8" x14ac:dyDescent="0.25">
      <c r="A578" s="914">
        <f>'House Count'!A578</f>
        <v>0</v>
      </c>
      <c r="B578" s="915">
        <f>'House Count'!E578</f>
        <v>0</v>
      </c>
      <c r="C578" s="915">
        <f>'House Count'!B578</f>
        <v>0</v>
      </c>
      <c r="D578" s="915">
        <f>'House Count'!C578</f>
        <v>0</v>
      </c>
      <c r="E578" s="915">
        <f>'House Count'!D578</f>
        <v>0</v>
      </c>
      <c r="F578" s="915" t="str">
        <f t="shared" si="8"/>
        <v/>
      </c>
      <c r="G578" s="915">
        <f>'House Count'!F578</f>
        <v>0</v>
      </c>
      <c r="H578" s="915">
        <f>'House Count'!H578</f>
        <v>0</v>
      </c>
    </row>
    <row r="579" spans="1:8" x14ac:dyDescent="0.25">
      <c r="A579" s="914">
        <f>'House Count'!A579</f>
        <v>0</v>
      </c>
      <c r="B579" s="915">
        <f>'House Count'!E579</f>
        <v>0</v>
      </c>
      <c r="C579" s="915">
        <f>'House Count'!B579</f>
        <v>0</v>
      </c>
      <c r="D579" s="915">
        <f>'House Count'!C579</f>
        <v>0</v>
      </c>
      <c r="E579" s="915">
        <f>'House Count'!D579</f>
        <v>0</v>
      </c>
      <c r="F579" s="915" t="str">
        <f t="shared" ref="F579:F642" si="9">IF(G579="RES-SFU","RESIDENTIAL",IF(G579="RES-HOA","RESIDENTIAL",IF(G579="RES-MDU","RESIDENTIAL",IF(G579="COMM-SU","BUSINESS",IF(G579="COM-MTU","BUSINESS",IF(G579="ENT","BUSINESS",""))))))</f>
        <v/>
      </c>
      <c r="G579" s="915">
        <f>'House Count'!F579</f>
        <v>0</v>
      </c>
      <c r="H579" s="915">
        <f>'House Count'!H579</f>
        <v>0</v>
      </c>
    </row>
    <row r="580" spans="1:8" x14ac:dyDescent="0.25">
      <c r="A580" s="914">
        <f>'House Count'!A580</f>
        <v>0</v>
      </c>
      <c r="B580" s="915">
        <f>'House Count'!E580</f>
        <v>0</v>
      </c>
      <c r="C580" s="915">
        <f>'House Count'!B580</f>
        <v>0</v>
      </c>
      <c r="D580" s="915">
        <f>'House Count'!C580</f>
        <v>0</v>
      </c>
      <c r="E580" s="915">
        <f>'House Count'!D580</f>
        <v>0</v>
      </c>
      <c r="F580" s="915" t="str">
        <f t="shared" si="9"/>
        <v/>
      </c>
      <c r="G580" s="915">
        <f>'House Count'!F580</f>
        <v>0</v>
      </c>
      <c r="H580" s="915">
        <f>'House Count'!H580</f>
        <v>0</v>
      </c>
    </row>
    <row r="581" spans="1:8" x14ac:dyDescent="0.25">
      <c r="A581" s="914">
        <f>'House Count'!A581</f>
        <v>0</v>
      </c>
      <c r="B581" s="915">
        <f>'House Count'!E581</f>
        <v>0</v>
      </c>
      <c r="C581" s="915">
        <f>'House Count'!B581</f>
        <v>0</v>
      </c>
      <c r="D581" s="915">
        <f>'House Count'!C581</f>
        <v>0</v>
      </c>
      <c r="E581" s="915">
        <f>'House Count'!D581</f>
        <v>0</v>
      </c>
      <c r="F581" s="915" t="str">
        <f t="shared" si="9"/>
        <v/>
      </c>
      <c r="G581" s="915">
        <f>'House Count'!F581</f>
        <v>0</v>
      </c>
      <c r="H581" s="915">
        <f>'House Count'!H581</f>
        <v>0</v>
      </c>
    </row>
    <row r="582" spans="1:8" x14ac:dyDescent="0.25">
      <c r="A582" s="914">
        <f>'House Count'!A582</f>
        <v>0</v>
      </c>
      <c r="B582" s="915">
        <f>'House Count'!E582</f>
        <v>0</v>
      </c>
      <c r="C582" s="915">
        <f>'House Count'!B582</f>
        <v>0</v>
      </c>
      <c r="D582" s="915">
        <f>'House Count'!C582</f>
        <v>0</v>
      </c>
      <c r="E582" s="915">
        <f>'House Count'!D582</f>
        <v>0</v>
      </c>
      <c r="F582" s="915" t="str">
        <f t="shared" si="9"/>
        <v/>
      </c>
      <c r="G582" s="915">
        <f>'House Count'!F582</f>
        <v>0</v>
      </c>
      <c r="H582" s="915">
        <f>'House Count'!H582</f>
        <v>0</v>
      </c>
    </row>
    <row r="583" spans="1:8" x14ac:dyDescent="0.25">
      <c r="A583" s="914">
        <f>'House Count'!A583</f>
        <v>0</v>
      </c>
      <c r="B583" s="915">
        <f>'House Count'!E583</f>
        <v>0</v>
      </c>
      <c r="C583" s="915">
        <f>'House Count'!B583</f>
        <v>0</v>
      </c>
      <c r="D583" s="915">
        <f>'House Count'!C583</f>
        <v>0</v>
      </c>
      <c r="E583" s="915">
        <f>'House Count'!D583</f>
        <v>0</v>
      </c>
      <c r="F583" s="915" t="str">
        <f t="shared" si="9"/>
        <v/>
      </c>
      <c r="G583" s="915">
        <f>'House Count'!F583</f>
        <v>0</v>
      </c>
      <c r="H583" s="915">
        <f>'House Count'!H583</f>
        <v>0</v>
      </c>
    </row>
    <row r="584" spans="1:8" x14ac:dyDescent="0.25">
      <c r="A584" s="914">
        <f>'House Count'!A584</f>
        <v>0</v>
      </c>
      <c r="B584" s="915">
        <f>'House Count'!E584</f>
        <v>0</v>
      </c>
      <c r="C584" s="915">
        <f>'House Count'!B584</f>
        <v>0</v>
      </c>
      <c r="D584" s="915">
        <f>'House Count'!C584</f>
        <v>0</v>
      </c>
      <c r="E584" s="915">
        <f>'House Count'!D584</f>
        <v>0</v>
      </c>
      <c r="F584" s="915" t="str">
        <f t="shared" si="9"/>
        <v/>
      </c>
      <c r="G584" s="915">
        <f>'House Count'!F584</f>
        <v>0</v>
      </c>
      <c r="H584" s="915">
        <f>'House Count'!H584</f>
        <v>0</v>
      </c>
    </row>
    <row r="585" spans="1:8" x14ac:dyDescent="0.25">
      <c r="A585" s="914">
        <f>'House Count'!A585</f>
        <v>0</v>
      </c>
      <c r="B585" s="915">
        <f>'House Count'!E585</f>
        <v>0</v>
      </c>
      <c r="C585" s="915">
        <f>'House Count'!B585</f>
        <v>0</v>
      </c>
      <c r="D585" s="915">
        <f>'House Count'!C585</f>
        <v>0</v>
      </c>
      <c r="E585" s="915">
        <f>'House Count'!D585</f>
        <v>0</v>
      </c>
      <c r="F585" s="915" t="str">
        <f t="shared" si="9"/>
        <v/>
      </c>
      <c r="G585" s="915">
        <f>'House Count'!F585</f>
        <v>0</v>
      </c>
      <c r="H585" s="915">
        <f>'House Count'!H585</f>
        <v>0</v>
      </c>
    </row>
    <row r="586" spans="1:8" x14ac:dyDescent="0.25">
      <c r="A586" s="914">
        <f>'House Count'!A586</f>
        <v>0</v>
      </c>
      <c r="B586" s="915">
        <f>'House Count'!E586</f>
        <v>0</v>
      </c>
      <c r="C586" s="915">
        <f>'House Count'!B586</f>
        <v>0</v>
      </c>
      <c r="D586" s="915">
        <f>'House Count'!C586</f>
        <v>0</v>
      </c>
      <c r="E586" s="915">
        <f>'House Count'!D586</f>
        <v>0</v>
      </c>
      <c r="F586" s="915" t="str">
        <f t="shared" si="9"/>
        <v/>
      </c>
      <c r="G586" s="915">
        <f>'House Count'!F586</f>
        <v>0</v>
      </c>
      <c r="H586" s="915">
        <f>'House Count'!H586</f>
        <v>0</v>
      </c>
    </row>
    <row r="587" spans="1:8" x14ac:dyDescent="0.25">
      <c r="A587" s="914">
        <f>'House Count'!A587</f>
        <v>0</v>
      </c>
      <c r="B587" s="915">
        <f>'House Count'!E587</f>
        <v>0</v>
      </c>
      <c r="C587" s="915">
        <f>'House Count'!B587</f>
        <v>0</v>
      </c>
      <c r="D587" s="915">
        <f>'House Count'!C587</f>
        <v>0</v>
      </c>
      <c r="E587" s="915">
        <f>'House Count'!D587</f>
        <v>0</v>
      </c>
      <c r="F587" s="915" t="str">
        <f t="shared" si="9"/>
        <v/>
      </c>
      <c r="G587" s="915">
        <f>'House Count'!F587</f>
        <v>0</v>
      </c>
      <c r="H587" s="915">
        <f>'House Count'!H587</f>
        <v>0</v>
      </c>
    </row>
    <row r="588" spans="1:8" x14ac:dyDescent="0.25">
      <c r="A588" s="914">
        <f>'House Count'!A588</f>
        <v>0</v>
      </c>
      <c r="B588" s="915">
        <f>'House Count'!E588</f>
        <v>0</v>
      </c>
      <c r="C588" s="915">
        <f>'House Count'!B588</f>
        <v>0</v>
      </c>
      <c r="D588" s="915">
        <f>'House Count'!C588</f>
        <v>0</v>
      </c>
      <c r="E588" s="915">
        <f>'House Count'!D588</f>
        <v>0</v>
      </c>
      <c r="F588" s="915" t="str">
        <f t="shared" si="9"/>
        <v/>
      </c>
      <c r="G588" s="915">
        <f>'House Count'!F588</f>
        <v>0</v>
      </c>
      <c r="H588" s="915">
        <f>'House Count'!H588</f>
        <v>0</v>
      </c>
    </row>
    <row r="589" spans="1:8" x14ac:dyDescent="0.25">
      <c r="A589" s="914">
        <f>'House Count'!A589</f>
        <v>0</v>
      </c>
      <c r="B589" s="915">
        <f>'House Count'!E589</f>
        <v>0</v>
      </c>
      <c r="C589" s="915">
        <f>'House Count'!B589</f>
        <v>0</v>
      </c>
      <c r="D589" s="915">
        <f>'House Count'!C589</f>
        <v>0</v>
      </c>
      <c r="E589" s="915">
        <f>'House Count'!D589</f>
        <v>0</v>
      </c>
      <c r="F589" s="915" t="str">
        <f t="shared" si="9"/>
        <v/>
      </c>
      <c r="G589" s="915">
        <f>'House Count'!F589</f>
        <v>0</v>
      </c>
      <c r="H589" s="915">
        <f>'House Count'!H589</f>
        <v>0</v>
      </c>
    </row>
    <row r="590" spans="1:8" x14ac:dyDescent="0.25">
      <c r="A590" s="914">
        <f>'House Count'!A590</f>
        <v>0</v>
      </c>
      <c r="B590" s="915">
        <f>'House Count'!E590</f>
        <v>0</v>
      </c>
      <c r="C590" s="915">
        <f>'House Count'!B590</f>
        <v>0</v>
      </c>
      <c r="D590" s="915">
        <f>'House Count'!C590</f>
        <v>0</v>
      </c>
      <c r="E590" s="915">
        <f>'House Count'!D590</f>
        <v>0</v>
      </c>
      <c r="F590" s="915" t="str">
        <f t="shared" si="9"/>
        <v/>
      </c>
      <c r="G590" s="915">
        <f>'House Count'!F590</f>
        <v>0</v>
      </c>
      <c r="H590" s="915">
        <f>'House Count'!H590</f>
        <v>0</v>
      </c>
    </row>
    <row r="591" spans="1:8" x14ac:dyDescent="0.25">
      <c r="A591" s="914">
        <f>'House Count'!A591</f>
        <v>0</v>
      </c>
      <c r="B591" s="915">
        <f>'House Count'!E591</f>
        <v>0</v>
      </c>
      <c r="C591" s="915">
        <f>'House Count'!B591</f>
        <v>0</v>
      </c>
      <c r="D591" s="915">
        <f>'House Count'!C591</f>
        <v>0</v>
      </c>
      <c r="E591" s="915">
        <f>'House Count'!D591</f>
        <v>0</v>
      </c>
      <c r="F591" s="915" t="str">
        <f t="shared" si="9"/>
        <v/>
      </c>
      <c r="G591" s="915">
        <f>'House Count'!F591</f>
        <v>0</v>
      </c>
      <c r="H591" s="915">
        <f>'House Count'!H591</f>
        <v>0</v>
      </c>
    </row>
    <row r="592" spans="1:8" x14ac:dyDescent="0.25">
      <c r="A592" s="914">
        <f>'House Count'!A592</f>
        <v>0</v>
      </c>
      <c r="B592" s="915">
        <f>'House Count'!E592</f>
        <v>0</v>
      </c>
      <c r="C592" s="915">
        <f>'House Count'!B592</f>
        <v>0</v>
      </c>
      <c r="D592" s="915">
        <f>'House Count'!C592</f>
        <v>0</v>
      </c>
      <c r="E592" s="915">
        <f>'House Count'!D592</f>
        <v>0</v>
      </c>
      <c r="F592" s="915" t="str">
        <f t="shared" si="9"/>
        <v/>
      </c>
      <c r="G592" s="915">
        <f>'House Count'!F592</f>
        <v>0</v>
      </c>
      <c r="H592" s="915">
        <f>'House Count'!H592</f>
        <v>0</v>
      </c>
    </row>
    <row r="593" spans="1:8" x14ac:dyDescent="0.25">
      <c r="A593" s="914">
        <f>'House Count'!A593</f>
        <v>0</v>
      </c>
      <c r="B593" s="915">
        <f>'House Count'!E593</f>
        <v>0</v>
      </c>
      <c r="C593" s="915">
        <f>'House Count'!B593</f>
        <v>0</v>
      </c>
      <c r="D593" s="915">
        <f>'House Count'!C593</f>
        <v>0</v>
      </c>
      <c r="E593" s="915">
        <f>'House Count'!D593</f>
        <v>0</v>
      </c>
      <c r="F593" s="915" t="str">
        <f t="shared" si="9"/>
        <v/>
      </c>
      <c r="G593" s="915">
        <f>'House Count'!F593</f>
        <v>0</v>
      </c>
      <c r="H593" s="915">
        <f>'House Count'!H593</f>
        <v>0</v>
      </c>
    </row>
    <row r="594" spans="1:8" x14ac:dyDescent="0.25">
      <c r="A594" s="914">
        <f>'House Count'!A594</f>
        <v>0</v>
      </c>
      <c r="B594" s="915">
        <f>'House Count'!E594</f>
        <v>0</v>
      </c>
      <c r="C594" s="915">
        <f>'House Count'!B594</f>
        <v>0</v>
      </c>
      <c r="D594" s="915">
        <f>'House Count'!C594</f>
        <v>0</v>
      </c>
      <c r="E594" s="915">
        <f>'House Count'!D594</f>
        <v>0</v>
      </c>
      <c r="F594" s="915" t="str">
        <f t="shared" si="9"/>
        <v/>
      </c>
      <c r="G594" s="915">
        <f>'House Count'!F594</f>
        <v>0</v>
      </c>
      <c r="H594" s="915">
        <f>'House Count'!H594</f>
        <v>0</v>
      </c>
    </row>
    <row r="595" spans="1:8" x14ac:dyDescent="0.25">
      <c r="A595" s="914">
        <f>'House Count'!A595</f>
        <v>0</v>
      </c>
      <c r="B595" s="915">
        <f>'House Count'!E595</f>
        <v>0</v>
      </c>
      <c r="C595" s="915">
        <f>'House Count'!B595</f>
        <v>0</v>
      </c>
      <c r="D595" s="915">
        <f>'House Count'!C595</f>
        <v>0</v>
      </c>
      <c r="E595" s="915">
        <f>'House Count'!D595</f>
        <v>0</v>
      </c>
      <c r="F595" s="915" t="str">
        <f t="shared" si="9"/>
        <v/>
      </c>
      <c r="G595" s="915">
        <f>'House Count'!F595</f>
        <v>0</v>
      </c>
      <c r="H595" s="915">
        <f>'House Count'!H595</f>
        <v>0</v>
      </c>
    </row>
    <row r="596" spans="1:8" x14ac:dyDescent="0.25">
      <c r="A596" s="914">
        <f>'House Count'!A596</f>
        <v>0</v>
      </c>
      <c r="B596" s="915">
        <f>'House Count'!E596</f>
        <v>0</v>
      </c>
      <c r="C596" s="915">
        <f>'House Count'!B596</f>
        <v>0</v>
      </c>
      <c r="D596" s="915">
        <f>'House Count'!C596</f>
        <v>0</v>
      </c>
      <c r="E596" s="915">
        <f>'House Count'!D596</f>
        <v>0</v>
      </c>
      <c r="F596" s="915" t="str">
        <f t="shared" si="9"/>
        <v/>
      </c>
      <c r="G596" s="915">
        <f>'House Count'!F596</f>
        <v>0</v>
      </c>
      <c r="H596" s="915">
        <f>'House Count'!H596</f>
        <v>0</v>
      </c>
    </row>
    <row r="597" spans="1:8" x14ac:dyDescent="0.25">
      <c r="A597" s="914">
        <f>'House Count'!A597</f>
        <v>0</v>
      </c>
      <c r="B597" s="915">
        <f>'House Count'!E597</f>
        <v>0</v>
      </c>
      <c r="C597" s="915">
        <f>'House Count'!B597</f>
        <v>0</v>
      </c>
      <c r="D597" s="915">
        <f>'House Count'!C597</f>
        <v>0</v>
      </c>
      <c r="E597" s="915">
        <f>'House Count'!D597</f>
        <v>0</v>
      </c>
      <c r="F597" s="915" t="str">
        <f t="shared" si="9"/>
        <v/>
      </c>
      <c r="G597" s="915">
        <f>'House Count'!F597</f>
        <v>0</v>
      </c>
      <c r="H597" s="915">
        <f>'House Count'!H597</f>
        <v>0</v>
      </c>
    </row>
    <row r="598" spans="1:8" x14ac:dyDescent="0.25">
      <c r="A598" s="914">
        <f>'House Count'!A598</f>
        <v>0</v>
      </c>
      <c r="B598" s="915">
        <f>'House Count'!E598</f>
        <v>0</v>
      </c>
      <c r="C598" s="915">
        <f>'House Count'!B598</f>
        <v>0</v>
      </c>
      <c r="D598" s="915">
        <f>'House Count'!C598</f>
        <v>0</v>
      </c>
      <c r="E598" s="915">
        <f>'House Count'!D598</f>
        <v>0</v>
      </c>
      <c r="F598" s="915" t="str">
        <f t="shared" si="9"/>
        <v/>
      </c>
      <c r="G598" s="915">
        <f>'House Count'!F598</f>
        <v>0</v>
      </c>
      <c r="H598" s="915">
        <f>'House Count'!H598</f>
        <v>0</v>
      </c>
    </row>
    <row r="599" spans="1:8" x14ac:dyDescent="0.25">
      <c r="A599" s="914">
        <f>'House Count'!A599</f>
        <v>0</v>
      </c>
      <c r="B599" s="915">
        <f>'House Count'!E599</f>
        <v>0</v>
      </c>
      <c r="C599" s="915">
        <f>'House Count'!B599</f>
        <v>0</v>
      </c>
      <c r="D599" s="915">
        <f>'House Count'!C599</f>
        <v>0</v>
      </c>
      <c r="E599" s="915">
        <f>'House Count'!D599</f>
        <v>0</v>
      </c>
      <c r="F599" s="915" t="str">
        <f t="shared" si="9"/>
        <v/>
      </c>
      <c r="G599" s="915">
        <f>'House Count'!F599</f>
        <v>0</v>
      </c>
      <c r="H599" s="915">
        <f>'House Count'!H599</f>
        <v>0</v>
      </c>
    </row>
    <row r="600" spans="1:8" x14ac:dyDescent="0.25">
      <c r="A600" s="914">
        <f>'House Count'!A600</f>
        <v>0</v>
      </c>
      <c r="B600" s="915">
        <f>'House Count'!E600</f>
        <v>0</v>
      </c>
      <c r="C600" s="915">
        <f>'House Count'!B600</f>
        <v>0</v>
      </c>
      <c r="D600" s="915">
        <f>'House Count'!C600</f>
        <v>0</v>
      </c>
      <c r="E600" s="915">
        <f>'House Count'!D600</f>
        <v>0</v>
      </c>
      <c r="F600" s="915" t="str">
        <f t="shared" si="9"/>
        <v/>
      </c>
      <c r="G600" s="915">
        <f>'House Count'!F600</f>
        <v>0</v>
      </c>
      <c r="H600" s="915">
        <f>'House Count'!H600</f>
        <v>0</v>
      </c>
    </row>
    <row r="601" spans="1:8" x14ac:dyDescent="0.25">
      <c r="A601" s="914">
        <f>'House Count'!A601</f>
        <v>0</v>
      </c>
      <c r="B601" s="915">
        <f>'House Count'!E601</f>
        <v>0</v>
      </c>
      <c r="C601" s="915">
        <f>'House Count'!B601</f>
        <v>0</v>
      </c>
      <c r="D601" s="915">
        <f>'House Count'!C601</f>
        <v>0</v>
      </c>
      <c r="E601" s="915">
        <f>'House Count'!D601</f>
        <v>0</v>
      </c>
      <c r="F601" s="915" t="str">
        <f t="shared" si="9"/>
        <v/>
      </c>
      <c r="G601" s="915">
        <f>'House Count'!F601</f>
        <v>0</v>
      </c>
      <c r="H601" s="915">
        <f>'House Count'!H601</f>
        <v>0</v>
      </c>
    </row>
    <row r="602" spans="1:8" x14ac:dyDescent="0.25">
      <c r="A602" s="914">
        <f>'House Count'!A602</f>
        <v>0</v>
      </c>
      <c r="B602" s="915">
        <f>'House Count'!E602</f>
        <v>0</v>
      </c>
      <c r="C602" s="915">
        <f>'House Count'!B602</f>
        <v>0</v>
      </c>
      <c r="D602" s="915">
        <f>'House Count'!C602</f>
        <v>0</v>
      </c>
      <c r="E602" s="915">
        <f>'House Count'!D602</f>
        <v>0</v>
      </c>
      <c r="F602" s="915" t="str">
        <f t="shared" si="9"/>
        <v/>
      </c>
      <c r="G602" s="915">
        <f>'House Count'!F602</f>
        <v>0</v>
      </c>
      <c r="H602" s="915">
        <f>'House Count'!H602</f>
        <v>0</v>
      </c>
    </row>
    <row r="603" spans="1:8" x14ac:dyDescent="0.25">
      <c r="A603" s="914">
        <f>'House Count'!A603</f>
        <v>0</v>
      </c>
      <c r="B603" s="915">
        <f>'House Count'!E603</f>
        <v>0</v>
      </c>
      <c r="C603" s="915">
        <f>'House Count'!B603</f>
        <v>0</v>
      </c>
      <c r="D603" s="915">
        <f>'House Count'!C603</f>
        <v>0</v>
      </c>
      <c r="E603" s="915">
        <f>'House Count'!D603</f>
        <v>0</v>
      </c>
      <c r="F603" s="915" t="str">
        <f t="shared" si="9"/>
        <v/>
      </c>
      <c r="G603" s="915">
        <f>'House Count'!F603</f>
        <v>0</v>
      </c>
      <c r="H603" s="915">
        <f>'House Count'!H603</f>
        <v>0</v>
      </c>
    </row>
    <row r="604" spans="1:8" x14ac:dyDescent="0.25">
      <c r="A604" s="914">
        <f>'House Count'!A604</f>
        <v>0</v>
      </c>
      <c r="B604" s="915">
        <f>'House Count'!E604</f>
        <v>0</v>
      </c>
      <c r="C604" s="915">
        <f>'House Count'!B604</f>
        <v>0</v>
      </c>
      <c r="D604" s="915">
        <f>'House Count'!C604</f>
        <v>0</v>
      </c>
      <c r="E604" s="915">
        <f>'House Count'!D604</f>
        <v>0</v>
      </c>
      <c r="F604" s="915" t="str">
        <f t="shared" si="9"/>
        <v/>
      </c>
      <c r="G604" s="915">
        <f>'House Count'!F604</f>
        <v>0</v>
      </c>
      <c r="H604" s="915">
        <f>'House Count'!H604</f>
        <v>0</v>
      </c>
    </row>
    <row r="605" spans="1:8" x14ac:dyDescent="0.25">
      <c r="A605" s="914">
        <f>'House Count'!A605</f>
        <v>0</v>
      </c>
      <c r="B605" s="915">
        <f>'House Count'!E605</f>
        <v>0</v>
      </c>
      <c r="C605" s="915">
        <f>'House Count'!B605</f>
        <v>0</v>
      </c>
      <c r="D605" s="915">
        <f>'House Count'!C605</f>
        <v>0</v>
      </c>
      <c r="E605" s="915">
        <f>'House Count'!D605</f>
        <v>0</v>
      </c>
      <c r="F605" s="915" t="str">
        <f t="shared" si="9"/>
        <v/>
      </c>
      <c r="G605" s="915">
        <f>'House Count'!F605</f>
        <v>0</v>
      </c>
      <c r="H605" s="915">
        <f>'House Count'!H605</f>
        <v>0</v>
      </c>
    </row>
    <row r="606" spans="1:8" x14ac:dyDescent="0.25">
      <c r="A606" s="914">
        <f>'House Count'!A606</f>
        <v>0</v>
      </c>
      <c r="B606" s="915">
        <f>'House Count'!E606</f>
        <v>0</v>
      </c>
      <c r="C606" s="915">
        <f>'House Count'!B606</f>
        <v>0</v>
      </c>
      <c r="D606" s="915">
        <f>'House Count'!C606</f>
        <v>0</v>
      </c>
      <c r="E606" s="915">
        <f>'House Count'!D606</f>
        <v>0</v>
      </c>
      <c r="F606" s="915" t="str">
        <f t="shared" si="9"/>
        <v/>
      </c>
      <c r="G606" s="915">
        <f>'House Count'!F606</f>
        <v>0</v>
      </c>
      <c r="H606" s="915">
        <f>'House Count'!H606</f>
        <v>0</v>
      </c>
    </row>
    <row r="607" spans="1:8" x14ac:dyDescent="0.25">
      <c r="A607" s="914">
        <f>'House Count'!A607</f>
        <v>0</v>
      </c>
      <c r="B607" s="915">
        <f>'House Count'!E607</f>
        <v>0</v>
      </c>
      <c r="C607" s="915">
        <f>'House Count'!B607</f>
        <v>0</v>
      </c>
      <c r="D607" s="915">
        <f>'House Count'!C607</f>
        <v>0</v>
      </c>
      <c r="E607" s="915">
        <f>'House Count'!D607</f>
        <v>0</v>
      </c>
      <c r="F607" s="915" t="str">
        <f t="shared" si="9"/>
        <v/>
      </c>
      <c r="G607" s="915">
        <f>'House Count'!F607</f>
        <v>0</v>
      </c>
      <c r="H607" s="915">
        <f>'House Count'!H607</f>
        <v>0</v>
      </c>
    </row>
    <row r="608" spans="1:8" x14ac:dyDescent="0.25">
      <c r="A608" s="914">
        <f>'House Count'!A608</f>
        <v>0</v>
      </c>
      <c r="B608" s="915">
        <f>'House Count'!E608</f>
        <v>0</v>
      </c>
      <c r="C608" s="915">
        <f>'House Count'!B608</f>
        <v>0</v>
      </c>
      <c r="D608" s="915">
        <f>'House Count'!C608</f>
        <v>0</v>
      </c>
      <c r="E608" s="915">
        <f>'House Count'!D608</f>
        <v>0</v>
      </c>
      <c r="F608" s="915" t="str">
        <f t="shared" si="9"/>
        <v/>
      </c>
      <c r="G608" s="915">
        <f>'House Count'!F608</f>
        <v>0</v>
      </c>
      <c r="H608" s="915">
        <f>'House Count'!H608</f>
        <v>0</v>
      </c>
    </row>
    <row r="609" spans="1:8" x14ac:dyDescent="0.25">
      <c r="A609" s="914">
        <f>'House Count'!A609</f>
        <v>0</v>
      </c>
      <c r="B609" s="915">
        <f>'House Count'!E609</f>
        <v>0</v>
      </c>
      <c r="C609" s="915">
        <f>'House Count'!B609</f>
        <v>0</v>
      </c>
      <c r="D609" s="915">
        <f>'House Count'!C609</f>
        <v>0</v>
      </c>
      <c r="E609" s="915">
        <f>'House Count'!D609</f>
        <v>0</v>
      </c>
      <c r="F609" s="915" t="str">
        <f t="shared" si="9"/>
        <v/>
      </c>
      <c r="G609" s="915">
        <f>'House Count'!F609</f>
        <v>0</v>
      </c>
      <c r="H609" s="915">
        <f>'House Count'!H609</f>
        <v>0</v>
      </c>
    </row>
    <row r="610" spans="1:8" x14ac:dyDescent="0.25">
      <c r="A610" s="914">
        <f>'House Count'!A610</f>
        <v>0</v>
      </c>
      <c r="B610" s="915">
        <f>'House Count'!E610</f>
        <v>0</v>
      </c>
      <c r="C610" s="915">
        <f>'House Count'!B610</f>
        <v>0</v>
      </c>
      <c r="D610" s="915">
        <f>'House Count'!C610</f>
        <v>0</v>
      </c>
      <c r="E610" s="915">
        <f>'House Count'!D610</f>
        <v>0</v>
      </c>
      <c r="F610" s="915" t="str">
        <f t="shared" si="9"/>
        <v/>
      </c>
      <c r="G610" s="915">
        <f>'House Count'!F610</f>
        <v>0</v>
      </c>
      <c r="H610" s="915">
        <f>'House Count'!H610</f>
        <v>0</v>
      </c>
    </row>
    <row r="611" spans="1:8" x14ac:dyDescent="0.25">
      <c r="A611" s="914">
        <f>'House Count'!A611</f>
        <v>0</v>
      </c>
      <c r="B611" s="915">
        <f>'House Count'!E611</f>
        <v>0</v>
      </c>
      <c r="C611" s="915">
        <f>'House Count'!B611</f>
        <v>0</v>
      </c>
      <c r="D611" s="915">
        <f>'House Count'!C611</f>
        <v>0</v>
      </c>
      <c r="E611" s="915">
        <f>'House Count'!D611</f>
        <v>0</v>
      </c>
      <c r="F611" s="915" t="str">
        <f t="shared" si="9"/>
        <v/>
      </c>
      <c r="G611" s="915">
        <f>'House Count'!F611</f>
        <v>0</v>
      </c>
      <c r="H611" s="915">
        <f>'House Count'!H611</f>
        <v>0</v>
      </c>
    </row>
    <row r="612" spans="1:8" x14ac:dyDescent="0.25">
      <c r="A612" s="914">
        <f>'House Count'!A612</f>
        <v>0</v>
      </c>
      <c r="B612" s="915">
        <f>'House Count'!E612</f>
        <v>0</v>
      </c>
      <c r="C612" s="915">
        <f>'House Count'!B612</f>
        <v>0</v>
      </c>
      <c r="D612" s="915">
        <f>'House Count'!C612</f>
        <v>0</v>
      </c>
      <c r="E612" s="915">
        <f>'House Count'!D612</f>
        <v>0</v>
      </c>
      <c r="F612" s="915" t="str">
        <f t="shared" si="9"/>
        <v/>
      </c>
      <c r="G612" s="915">
        <f>'House Count'!F612</f>
        <v>0</v>
      </c>
      <c r="H612" s="915">
        <f>'House Count'!H612</f>
        <v>0</v>
      </c>
    </row>
    <row r="613" spans="1:8" x14ac:dyDescent="0.25">
      <c r="A613" s="914">
        <f>'House Count'!A613</f>
        <v>0</v>
      </c>
      <c r="B613" s="915">
        <f>'House Count'!E613</f>
        <v>0</v>
      </c>
      <c r="C613" s="915">
        <f>'House Count'!B613</f>
        <v>0</v>
      </c>
      <c r="D613" s="915">
        <f>'House Count'!C613</f>
        <v>0</v>
      </c>
      <c r="E613" s="915">
        <f>'House Count'!D613</f>
        <v>0</v>
      </c>
      <c r="F613" s="915" t="str">
        <f t="shared" si="9"/>
        <v/>
      </c>
      <c r="G613" s="915">
        <f>'House Count'!F613</f>
        <v>0</v>
      </c>
      <c r="H613" s="915">
        <f>'House Count'!H613</f>
        <v>0</v>
      </c>
    </row>
    <row r="614" spans="1:8" x14ac:dyDescent="0.25">
      <c r="A614" s="914">
        <f>'House Count'!A614</f>
        <v>0</v>
      </c>
      <c r="B614" s="915">
        <f>'House Count'!E614</f>
        <v>0</v>
      </c>
      <c r="C614" s="915">
        <f>'House Count'!B614</f>
        <v>0</v>
      </c>
      <c r="D614" s="915">
        <f>'House Count'!C614</f>
        <v>0</v>
      </c>
      <c r="E614" s="915">
        <f>'House Count'!D614</f>
        <v>0</v>
      </c>
      <c r="F614" s="915" t="str">
        <f t="shared" si="9"/>
        <v/>
      </c>
      <c r="G614" s="915">
        <f>'House Count'!F614</f>
        <v>0</v>
      </c>
      <c r="H614" s="915">
        <f>'House Count'!H614</f>
        <v>0</v>
      </c>
    </row>
    <row r="615" spans="1:8" x14ac:dyDescent="0.25">
      <c r="A615" s="914">
        <f>'House Count'!A615</f>
        <v>0</v>
      </c>
      <c r="B615" s="915">
        <f>'House Count'!E615</f>
        <v>0</v>
      </c>
      <c r="C615" s="915">
        <f>'House Count'!B615</f>
        <v>0</v>
      </c>
      <c r="D615" s="915">
        <f>'House Count'!C615</f>
        <v>0</v>
      </c>
      <c r="E615" s="915">
        <f>'House Count'!D615</f>
        <v>0</v>
      </c>
      <c r="F615" s="915" t="str">
        <f t="shared" si="9"/>
        <v/>
      </c>
      <c r="G615" s="915">
        <f>'House Count'!F615</f>
        <v>0</v>
      </c>
      <c r="H615" s="915">
        <f>'House Count'!H615</f>
        <v>0</v>
      </c>
    </row>
    <row r="616" spans="1:8" x14ac:dyDescent="0.25">
      <c r="A616" s="914">
        <f>'House Count'!A616</f>
        <v>0</v>
      </c>
      <c r="B616" s="915">
        <f>'House Count'!E616</f>
        <v>0</v>
      </c>
      <c r="C616" s="915">
        <f>'House Count'!B616</f>
        <v>0</v>
      </c>
      <c r="D616" s="915">
        <f>'House Count'!C616</f>
        <v>0</v>
      </c>
      <c r="E616" s="915">
        <f>'House Count'!D616</f>
        <v>0</v>
      </c>
      <c r="F616" s="915" t="str">
        <f t="shared" si="9"/>
        <v/>
      </c>
      <c r="G616" s="915">
        <f>'House Count'!F616</f>
        <v>0</v>
      </c>
      <c r="H616" s="915">
        <f>'House Count'!H616</f>
        <v>0</v>
      </c>
    </row>
    <row r="617" spans="1:8" x14ac:dyDescent="0.25">
      <c r="A617" s="914">
        <f>'House Count'!A617</f>
        <v>0</v>
      </c>
      <c r="B617" s="915">
        <f>'House Count'!E617</f>
        <v>0</v>
      </c>
      <c r="C617" s="915">
        <f>'House Count'!B617</f>
        <v>0</v>
      </c>
      <c r="D617" s="915">
        <f>'House Count'!C617</f>
        <v>0</v>
      </c>
      <c r="E617" s="915">
        <f>'House Count'!D617</f>
        <v>0</v>
      </c>
      <c r="F617" s="915" t="str">
        <f t="shared" si="9"/>
        <v/>
      </c>
      <c r="G617" s="915">
        <f>'House Count'!F617</f>
        <v>0</v>
      </c>
      <c r="H617" s="915">
        <f>'House Count'!H617</f>
        <v>0</v>
      </c>
    </row>
    <row r="618" spans="1:8" x14ac:dyDescent="0.25">
      <c r="A618" s="914">
        <f>'House Count'!A618</f>
        <v>0</v>
      </c>
      <c r="B618" s="915">
        <f>'House Count'!E618</f>
        <v>0</v>
      </c>
      <c r="C618" s="915">
        <f>'House Count'!B618</f>
        <v>0</v>
      </c>
      <c r="D618" s="915">
        <f>'House Count'!C618</f>
        <v>0</v>
      </c>
      <c r="E618" s="915">
        <f>'House Count'!D618</f>
        <v>0</v>
      </c>
      <c r="F618" s="915" t="str">
        <f t="shared" si="9"/>
        <v/>
      </c>
      <c r="G618" s="915">
        <f>'House Count'!F618</f>
        <v>0</v>
      </c>
      <c r="H618" s="915">
        <f>'House Count'!H618</f>
        <v>0</v>
      </c>
    </row>
    <row r="619" spans="1:8" x14ac:dyDescent="0.25">
      <c r="A619" s="914">
        <f>'House Count'!A619</f>
        <v>0</v>
      </c>
      <c r="B619" s="915">
        <f>'House Count'!E619</f>
        <v>0</v>
      </c>
      <c r="C619" s="915">
        <f>'House Count'!B619</f>
        <v>0</v>
      </c>
      <c r="D619" s="915">
        <f>'House Count'!C619</f>
        <v>0</v>
      </c>
      <c r="E619" s="915">
        <f>'House Count'!D619</f>
        <v>0</v>
      </c>
      <c r="F619" s="915" t="str">
        <f t="shared" si="9"/>
        <v/>
      </c>
      <c r="G619" s="915">
        <f>'House Count'!F619</f>
        <v>0</v>
      </c>
      <c r="H619" s="915">
        <f>'House Count'!H619</f>
        <v>0</v>
      </c>
    </row>
    <row r="620" spans="1:8" x14ac:dyDescent="0.25">
      <c r="A620" s="914">
        <f>'House Count'!A620</f>
        <v>0</v>
      </c>
      <c r="B620" s="915">
        <f>'House Count'!E620</f>
        <v>0</v>
      </c>
      <c r="C620" s="915">
        <f>'House Count'!B620</f>
        <v>0</v>
      </c>
      <c r="D620" s="915">
        <f>'House Count'!C620</f>
        <v>0</v>
      </c>
      <c r="E620" s="915">
        <f>'House Count'!D620</f>
        <v>0</v>
      </c>
      <c r="F620" s="915" t="str">
        <f t="shared" si="9"/>
        <v/>
      </c>
      <c r="G620" s="915">
        <f>'House Count'!F620</f>
        <v>0</v>
      </c>
      <c r="H620" s="915">
        <f>'House Count'!H620</f>
        <v>0</v>
      </c>
    </row>
    <row r="621" spans="1:8" x14ac:dyDescent="0.25">
      <c r="A621" s="914">
        <f>'House Count'!A621</f>
        <v>0</v>
      </c>
      <c r="B621" s="915">
        <f>'House Count'!E621</f>
        <v>0</v>
      </c>
      <c r="C621" s="915">
        <f>'House Count'!B621</f>
        <v>0</v>
      </c>
      <c r="D621" s="915">
        <f>'House Count'!C621</f>
        <v>0</v>
      </c>
      <c r="E621" s="915">
        <f>'House Count'!D621</f>
        <v>0</v>
      </c>
      <c r="F621" s="915" t="str">
        <f t="shared" si="9"/>
        <v/>
      </c>
      <c r="G621" s="915">
        <f>'House Count'!F621</f>
        <v>0</v>
      </c>
      <c r="H621" s="915">
        <f>'House Count'!H621</f>
        <v>0</v>
      </c>
    </row>
    <row r="622" spans="1:8" x14ac:dyDescent="0.25">
      <c r="A622" s="914">
        <f>'House Count'!A622</f>
        <v>0</v>
      </c>
      <c r="B622" s="915">
        <f>'House Count'!E622</f>
        <v>0</v>
      </c>
      <c r="C622" s="915">
        <f>'House Count'!B622</f>
        <v>0</v>
      </c>
      <c r="D622" s="915">
        <f>'House Count'!C622</f>
        <v>0</v>
      </c>
      <c r="E622" s="915">
        <f>'House Count'!D622</f>
        <v>0</v>
      </c>
      <c r="F622" s="915" t="str">
        <f t="shared" si="9"/>
        <v/>
      </c>
      <c r="G622" s="915">
        <f>'House Count'!F622</f>
        <v>0</v>
      </c>
      <c r="H622" s="915">
        <f>'House Count'!H622</f>
        <v>0</v>
      </c>
    </row>
    <row r="623" spans="1:8" x14ac:dyDescent="0.25">
      <c r="A623" s="914">
        <f>'House Count'!A623</f>
        <v>0</v>
      </c>
      <c r="B623" s="915">
        <f>'House Count'!E623</f>
        <v>0</v>
      </c>
      <c r="C623" s="915">
        <f>'House Count'!B623</f>
        <v>0</v>
      </c>
      <c r="D623" s="915">
        <f>'House Count'!C623</f>
        <v>0</v>
      </c>
      <c r="E623" s="915">
        <f>'House Count'!D623</f>
        <v>0</v>
      </c>
      <c r="F623" s="915" t="str">
        <f t="shared" si="9"/>
        <v/>
      </c>
      <c r="G623" s="915">
        <f>'House Count'!F623</f>
        <v>0</v>
      </c>
      <c r="H623" s="915">
        <f>'House Count'!H623</f>
        <v>0</v>
      </c>
    </row>
    <row r="624" spans="1:8" x14ac:dyDescent="0.25">
      <c r="A624" s="914">
        <f>'House Count'!A624</f>
        <v>0</v>
      </c>
      <c r="B624" s="915">
        <f>'House Count'!E624</f>
        <v>0</v>
      </c>
      <c r="C624" s="915">
        <f>'House Count'!B624</f>
        <v>0</v>
      </c>
      <c r="D624" s="915">
        <f>'House Count'!C624</f>
        <v>0</v>
      </c>
      <c r="E624" s="915">
        <f>'House Count'!D624</f>
        <v>0</v>
      </c>
      <c r="F624" s="915" t="str">
        <f t="shared" si="9"/>
        <v/>
      </c>
      <c r="G624" s="915">
        <f>'House Count'!F624</f>
        <v>0</v>
      </c>
      <c r="H624" s="915">
        <f>'House Count'!H624</f>
        <v>0</v>
      </c>
    </row>
    <row r="625" spans="1:8" x14ac:dyDescent="0.25">
      <c r="A625" s="914">
        <f>'House Count'!A625</f>
        <v>0</v>
      </c>
      <c r="B625" s="915">
        <f>'House Count'!E625</f>
        <v>0</v>
      </c>
      <c r="C625" s="915">
        <f>'House Count'!B625</f>
        <v>0</v>
      </c>
      <c r="D625" s="915">
        <f>'House Count'!C625</f>
        <v>0</v>
      </c>
      <c r="E625" s="915">
        <f>'House Count'!D625</f>
        <v>0</v>
      </c>
      <c r="F625" s="915" t="str">
        <f t="shared" si="9"/>
        <v/>
      </c>
      <c r="G625" s="915">
        <f>'House Count'!F625</f>
        <v>0</v>
      </c>
      <c r="H625" s="915">
        <f>'House Count'!H625</f>
        <v>0</v>
      </c>
    </row>
    <row r="626" spans="1:8" x14ac:dyDescent="0.25">
      <c r="A626" s="914">
        <f>'House Count'!A626</f>
        <v>0</v>
      </c>
      <c r="B626" s="915">
        <f>'House Count'!E626</f>
        <v>0</v>
      </c>
      <c r="C626" s="915">
        <f>'House Count'!B626</f>
        <v>0</v>
      </c>
      <c r="D626" s="915">
        <f>'House Count'!C626</f>
        <v>0</v>
      </c>
      <c r="E626" s="915">
        <f>'House Count'!D626</f>
        <v>0</v>
      </c>
      <c r="F626" s="915" t="str">
        <f t="shared" si="9"/>
        <v/>
      </c>
      <c r="G626" s="915">
        <f>'House Count'!F626</f>
        <v>0</v>
      </c>
      <c r="H626" s="915">
        <f>'House Count'!H626</f>
        <v>0</v>
      </c>
    </row>
    <row r="627" spans="1:8" x14ac:dyDescent="0.25">
      <c r="A627" s="914">
        <f>'House Count'!A627</f>
        <v>0</v>
      </c>
      <c r="B627" s="915">
        <f>'House Count'!E627</f>
        <v>0</v>
      </c>
      <c r="C627" s="915">
        <f>'House Count'!B627</f>
        <v>0</v>
      </c>
      <c r="D627" s="915">
        <f>'House Count'!C627</f>
        <v>0</v>
      </c>
      <c r="E627" s="915">
        <f>'House Count'!D627</f>
        <v>0</v>
      </c>
      <c r="F627" s="915" t="str">
        <f t="shared" si="9"/>
        <v/>
      </c>
      <c r="G627" s="915">
        <f>'House Count'!F627</f>
        <v>0</v>
      </c>
      <c r="H627" s="915">
        <f>'House Count'!H627</f>
        <v>0</v>
      </c>
    </row>
    <row r="628" spans="1:8" x14ac:dyDescent="0.25">
      <c r="A628" s="914">
        <f>'House Count'!A628</f>
        <v>0</v>
      </c>
      <c r="B628" s="915">
        <f>'House Count'!E628</f>
        <v>0</v>
      </c>
      <c r="C628" s="915">
        <f>'House Count'!B628</f>
        <v>0</v>
      </c>
      <c r="D628" s="915">
        <f>'House Count'!C628</f>
        <v>0</v>
      </c>
      <c r="E628" s="915">
        <f>'House Count'!D628</f>
        <v>0</v>
      </c>
      <c r="F628" s="915" t="str">
        <f t="shared" si="9"/>
        <v/>
      </c>
      <c r="G628" s="915">
        <f>'House Count'!F628</f>
        <v>0</v>
      </c>
      <c r="H628" s="915">
        <f>'House Count'!H628</f>
        <v>0</v>
      </c>
    </row>
    <row r="629" spans="1:8" x14ac:dyDescent="0.25">
      <c r="A629" s="914">
        <f>'House Count'!A629</f>
        <v>0</v>
      </c>
      <c r="B629" s="915">
        <f>'House Count'!E629</f>
        <v>0</v>
      </c>
      <c r="C629" s="915">
        <f>'House Count'!B629</f>
        <v>0</v>
      </c>
      <c r="D629" s="915">
        <f>'House Count'!C629</f>
        <v>0</v>
      </c>
      <c r="E629" s="915">
        <f>'House Count'!D629</f>
        <v>0</v>
      </c>
      <c r="F629" s="915" t="str">
        <f t="shared" si="9"/>
        <v/>
      </c>
      <c r="G629" s="915">
        <f>'House Count'!F629</f>
        <v>0</v>
      </c>
      <c r="H629" s="915">
        <f>'House Count'!H629</f>
        <v>0</v>
      </c>
    </row>
    <row r="630" spans="1:8" x14ac:dyDescent="0.25">
      <c r="A630" s="914">
        <f>'House Count'!A630</f>
        <v>0</v>
      </c>
      <c r="B630" s="915">
        <f>'House Count'!E630</f>
        <v>0</v>
      </c>
      <c r="C630" s="915">
        <f>'House Count'!B630</f>
        <v>0</v>
      </c>
      <c r="D630" s="915">
        <f>'House Count'!C630</f>
        <v>0</v>
      </c>
      <c r="E630" s="915">
        <f>'House Count'!D630</f>
        <v>0</v>
      </c>
      <c r="F630" s="915" t="str">
        <f t="shared" si="9"/>
        <v/>
      </c>
      <c r="G630" s="915">
        <f>'House Count'!F630</f>
        <v>0</v>
      </c>
      <c r="H630" s="915">
        <f>'House Count'!H630</f>
        <v>0</v>
      </c>
    </row>
    <row r="631" spans="1:8" x14ac:dyDescent="0.25">
      <c r="A631" s="914">
        <f>'House Count'!A631</f>
        <v>0</v>
      </c>
      <c r="B631" s="915">
        <f>'House Count'!E631</f>
        <v>0</v>
      </c>
      <c r="C631" s="915">
        <f>'House Count'!B631</f>
        <v>0</v>
      </c>
      <c r="D631" s="915">
        <f>'House Count'!C631</f>
        <v>0</v>
      </c>
      <c r="E631" s="915">
        <f>'House Count'!D631</f>
        <v>0</v>
      </c>
      <c r="F631" s="915" t="str">
        <f t="shared" si="9"/>
        <v/>
      </c>
      <c r="G631" s="915">
        <f>'House Count'!F631</f>
        <v>0</v>
      </c>
      <c r="H631" s="915">
        <f>'House Count'!H631</f>
        <v>0</v>
      </c>
    </row>
    <row r="632" spans="1:8" x14ac:dyDescent="0.25">
      <c r="A632" s="914">
        <f>'House Count'!A632</f>
        <v>0</v>
      </c>
      <c r="B632" s="915">
        <f>'House Count'!E632</f>
        <v>0</v>
      </c>
      <c r="C632" s="915">
        <f>'House Count'!B632</f>
        <v>0</v>
      </c>
      <c r="D632" s="915">
        <f>'House Count'!C632</f>
        <v>0</v>
      </c>
      <c r="E632" s="915">
        <f>'House Count'!D632</f>
        <v>0</v>
      </c>
      <c r="F632" s="915" t="str">
        <f t="shared" si="9"/>
        <v/>
      </c>
      <c r="G632" s="915">
        <f>'House Count'!F632</f>
        <v>0</v>
      </c>
      <c r="H632" s="915">
        <f>'House Count'!H632</f>
        <v>0</v>
      </c>
    </row>
    <row r="633" spans="1:8" x14ac:dyDescent="0.25">
      <c r="A633" s="914">
        <f>'House Count'!A633</f>
        <v>0</v>
      </c>
      <c r="B633" s="915">
        <f>'House Count'!E633</f>
        <v>0</v>
      </c>
      <c r="C633" s="915">
        <f>'House Count'!B633</f>
        <v>0</v>
      </c>
      <c r="D633" s="915">
        <f>'House Count'!C633</f>
        <v>0</v>
      </c>
      <c r="E633" s="915">
        <f>'House Count'!D633</f>
        <v>0</v>
      </c>
      <c r="F633" s="915" t="str">
        <f t="shared" si="9"/>
        <v/>
      </c>
      <c r="G633" s="915">
        <f>'House Count'!F633</f>
        <v>0</v>
      </c>
      <c r="H633" s="915">
        <f>'House Count'!H633</f>
        <v>0</v>
      </c>
    </row>
    <row r="634" spans="1:8" x14ac:dyDescent="0.25">
      <c r="A634" s="914">
        <f>'House Count'!A634</f>
        <v>0</v>
      </c>
      <c r="B634" s="915">
        <f>'House Count'!E634</f>
        <v>0</v>
      </c>
      <c r="C634" s="915">
        <f>'House Count'!B634</f>
        <v>0</v>
      </c>
      <c r="D634" s="915">
        <f>'House Count'!C634</f>
        <v>0</v>
      </c>
      <c r="E634" s="915">
        <f>'House Count'!D634</f>
        <v>0</v>
      </c>
      <c r="F634" s="915" t="str">
        <f t="shared" si="9"/>
        <v/>
      </c>
      <c r="G634" s="915">
        <f>'House Count'!F634</f>
        <v>0</v>
      </c>
      <c r="H634" s="915">
        <f>'House Count'!H634</f>
        <v>0</v>
      </c>
    </row>
    <row r="635" spans="1:8" x14ac:dyDescent="0.25">
      <c r="A635" s="914">
        <f>'House Count'!A635</f>
        <v>0</v>
      </c>
      <c r="B635" s="915">
        <f>'House Count'!E635</f>
        <v>0</v>
      </c>
      <c r="C635" s="915">
        <f>'House Count'!B635</f>
        <v>0</v>
      </c>
      <c r="D635" s="915">
        <f>'House Count'!C635</f>
        <v>0</v>
      </c>
      <c r="E635" s="915">
        <f>'House Count'!D635</f>
        <v>0</v>
      </c>
      <c r="F635" s="915" t="str">
        <f t="shared" si="9"/>
        <v/>
      </c>
      <c r="G635" s="915">
        <f>'House Count'!F635</f>
        <v>0</v>
      </c>
      <c r="H635" s="915">
        <f>'House Count'!H635</f>
        <v>0</v>
      </c>
    </row>
    <row r="636" spans="1:8" x14ac:dyDescent="0.25">
      <c r="A636" s="914">
        <f>'House Count'!A636</f>
        <v>0</v>
      </c>
      <c r="B636" s="915">
        <f>'House Count'!E636</f>
        <v>0</v>
      </c>
      <c r="C636" s="915">
        <f>'House Count'!B636</f>
        <v>0</v>
      </c>
      <c r="D636" s="915">
        <f>'House Count'!C636</f>
        <v>0</v>
      </c>
      <c r="E636" s="915">
        <f>'House Count'!D636</f>
        <v>0</v>
      </c>
      <c r="F636" s="915" t="str">
        <f t="shared" si="9"/>
        <v/>
      </c>
      <c r="G636" s="915">
        <f>'House Count'!F636</f>
        <v>0</v>
      </c>
      <c r="H636" s="915">
        <f>'House Count'!H636</f>
        <v>0</v>
      </c>
    </row>
    <row r="637" spans="1:8" x14ac:dyDescent="0.25">
      <c r="A637" s="914">
        <f>'House Count'!A637</f>
        <v>0</v>
      </c>
      <c r="B637" s="915">
        <f>'House Count'!E637</f>
        <v>0</v>
      </c>
      <c r="C637" s="915">
        <f>'House Count'!B637</f>
        <v>0</v>
      </c>
      <c r="D637" s="915">
        <f>'House Count'!C637</f>
        <v>0</v>
      </c>
      <c r="E637" s="915">
        <f>'House Count'!D637</f>
        <v>0</v>
      </c>
      <c r="F637" s="915" t="str">
        <f t="shared" si="9"/>
        <v/>
      </c>
      <c r="G637" s="915">
        <f>'House Count'!F637</f>
        <v>0</v>
      </c>
      <c r="H637" s="915">
        <f>'House Count'!H637</f>
        <v>0</v>
      </c>
    </row>
    <row r="638" spans="1:8" x14ac:dyDescent="0.25">
      <c r="A638" s="914">
        <f>'House Count'!A638</f>
        <v>0</v>
      </c>
      <c r="B638" s="915">
        <f>'House Count'!E638</f>
        <v>0</v>
      </c>
      <c r="C638" s="915">
        <f>'House Count'!B638</f>
        <v>0</v>
      </c>
      <c r="D638" s="915">
        <f>'House Count'!C638</f>
        <v>0</v>
      </c>
      <c r="E638" s="915">
        <f>'House Count'!D638</f>
        <v>0</v>
      </c>
      <c r="F638" s="915" t="str">
        <f t="shared" si="9"/>
        <v/>
      </c>
      <c r="G638" s="915">
        <f>'House Count'!F638</f>
        <v>0</v>
      </c>
      <c r="H638" s="915">
        <f>'House Count'!H638</f>
        <v>0</v>
      </c>
    </row>
    <row r="639" spans="1:8" x14ac:dyDescent="0.25">
      <c r="A639" s="914">
        <f>'House Count'!A639</f>
        <v>0</v>
      </c>
      <c r="B639" s="915">
        <f>'House Count'!E639</f>
        <v>0</v>
      </c>
      <c r="C639" s="915">
        <f>'House Count'!B639</f>
        <v>0</v>
      </c>
      <c r="D639" s="915">
        <f>'House Count'!C639</f>
        <v>0</v>
      </c>
      <c r="E639" s="915">
        <f>'House Count'!D639</f>
        <v>0</v>
      </c>
      <c r="F639" s="915" t="str">
        <f t="shared" si="9"/>
        <v/>
      </c>
      <c r="G639" s="915">
        <f>'House Count'!F639</f>
        <v>0</v>
      </c>
      <c r="H639" s="915">
        <f>'House Count'!H639</f>
        <v>0</v>
      </c>
    </row>
    <row r="640" spans="1:8" x14ac:dyDescent="0.25">
      <c r="A640" s="914">
        <f>'House Count'!A640</f>
        <v>0</v>
      </c>
      <c r="B640" s="915">
        <f>'House Count'!E640</f>
        <v>0</v>
      </c>
      <c r="C640" s="915">
        <f>'House Count'!B640</f>
        <v>0</v>
      </c>
      <c r="D640" s="915">
        <f>'House Count'!C640</f>
        <v>0</v>
      </c>
      <c r="E640" s="915">
        <f>'House Count'!D640</f>
        <v>0</v>
      </c>
      <c r="F640" s="915" t="str">
        <f t="shared" si="9"/>
        <v/>
      </c>
      <c r="G640" s="915">
        <f>'House Count'!F640</f>
        <v>0</v>
      </c>
      <c r="H640" s="915">
        <f>'House Count'!H640</f>
        <v>0</v>
      </c>
    </row>
    <row r="641" spans="1:8" x14ac:dyDescent="0.25">
      <c r="A641" s="914">
        <f>'House Count'!A641</f>
        <v>0</v>
      </c>
      <c r="B641" s="915">
        <f>'House Count'!E641</f>
        <v>0</v>
      </c>
      <c r="C641" s="915">
        <f>'House Count'!B641</f>
        <v>0</v>
      </c>
      <c r="D641" s="915">
        <f>'House Count'!C641</f>
        <v>0</v>
      </c>
      <c r="E641" s="915">
        <f>'House Count'!D641</f>
        <v>0</v>
      </c>
      <c r="F641" s="915" t="str">
        <f t="shared" si="9"/>
        <v/>
      </c>
      <c r="G641" s="915">
        <f>'House Count'!F641</f>
        <v>0</v>
      </c>
      <c r="H641" s="915">
        <f>'House Count'!H641</f>
        <v>0</v>
      </c>
    </row>
    <row r="642" spans="1:8" x14ac:dyDescent="0.25">
      <c r="A642" s="914">
        <f>'House Count'!A642</f>
        <v>0</v>
      </c>
      <c r="B642" s="915">
        <f>'House Count'!E642</f>
        <v>0</v>
      </c>
      <c r="C642" s="915">
        <f>'House Count'!B642</f>
        <v>0</v>
      </c>
      <c r="D642" s="915">
        <f>'House Count'!C642</f>
        <v>0</v>
      </c>
      <c r="E642" s="915">
        <f>'House Count'!D642</f>
        <v>0</v>
      </c>
      <c r="F642" s="915" t="str">
        <f t="shared" si="9"/>
        <v/>
      </c>
      <c r="G642" s="915">
        <f>'House Count'!F642</f>
        <v>0</v>
      </c>
      <c r="H642" s="915">
        <f>'House Count'!H642</f>
        <v>0</v>
      </c>
    </row>
    <row r="643" spans="1:8" x14ac:dyDescent="0.25">
      <c r="A643" s="914">
        <f>'House Count'!A643</f>
        <v>0</v>
      </c>
      <c r="B643" s="915">
        <f>'House Count'!E643</f>
        <v>0</v>
      </c>
      <c r="C643" s="915">
        <f>'House Count'!B643</f>
        <v>0</v>
      </c>
      <c r="D643" s="915">
        <f>'House Count'!C643</f>
        <v>0</v>
      </c>
      <c r="E643" s="915">
        <f>'House Count'!D643</f>
        <v>0</v>
      </c>
      <c r="F643" s="915" t="str">
        <f t="shared" ref="F643:F706" si="10">IF(G643="RES-SFU","RESIDENTIAL",IF(G643="RES-HOA","RESIDENTIAL",IF(G643="RES-MDU","RESIDENTIAL",IF(G643="COMM-SU","BUSINESS",IF(G643="COM-MTU","BUSINESS",IF(G643="ENT","BUSINESS",""))))))</f>
        <v/>
      </c>
      <c r="G643" s="915">
        <f>'House Count'!F643</f>
        <v>0</v>
      </c>
      <c r="H643" s="915">
        <f>'House Count'!H643</f>
        <v>0</v>
      </c>
    </row>
    <row r="644" spans="1:8" x14ac:dyDescent="0.25">
      <c r="A644" s="914">
        <f>'House Count'!A644</f>
        <v>0</v>
      </c>
      <c r="B644" s="915">
        <f>'House Count'!E644</f>
        <v>0</v>
      </c>
      <c r="C644" s="915">
        <f>'House Count'!B644</f>
        <v>0</v>
      </c>
      <c r="D644" s="915">
        <f>'House Count'!C644</f>
        <v>0</v>
      </c>
      <c r="E644" s="915">
        <f>'House Count'!D644</f>
        <v>0</v>
      </c>
      <c r="F644" s="915" t="str">
        <f t="shared" si="10"/>
        <v/>
      </c>
      <c r="G644" s="915">
        <f>'House Count'!F644</f>
        <v>0</v>
      </c>
      <c r="H644" s="915">
        <f>'House Count'!H644</f>
        <v>0</v>
      </c>
    </row>
    <row r="645" spans="1:8" x14ac:dyDescent="0.25">
      <c r="A645" s="914">
        <f>'House Count'!A645</f>
        <v>0</v>
      </c>
      <c r="B645" s="915">
        <f>'House Count'!E645</f>
        <v>0</v>
      </c>
      <c r="C645" s="915">
        <f>'House Count'!B645</f>
        <v>0</v>
      </c>
      <c r="D645" s="915">
        <f>'House Count'!C645</f>
        <v>0</v>
      </c>
      <c r="E645" s="915">
        <f>'House Count'!D645</f>
        <v>0</v>
      </c>
      <c r="F645" s="915" t="str">
        <f t="shared" si="10"/>
        <v/>
      </c>
      <c r="G645" s="915">
        <f>'House Count'!F645</f>
        <v>0</v>
      </c>
      <c r="H645" s="915">
        <f>'House Count'!H645</f>
        <v>0</v>
      </c>
    </row>
    <row r="646" spans="1:8" x14ac:dyDescent="0.25">
      <c r="A646" s="914">
        <f>'House Count'!A646</f>
        <v>0</v>
      </c>
      <c r="B646" s="915">
        <f>'House Count'!E646</f>
        <v>0</v>
      </c>
      <c r="C646" s="915">
        <f>'House Count'!B646</f>
        <v>0</v>
      </c>
      <c r="D646" s="915">
        <f>'House Count'!C646</f>
        <v>0</v>
      </c>
      <c r="E646" s="915">
        <f>'House Count'!D646</f>
        <v>0</v>
      </c>
      <c r="F646" s="915" t="str">
        <f t="shared" si="10"/>
        <v/>
      </c>
      <c r="G646" s="915">
        <f>'House Count'!F646</f>
        <v>0</v>
      </c>
      <c r="H646" s="915">
        <f>'House Count'!H646</f>
        <v>0</v>
      </c>
    </row>
    <row r="647" spans="1:8" x14ac:dyDescent="0.25">
      <c r="A647" s="914">
        <f>'House Count'!A647</f>
        <v>0</v>
      </c>
      <c r="B647" s="915">
        <f>'House Count'!E647</f>
        <v>0</v>
      </c>
      <c r="C647" s="915">
        <f>'House Count'!B647</f>
        <v>0</v>
      </c>
      <c r="D647" s="915">
        <f>'House Count'!C647</f>
        <v>0</v>
      </c>
      <c r="E647" s="915">
        <f>'House Count'!D647</f>
        <v>0</v>
      </c>
      <c r="F647" s="915" t="str">
        <f t="shared" si="10"/>
        <v/>
      </c>
      <c r="G647" s="915">
        <f>'House Count'!F647</f>
        <v>0</v>
      </c>
      <c r="H647" s="915">
        <f>'House Count'!H647</f>
        <v>0</v>
      </c>
    </row>
    <row r="648" spans="1:8" x14ac:dyDescent="0.25">
      <c r="A648" s="914">
        <f>'House Count'!A648</f>
        <v>0</v>
      </c>
      <c r="B648" s="915">
        <f>'House Count'!E648</f>
        <v>0</v>
      </c>
      <c r="C648" s="915">
        <f>'House Count'!B648</f>
        <v>0</v>
      </c>
      <c r="D648" s="915">
        <f>'House Count'!C648</f>
        <v>0</v>
      </c>
      <c r="E648" s="915">
        <f>'House Count'!D648</f>
        <v>0</v>
      </c>
      <c r="F648" s="915" t="str">
        <f t="shared" si="10"/>
        <v/>
      </c>
      <c r="G648" s="915">
        <f>'House Count'!F648</f>
        <v>0</v>
      </c>
      <c r="H648" s="915">
        <f>'House Count'!H648</f>
        <v>0</v>
      </c>
    </row>
    <row r="649" spans="1:8" x14ac:dyDescent="0.25">
      <c r="A649" s="914">
        <f>'House Count'!A649</f>
        <v>0</v>
      </c>
      <c r="B649" s="915">
        <f>'House Count'!E649</f>
        <v>0</v>
      </c>
      <c r="C649" s="915">
        <f>'House Count'!B649</f>
        <v>0</v>
      </c>
      <c r="D649" s="915">
        <f>'House Count'!C649</f>
        <v>0</v>
      </c>
      <c r="E649" s="915">
        <f>'House Count'!D649</f>
        <v>0</v>
      </c>
      <c r="F649" s="915" t="str">
        <f t="shared" si="10"/>
        <v/>
      </c>
      <c r="G649" s="915">
        <f>'House Count'!F649</f>
        <v>0</v>
      </c>
      <c r="H649" s="915">
        <f>'House Count'!H649</f>
        <v>0</v>
      </c>
    </row>
    <row r="650" spans="1:8" x14ac:dyDescent="0.25">
      <c r="A650" s="914">
        <f>'House Count'!A650</f>
        <v>0</v>
      </c>
      <c r="B650" s="915">
        <f>'House Count'!E650</f>
        <v>0</v>
      </c>
      <c r="C650" s="915">
        <f>'House Count'!B650</f>
        <v>0</v>
      </c>
      <c r="D650" s="915">
        <f>'House Count'!C650</f>
        <v>0</v>
      </c>
      <c r="E650" s="915">
        <f>'House Count'!D650</f>
        <v>0</v>
      </c>
      <c r="F650" s="915" t="str">
        <f t="shared" si="10"/>
        <v/>
      </c>
      <c r="G650" s="915">
        <f>'House Count'!F650</f>
        <v>0</v>
      </c>
      <c r="H650" s="915">
        <f>'House Count'!H650</f>
        <v>0</v>
      </c>
    </row>
    <row r="651" spans="1:8" x14ac:dyDescent="0.25">
      <c r="A651" s="914">
        <f>'House Count'!A651</f>
        <v>0</v>
      </c>
      <c r="B651" s="915">
        <f>'House Count'!E651</f>
        <v>0</v>
      </c>
      <c r="C651" s="915">
        <f>'House Count'!B651</f>
        <v>0</v>
      </c>
      <c r="D651" s="915">
        <f>'House Count'!C651</f>
        <v>0</v>
      </c>
      <c r="E651" s="915">
        <f>'House Count'!D651</f>
        <v>0</v>
      </c>
      <c r="F651" s="915" t="str">
        <f t="shared" si="10"/>
        <v/>
      </c>
      <c r="G651" s="915">
        <f>'House Count'!F651</f>
        <v>0</v>
      </c>
      <c r="H651" s="915">
        <f>'House Count'!H651</f>
        <v>0</v>
      </c>
    </row>
    <row r="652" spans="1:8" x14ac:dyDescent="0.25">
      <c r="A652" s="914">
        <f>'House Count'!A652</f>
        <v>0</v>
      </c>
      <c r="B652" s="915">
        <f>'House Count'!E652</f>
        <v>0</v>
      </c>
      <c r="C652" s="915">
        <f>'House Count'!B652</f>
        <v>0</v>
      </c>
      <c r="D652" s="915">
        <f>'House Count'!C652</f>
        <v>0</v>
      </c>
      <c r="E652" s="915">
        <f>'House Count'!D652</f>
        <v>0</v>
      </c>
      <c r="F652" s="915" t="str">
        <f t="shared" si="10"/>
        <v/>
      </c>
      <c r="G652" s="915">
        <f>'House Count'!F652</f>
        <v>0</v>
      </c>
      <c r="H652" s="915">
        <f>'House Count'!H652</f>
        <v>0</v>
      </c>
    </row>
    <row r="653" spans="1:8" x14ac:dyDescent="0.25">
      <c r="A653" s="914">
        <f>'House Count'!A653</f>
        <v>0</v>
      </c>
      <c r="B653" s="915">
        <f>'House Count'!E653</f>
        <v>0</v>
      </c>
      <c r="C653" s="915">
        <f>'House Count'!B653</f>
        <v>0</v>
      </c>
      <c r="D653" s="915">
        <f>'House Count'!C653</f>
        <v>0</v>
      </c>
      <c r="E653" s="915">
        <f>'House Count'!D653</f>
        <v>0</v>
      </c>
      <c r="F653" s="915" t="str">
        <f t="shared" si="10"/>
        <v/>
      </c>
      <c r="G653" s="915">
        <f>'House Count'!F653</f>
        <v>0</v>
      </c>
      <c r="H653" s="915">
        <f>'House Count'!H653</f>
        <v>0</v>
      </c>
    </row>
    <row r="654" spans="1:8" x14ac:dyDescent="0.25">
      <c r="A654" s="914">
        <f>'House Count'!A654</f>
        <v>0</v>
      </c>
      <c r="B654" s="915">
        <f>'House Count'!E654</f>
        <v>0</v>
      </c>
      <c r="C654" s="915">
        <f>'House Count'!B654</f>
        <v>0</v>
      </c>
      <c r="D654" s="915">
        <f>'House Count'!C654</f>
        <v>0</v>
      </c>
      <c r="E654" s="915">
        <f>'House Count'!D654</f>
        <v>0</v>
      </c>
      <c r="F654" s="915" t="str">
        <f t="shared" si="10"/>
        <v/>
      </c>
      <c r="G654" s="915">
        <f>'House Count'!F654</f>
        <v>0</v>
      </c>
      <c r="H654" s="915">
        <f>'House Count'!H654</f>
        <v>0</v>
      </c>
    </row>
    <row r="655" spans="1:8" x14ac:dyDescent="0.25">
      <c r="A655" s="914">
        <f>'House Count'!A655</f>
        <v>0</v>
      </c>
      <c r="B655" s="915">
        <f>'House Count'!E655</f>
        <v>0</v>
      </c>
      <c r="C655" s="915">
        <f>'House Count'!B655</f>
        <v>0</v>
      </c>
      <c r="D655" s="915">
        <f>'House Count'!C655</f>
        <v>0</v>
      </c>
      <c r="E655" s="915">
        <f>'House Count'!D655</f>
        <v>0</v>
      </c>
      <c r="F655" s="915" t="str">
        <f t="shared" si="10"/>
        <v/>
      </c>
      <c r="G655" s="915">
        <f>'House Count'!F655</f>
        <v>0</v>
      </c>
      <c r="H655" s="915">
        <f>'House Count'!H655</f>
        <v>0</v>
      </c>
    </row>
    <row r="656" spans="1:8" x14ac:dyDescent="0.25">
      <c r="A656" s="914">
        <f>'House Count'!A656</f>
        <v>0</v>
      </c>
      <c r="B656" s="915">
        <f>'House Count'!E656</f>
        <v>0</v>
      </c>
      <c r="C656" s="915">
        <f>'House Count'!B656</f>
        <v>0</v>
      </c>
      <c r="D656" s="915">
        <f>'House Count'!C656</f>
        <v>0</v>
      </c>
      <c r="E656" s="915">
        <f>'House Count'!D656</f>
        <v>0</v>
      </c>
      <c r="F656" s="915" t="str">
        <f t="shared" si="10"/>
        <v/>
      </c>
      <c r="G656" s="915">
        <f>'House Count'!F656</f>
        <v>0</v>
      </c>
      <c r="H656" s="915">
        <f>'House Count'!H656</f>
        <v>0</v>
      </c>
    </row>
    <row r="657" spans="1:8" x14ac:dyDescent="0.25">
      <c r="A657" s="914">
        <f>'House Count'!A657</f>
        <v>0</v>
      </c>
      <c r="B657" s="915">
        <f>'House Count'!E657</f>
        <v>0</v>
      </c>
      <c r="C657" s="915">
        <f>'House Count'!B657</f>
        <v>0</v>
      </c>
      <c r="D657" s="915">
        <f>'House Count'!C657</f>
        <v>0</v>
      </c>
      <c r="E657" s="915">
        <f>'House Count'!D657</f>
        <v>0</v>
      </c>
      <c r="F657" s="915" t="str">
        <f t="shared" si="10"/>
        <v/>
      </c>
      <c r="G657" s="915">
        <f>'House Count'!F657</f>
        <v>0</v>
      </c>
      <c r="H657" s="915">
        <f>'House Count'!H657</f>
        <v>0</v>
      </c>
    </row>
    <row r="658" spans="1:8" x14ac:dyDescent="0.25">
      <c r="A658" s="914">
        <f>'House Count'!A658</f>
        <v>0</v>
      </c>
      <c r="B658" s="915">
        <f>'House Count'!E658</f>
        <v>0</v>
      </c>
      <c r="C658" s="915">
        <f>'House Count'!B658</f>
        <v>0</v>
      </c>
      <c r="D658" s="915">
        <f>'House Count'!C658</f>
        <v>0</v>
      </c>
      <c r="E658" s="915">
        <f>'House Count'!D658</f>
        <v>0</v>
      </c>
      <c r="F658" s="915" t="str">
        <f t="shared" si="10"/>
        <v/>
      </c>
      <c r="G658" s="915">
        <f>'House Count'!F658</f>
        <v>0</v>
      </c>
      <c r="H658" s="915">
        <f>'House Count'!H658</f>
        <v>0</v>
      </c>
    </row>
    <row r="659" spans="1:8" x14ac:dyDescent="0.25">
      <c r="A659" s="914">
        <f>'House Count'!A659</f>
        <v>0</v>
      </c>
      <c r="B659" s="915">
        <f>'House Count'!E659</f>
        <v>0</v>
      </c>
      <c r="C659" s="915">
        <f>'House Count'!B659</f>
        <v>0</v>
      </c>
      <c r="D659" s="915">
        <f>'House Count'!C659</f>
        <v>0</v>
      </c>
      <c r="E659" s="915">
        <f>'House Count'!D659</f>
        <v>0</v>
      </c>
      <c r="F659" s="915" t="str">
        <f t="shared" si="10"/>
        <v/>
      </c>
      <c r="G659" s="915">
        <f>'House Count'!F659</f>
        <v>0</v>
      </c>
      <c r="H659" s="915">
        <f>'House Count'!H659</f>
        <v>0</v>
      </c>
    </row>
    <row r="660" spans="1:8" x14ac:dyDescent="0.25">
      <c r="A660" s="914">
        <f>'House Count'!A660</f>
        <v>0</v>
      </c>
      <c r="B660" s="915">
        <f>'House Count'!E660</f>
        <v>0</v>
      </c>
      <c r="C660" s="915">
        <f>'House Count'!B660</f>
        <v>0</v>
      </c>
      <c r="D660" s="915">
        <f>'House Count'!C660</f>
        <v>0</v>
      </c>
      <c r="E660" s="915">
        <f>'House Count'!D660</f>
        <v>0</v>
      </c>
      <c r="F660" s="915" t="str">
        <f t="shared" si="10"/>
        <v/>
      </c>
      <c r="G660" s="915">
        <f>'House Count'!F660</f>
        <v>0</v>
      </c>
      <c r="H660" s="915">
        <f>'House Count'!H660</f>
        <v>0</v>
      </c>
    </row>
    <row r="661" spans="1:8" x14ac:dyDescent="0.25">
      <c r="A661" s="914">
        <f>'House Count'!A661</f>
        <v>0</v>
      </c>
      <c r="B661" s="915">
        <f>'House Count'!E661</f>
        <v>0</v>
      </c>
      <c r="C661" s="915">
        <f>'House Count'!B661</f>
        <v>0</v>
      </c>
      <c r="D661" s="915">
        <f>'House Count'!C661</f>
        <v>0</v>
      </c>
      <c r="E661" s="915">
        <f>'House Count'!D661</f>
        <v>0</v>
      </c>
      <c r="F661" s="915" t="str">
        <f t="shared" si="10"/>
        <v/>
      </c>
      <c r="G661" s="915">
        <f>'House Count'!F661</f>
        <v>0</v>
      </c>
      <c r="H661" s="915">
        <f>'House Count'!H661</f>
        <v>0</v>
      </c>
    </row>
    <row r="662" spans="1:8" x14ac:dyDescent="0.25">
      <c r="A662" s="914">
        <f>'House Count'!A662</f>
        <v>0</v>
      </c>
      <c r="B662" s="915">
        <f>'House Count'!E662</f>
        <v>0</v>
      </c>
      <c r="C662" s="915">
        <f>'House Count'!B662</f>
        <v>0</v>
      </c>
      <c r="D662" s="915">
        <f>'House Count'!C662</f>
        <v>0</v>
      </c>
      <c r="E662" s="915">
        <f>'House Count'!D662</f>
        <v>0</v>
      </c>
      <c r="F662" s="915" t="str">
        <f t="shared" si="10"/>
        <v/>
      </c>
      <c r="G662" s="915">
        <f>'House Count'!F662</f>
        <v>0</v>
      </c>
      <c r="H662" s="915">
        <f>'House Count'!H662</f>
        <v>0</v>
      </c>
    </row>
    <row r="663" spans="1:8" x14ac:dyDescent="0.25">
      <c r="A663" s="914">
        <f>'House Count'!A663</f>
        <v>0</v>
      </c>
      <c r="B663" s="915">
        <f>'House Count'!E663</f>
        <v>0</v>
      </c>
      <c r="C663" s="915">
        <f>'House Count'!B663</f>
        <v>0</v>
      </c>
      <c r="D663" s="915">
        <f>'House Count'!C663</f>
        <v>0</v>
      </c>
      <c r="E663" s="915">
        <f>'House Count'!D663</f>
        <v>0</v>
      </c>
      <c r="F663" s="915" t="str">
        <f t="shared" si="10"/>
        <v/>
      </c>
      <c r="G663" s="915">
        <f>'House Count'!F663</f>
        <v>0</v>
      </c>
      <c r="H663" s="915">
        <f>'House Count'!H663</f>
        <v>0</v>
      </c>
    </row>
    <row r="664" spans="1:8" x14ac:dyDescent="0.25">
      <c r="A664" s="914">
        <f>'House Count'!A664</f>
        <v>0</v>
      </c>
      <c r="B664" s="915">
        <f>'House Count'!E664</f>
        <v>0</v>
      </c>
      <c r="C664" s="915">
        <f>'House Count'!B664</f>
        <v>0</v>
      </c>
      <c r="D664" s="915">
        <f>'House Count'!C664</f>
        <v>0</v>
      </c>
      <c r="E664" s="915">
        <f>'House Count'!D664</f>
        <v>0</v>
      </c>
      <c r="F664" s="915" t="str">
        <f t="shared" si="10"/>
        <v/>
      </c>
      <c r="G664" s="915">
        <f>'House Count'!F664</f>
        <v>0</v>
      </c>
      <c r="H664" s="915">
        <f>'House Count'!H664</f>
        <v>0</v>
      </c>
    </row>
    <row r="665" spans="1:8" x14ac:dyDescent="0.25">
      <c r="A665" s="914">
        <f>'House Count'!A665</f>
        <v>0</v>
      </c>
      <c r="B665" s="915">
        <f>'House Count'!E665</f>
        <v>0</v>
      </c>
      <c r="C665" s="915">
        <f>'House Count'!B665</f>
        <v>0</v>
      </c>
      <c r="D665" s="915">
        <f>'House Count'!C665</f>
        <v>0</v>
      </c>
      <c r="E665" s="915">
        <f>'House Count'!D665</f>
        <v>0</v>
      </c>
      <c r="F665" s="915" t="str">
        <f t="shared" si="10"/>
        <v/>
      </c>
      <c r="G665" s="915">
        <f>'House Count'!F665</f>
        <v>0</v>
      </c>
      <c r="H665" s="915">
        <f>'House Count'!H665</f>
        <v>0</v>
      </c>
    </row>
    <row r="666" spans="1:8" x14ac:dyDescent="0.25">
      <c r="A666" s="914">
        <f>'House Count'!A666</f>
        <v>0</v>
      </c>
      <c r="B666" s="915">
        <f>'House Count'!E666</f>
        <v>0</v>
      </c>
      <c r="C666" s="915">
        <f>'House Count'!B666</f>
        <v>0</v>
      </c>
      <c r="D666" s="915">
        <f>'House Count'!C666</f>
        <v>0</v>
      </c>
      <c r="E666" s="915">
        <f>'House Count'!D666</f>
        <v>0</v>
      </c>
      <c r="F666" s="915" t="str">
        <f t="shared" si="10"/>
        <v/>
      </c>
      <c r="G666" s="915">
        <f>'House Count'!F666</f>
        <v>0</v>
      </c>
      <c r="H666" s="915">
        <f>'House Count'!H666</f>
        <v>0</v>
      </c>
    </row>
    <row r="667" spans="1:8" x14ac:dyDescent="0.25">
      <c r="A667" s="914">
        <f>'House Count'!A667</f>
        <v>0</v>
      </c>
      <c r="B667" s="915">
        <f>'House Count'!E667</f>
        <v>0</v>
      </c>
      <c r="C667" s="915">
        <f>'House Count'!B667</f>
        <v>0</v>
      </c>
      <c r="D667" s="915">
        <f>'House Count'!C667</f>
        <v>0</v>
      </c>
      <c r="E667" s="915">
        <f>'House Count'!D667</f>
        <v>0</v>
      </c>
      <c r="F667" s="915" t="str">
        <f t="shared" si="10"/>
        <v/>
      </c>
      <c r="G667" s="915">
        <f>'House Count'!F667</f>
        <v>0</v>
      </c>
      <c r="H667" s="915">
        <f>'House Count'!H667</f>
        <v>0</v>
      </c>
    </row>
    <row r="668" spans="1:8" x14ac:dyDescent="0.25">
      <c r="A668" s="914">
        <f>'House Count'!A668</f>
        <v>0</v>
      </c>
      <c r="B668" s="915">
        <f>'House Count'!E668</f>
        <v>0</v>
      </c>
      <c r="C668" s="915">
        <f>'House Count'!B668</f>
        <v>0</v>
      </c>
      <c r="D668" s="915">
        <f>'House Count'!C668</f>
        <v>0</v>
      </c>
      <c r="E668" s="915">
        <f>'House Count'!D668</f>
        <v>0</v>
      </c>
      <c r="F668" s="915" t="str">
        <f t="shared" si="10"/>
        <v/>
      </c>
      <c r="G668" s="915">
        <f>'House Count'!F668</f>
        <v>0</v>
      </c>
      <c r="H668" s="915">
        <f>'House Count'!H668</f>
        <v>0</v>
      </c>
    </row>
    <row r="669" spans="1:8" x14ac:dyDescent="0.25">
      <c r="A669" s="914">
        <f>'House Count'!A669</f>
        <v>0</v>
      </c>
      <c r="B669" s="915">
        <f>'House Count'!E669</f>
        <v>0</v>
      </c>
      <c r="C669" s="915">
        <f>'House Count'!B669</f>
        <v>0</v>
      </c>
      <c r="D669" s="915">
        <f>'House Count'!C669</f>
        <v>0</v>
      </c>
      <c r="E669" s="915">
        <f>'House Count'!D669</f>
        <v>0</v>
      </c>
      <c r="F669" s="915" t="str">
        <f t="shared" si="10"/>
        <v/>
      </c>
      <c r="G669" s="915">
        <f>'House Count'!F669</f>
        <v>0</v>
      </c>
      <c r="H669" s="915">
        <f>'House Count'!H669</f>
        <v>0</v>
      </c>
    </row>
    <row r="670" spans="1:8" x14ac:dyDescent="0.25">
      <c r="A670" s="914">
        <f>'House Count'!A670</f>
        <v>0</v>
      </c>
      <c r="B670" s="915">
        <f>'House Count'!E670</f>
        <v>0</v>
      </c>
      <c r="C670" s="915">
        <f>'House Count'!B670</f>
        <v>0</v>
      </c>
      <c r="D670" s="915">
        <f>'House Count'!C670</f>
        <v>0</v>
      </c>
      <c r="E670" s="915">
        <f>'House Count'!D670</f>
        <v>0</v>
      </c>
      <c r="F670" s="915" t="str">
        <f t="shared" si="10"/>
        <v/>
      </c>
      <c r="G670" s="915">
        <f>'House Count'!F670</f>
        <v>0</v>
      </c>
      <c r="H670" s="915">
        <f>'House Count'!H670</f>
        <v>0</v>
      </c>
    </row>
    <row r="671" spans="1:8" x14ac:dyDescent="0.25">
      <c r="A671" s="914">
        <f>'House Count'!A671</f>
        <v>0</v>
      </c>
      <c r="B671" s="915">
        <f>'House Count'!E671</f>
        <v>0</v>
      </c>
      <c r="C671" s="915">
        <f>'House Count'!B671</f>
        <v>0</v>
      </c>
      <c r="D671" s="915">
        <f>'House Count'!C671</f>
        <v>0</v>
      </c>
      <c r="E671" s="915">
        <f>'House Count'!D671</f>
        <v>0</v>
      </c>
      <c r="F671" s="915" t="str">
        <f t="shared" si="10"/>
        <v/>
      </c>
      <c r="G671" s="915">
        <f>'House Count'!F671</f>
        <v>0</v>
      </c>
      <c r="H671" s="915">
        <f>'House Count'!H671</f>
        <v>0</v>
      </c>
    </row>
    <row r="672" spans="1:8" x14ac:dyDescent="0.25">
      <c r="A672" s="914">
        <f>'House Count'!A672</f>
        <v>0</v>
      </c>
      <c r="B672" s="915">
        <f>'House Count'!E672</f>
        <v>0</v>
      </c>
      <c r="C672" s="915">
        <f>'House Count'!B672</f>
        <v>0</v>
      </c>
      <c r="D672" s="915">
        <f>'House Count'!C672</f>
        <v>0</v>
      </c>
      <c r="E672" s="915">
        <f>'House Count'!D672</f>
        <v>0</v>
      </c>
      <c r="F672" s="915" t="str">
        <f t="shared" si="10"/>
        <v/>
      </c>
      <c r="G672" s="915">
        <f>'House Count'!F672</f>
        <v>0</v>
      </c>
      <c r="H672" s="915">
        <f>'House Count'!H672</f>
        <v>0</v>
      </c>
    </row>
    <row r="673" spans="1:8" x14ac:dyDescent="0.25">
      <c r="A673" s="914">
        <f>'House Count'!A673</f>
        <v>0</v>
      </c>
      <c r="B673" s="915">
        <f>'House Count'!E673</f>
        <v>0</v>
      </c>
      <c r="C673" s="915">
        <f>'House Count'!B673</f>
        <v>0</v>
      </c>
      <c r="D673" s="915">
        <f>'House Count'!C673</f>
        <v>0</v>
      </c>
      <c r="E673" s="915">
        <f>'House Count'!D673</f>
        <v>0</v>
      </c>
      <c r="F673" s="915" t="str">
        <f t="shared" si="10"/>
        <v/>
      </c>
      <c r="G673" s="915">
        <f>'House Count'!F673</f>
        <v>0</v>
      </c>
      <c r="H673" s="915">
        <f>'House Count'!H673</f>
        <v>0</v>
      </c>
    </row>
    <row r="674" spans="1:8" x14ac:dyDescent="0.25">
      <c r="A674" s="914">
        <f>'House Count'!A674</f>
        <v>0</v>
      </c>
      <c r="B674" s="915">
        <f>'House Count'!E674</f>
        <v>0</v>
      </c>
      <c r="C674" s="915">
        <f>'House Count'!B674</f>
        <v>0</v>
      </c>
      <c r="D674" s="915">
        <f>'House Count'!C674</f>
        <v>0</v>
      </c>
      <c r="E674" s="915">
        <f>'House Count'!D674</f>
        <v>0</v>
      </c>
      <c r="F674" s="915" t="str">
        <f t="shared" si="10"/>
        <v/>
      </c>
      <c r="G674" s="915">
        <f>'House Count'!F674</f>
        <v>0</v>
      </c>
      <c r="H674" s="915">
        <f>'House Count'!H674</f>
        <v>0</v>
      </c>
    </row>
    <row r="675" spans="1:8" x14ac:dyDescent="0.25">
      <c r="A675" s="914">
        <f>'House Count'!A675</f>
        <v>0</v>
      </c>
      <c r="B675" s="915">
        <f>'House Count'!E675</f>
        <v>0</v>
      </c>
      <c r="C675" s="915">
        <f>'House Count'!B675</f>
        <v>0</v>
      </c>
      <c r="D675" s="915">
        <f>'House Count'!C675</f>
        <v>0</v>
      </c>
      <c r="E675" s="915">
        <f>'House Count'!D675</f>
        <v>0</v>
      </c>
      <c r="F675" s="915" t="str">
        <f t="shared" si="10"/>
        <v/>
      </c>
      <c r="G675" s="915">
        <f>'House Count'!F675</f>
        <v>0</v>
      </c>
      <c r="H675" s="915">
        <f>'House Count'!H675</f>
        <v>0</v>
      </c>
    </row>
    <row r="676" spans="1:8" x14ac:dyDescent="0.25">
      <c r="A676" s="914">
        <f>'House Count'!A676</f>
        <v>0</v>
      </c>
      <c r="B676" s="915">
        <f>'House Count'!E676</f>
        <v>0</v>
      </c>
      <c r="C676" s="915">
        <f>'House Count'!B676</f>
        <v>0</v>
      </c>
      <c r="D676" s="915">
        <f>'House Count'!C676</f>
        <v>0</v>
      </c>
      <c r="E676" s="915">
        <f>'House Count'!D676</f>
        <v>0</v>
      </c>
      <c r="F676" s="915" t="str">
        <f t="shared" si="10"/>
        <v/>
      </c>
      <c r="G676" s="915">
        <f>'House Count'!F676</f>
        <v>0</v>
      </c>
      <c r="H676" s="915">
        <f>'House Count'!H676</f>
        <v>0</v>
      </c>
    </row>
    <row r="677" spans="1:8" x14ac:dyDescent="0.25">
      <c r="A677" s="914">
        <f>'House Count'!A677</f>
        <v>0</v>
      </c>
      <c r="B677" s="915">
        <f>'House Count'!E677</f>
        <v>0</v>
      </c>
      <c r="C677" s="915">
        <f>'House Count'!B677</f>
        <v>0</v>
      </c>
      <c r="D677" s="915">
        <f>'House Count'!C677</f>
        <v>0</v>
      </c>
      <c r="E677" s="915">
        <f>'House Count'!D677</f>
        <v>0</v>
      </c>
      <c r="F677" s="915" t="str">
        <f t="shared" si="10"/>
        <v/>
      </c>
      <c r="G677" s="915">
        <f>'House Count'!F677</f>
        <v>0</v>
      </c>
      <c r="H677" s="915">
        <f>'House Count'!H677</f>
        <v>0</v>
      </c>
    </row>
    <row r="678" spans="1:8" x14ac:dyDescent="0.25">
      <c r="A678" s="914">
        <f>'House Count'!A678</f>
        <v>0</v>
      </c>
      <c r="B678" s="915">
        <f>'House Count'!E678</f>
        <v>0</v>
      </c>
      <c r="C678" s="915">
        <f>'House Count'!B678</f>
        <v>0</v>
      </c>
      <c r="D678" s="915">
        <f>'House Count'!C678</f>
        <v>0</v>
      </c>
      <c r="E678" s="915">
        <f>'House Count'!D678</f>
        <v>0</v>
      </c>
      <c r="F678" s="915" t="str">
        <f t="shared" si="10"/>
        <v/>
      </c>
      <c r="G678" s="915">
        <f>'House Count'!F678</f>
        <v>0</v>
      </c>
      <c r="H678" s="915">
        <f>'House Count'!H678</f>
        <v>0</v>
      </c>
    </row>
    <row r="679" spans="1:8" x14ac:dyDescent="0.25">
      <c r="A679" s="914">
        <f>'House Count'!A679</f>
        <v>0</v>
      </c>
      <c r="B679" s="915">
        <f>'House Count'!E679</f>
        <v>0</v>
      </c>
      <c r="C679" s="915">
        <f>'House Count'!B679</f>
        <v>0</v>
      </c>
      <c r="D679" s="915">
        <f>'House Count'!C679</f>
        <v>0</v>
      </c>
      <c r="E679" s="915">
        <f>'House Count'!D679</f>
        <v>0</v>
      </c>
      <c r="F679" s="915" t="str">
        <f t="shared" si="10"/>
        <v/>
      </c>
      <c r="G679" s="915">
        <f>'House Count'!F679</f>
        <v>0</v>
      </c>
      <c r="H679" s="915">
        <f>'House Count'!H679</f>
        <v>0</v>
      </c>
    </row>
    <row r="680" spans="1:8" x14ac:dyDescent="0.25">
      <c r="A680" s="914">
        <f>'House Count'!A680</f>
        <v>0</v>
      </c>
      <c r="B680" s="915">
        <f>'House Count'!E680</f>
        <v>0</v>
      </c>
      <c r="C680" s="915">
        <f>'House Count'!B680</f>
        <v>0</v>
      </c>
      <c r="D680" s="915">
        <f>'House Count'!C680</f>
        <v>0</v>
      </c>
      <c r="E680" s="915">
        <f>'House Count'!D680</f>
        <v>0</v>
      </c>
      <c r="F680" s="915" t="str">
        <f t="shared" si="10"/>
        <v/>
      </c>
      <c r="G680" s="915">
        <f>'House Count'!F680</f>
        <v>0</v>
      </c>
      <c r="H680" s="915">
        <f>'House Count'!H680</f>
        <v>0</v>
      </c>
    </row>
    <row r="681" spans="1:8" x14ac:dyDescent="0.25">
      <c r="A681" s="914">
        <f>'House Count'!A681</f>
        <v>0</v>
      </c>
      <c r="B681" s="915">
        <f>'House Count'!E681</f>
        <v>0</v>
      </c>
      <c r="C681" s="915">
        <f>'House Count'!B681</f>
        <v>0</v>
      </c>
      <c r="D681" s="915">
        <f>'House Count'!C681</f>
        <v>0</v>
      </c>
      <c r="E681" s="915">
        <f>'House Count'!D681</f>
        <v>0</v>
      </c>
      <c r="F681" s="915" t="str">
        <f t="shared" si="10"/>
        <v/>
      </c>
      <c r="G681" s="915">
        <f>'House Count'!F681</f>
        <v>0</v>
      </c>
      <c r="H681" s="915">
        <f>'House Count'!H681</f>
        <v>0</v>
      </c>
    </row>
    <row r="682" spans="1:8" x14ac:dyDescent="0.25">
      <c r="A682" s="914">
        <f>'House Count'!A682</f>
        <v>0</v>
      </c>
      <c r="B682" s="915">
        <f>'House Count'!E682</f>
        <v>0</v>
      </c>
      <c r="C682" s="915">
        <f>'House Count'!B682</f>
        <v>0</v>
      </c>
      <c r="D682" s="915">
        <f>'House Count'!C682</f>
        <v>0</v>
      </c>
      <c r="E682" s="915">
        <f>'House Count'!D682</f>
        <v>0</v>
      </c>
      <c r="F682" s="915" t="str">
        <f t="shared" si="10"/>
        <v/>
      </c>
      <c r="G682" s="915">
        <f>'House Count'!F682</f>
        <v>0</v>
      </c>
      <c r="H682" s="915">
        <f>'House Count'!H682</f>
        <v>0</v>
      </c>
    </row>
    <row r="683" spans="1:8" x14ac:dyDescent="0.25">
      <c r="A683" s="914">
        <f>'House Count'!A683</f>
        <v>0</v>
      </c>
      <c r="B683" s="915">
        <f>'House Count'!E683</f>
        <v>0</v>
      </c>
      <c r="C683" s="915">
        <f>'House Count'!B683</f>
        <v>0</v>
      </c>
      <c r="D683" s="915">
        <f>'House Count'!C683</f>
        <v>0</v>
      </c>
      <c r="E683" s="915">
        <f>'House Count'!D683</f>
        <v>0</v>
      </c>
      <c r="F683" s="915" t="str">
        <f t="shared" si="10"/>
        <v/>
      </c>
      <c r="G683" s="915">
        <f>'House Count'!F683</f>
        <v>0</v>
      </c>
      <c r="H683" s="915">
        <f>'House Count'!H683</f>
        <v>0</v>
      </c>
    </row>
    <row r="684" spans="1:8" x14ac:dyDescent="0.25">
      <c r="A684" s="914">
        <f>'House Count'!A684</f>
        <v>0</v>
      </c>
      <c r="B684" s="915">
        <f>'House Count'!E684</f>
        <v>0</v>
      </c>
      <c r="C684" s="915">
        <f>'House Count'!B684</f>
        <v>0</v>
      </c>
      <c r="D684" s="915">
        <f>'House Count'!C684</f>
        <v>0</v>
      </c>
      <c r="E684" s="915">
        <f>'House Count'!D684</f>
        <v>0</v>
      </c>
      <c r="F684" s="915" t="str">
        <f t="shared" si="10"/>
        <v/>
      </c>
      <c r="G684" s="915">
        <f>'House Count'!F684</f>
        <v>0</v>
      </c>
      <c r="H684" s="915">
        <f>'House Count'!H684</f>
        <v>0</v>
      </c>
    </row>
    <row r="685" spans="1:8" x14ac:dyDescent="0.25">
      <c r="A685" s="914">
        <f>'House Count'!A685</f>
        <v>0</v>
      </c>
      <c r="B685" s="915">
        <f>'House Count'!E685</f>
        <v>0</v>
      </c>
      <c r="C685" s="915">
        <f>'House Count'!B685</f>
        <v>0</v>
      </c>
      <c r="D685" s="915">
        <f>'House Count'!C685</f>
        <v>0</v>
      </c>
      <c r="E685" s="915">
        <f>'House Count'!D685</f>
        <v>0</v>
      </c>
      <c r="F685" s="915" t="str">
        <f t="shared" si="10"/>
        <v/>
      </c>
      <c r="G685" s="915">
        <f>'House Count'!F685</f>
        <v>0</v>
      </c>
      <c r="H685" s="915">
        <f>'House Count'!H685</f>
        <v>0</v>
      </c>
    </row>
    <row r="686" spans="1:8" x14ac:dyDescent="0.25">
      <c r="A686" s="914">
        <f>'House Count'!A686</f>
        <v>0</v>
      </c>
      <c r="B686" s="915">
        <f>'House Count'!E686</f>
        <v>0</v>
      </c>
      <c r="C686" s="915">
        <f>'House Count'!B686</f>
        <v>0</v>
      </c>
      <c r="D686" s="915">
        <f>'House Count'!C686</f>
        <v>0</v>
      </c>
      <c r="E686" s="915">
        <f>'House Count'!D686</f>
        <v>0</v>
      </c>
      <c r="F686" s="915" t="str">
        <f t="shared" si="10"/>
        <v/>
      </c>
      <c r="G686" s="915">
        <f>'House Count'!F686</f>
        <v>0</v>
      </c>
      <c r="H686" s="915">
        <f>'House Count'!H686</f>
        <v>0</v>
      </c>
    </row>
    <row r="687" spans="1:8" x14ac:dyDescent="0.25">
      <c r="A687" s="914">
        <f>'House Count'!A687</f>
        <v>0</v>
      </c>
      <c r="B687" s="915">
        <f>'House Count'!E687</f>
        <v>0</v>
      </c>
      <c r="C687" s="915">
        <f>'House Count'!B687</f>
        <v>0</v>
      </c>
      <c r="D687" s="915">
        <f>'House Count'!C687</f>
        <v>0</v>
      </c>
      <c r="E687" s="915">
        <f>'House Count'!D687</f>
        <v>0</v>
      </c>
      <c r="F687" s="915" t="str">
        <f t="shared" si="10"/>
        <v/>
      </c>
      <c r="G687" s="915">
        <f>'House Count'!F687</f>
        <v>0</v>
      </c>
      <c r="H687" s="915">
        <f>'House Count'!H687</f>
        <v>0</v>
      </c>
    </row>
    <row r="688" spans="1:8" x14ac:dyDescent="0.25">
      <c r="A688" s="914">
        <f>'House Count'!A688</f>
        <v>0</v>
      </c>
      <c r="B688" s="915">
        <f>'House Count'!E688</f>
        <v>0</v>
      </c>
      <c r="C688" s="915">
        <f>'House Count'!B688</f>
        <v>0</v>
      </c>
      <c r="D688" s="915">
        <f>'House Count'!C688</f>
        <v>0</v>
      </c>
      <c r="E688" s="915">
        <f>'House Count'!D688</f>
        <v>0</v>
      </c>
      <c r="F688" s="915" t="str">
        <f t="shared" si="10"/>
        <v/>
      </c>
      <c r="G688" s="915">
        <f>'House Count'!F688</f>
        <v>0</v>
      </c>
      <c r="H688" s="915">
        <f>'House Count'!H688</f>
        <v>0</v>
      </c>
    </row>
    <row r="689" spans="1:8" x14ac:dyDescent="0.25">
      <c r="A689" s="914">
        <f>'House Count'!A689</f>
        <v>0</v>
      </c>
      <c r="B689" s="915">
        <f>'House Count'!E689</f>
        <v>0</v>
      </c>
      <c r="C689" s="915">
        <f>'House Count'!B689</f>
        <v>0</v>
      </c>
      <c r="D689" s="915">
        <f>'House Count'!C689</f>
        <v>0</v>
      </c>
      <c r="E689" s="915">
        <f>'House Count'!D689</f>
        <v>0</v>
      </c>
      <c r="F689" s="915" t="str">
        <f t="shared" si="10"/>
        <v/>
      </c>
      <c r="G689" s="915">
        <f>'House Count'!F689</f>
        <v>0</v>
      </c>
      <c r="H689" s="915">
        <f>'House Count'!H689</f>
        <v>0</v>
      </c>
    </row>
    <row r="690" spans="1:8" x14ac:dyDescent="0.25">
      <c r="A690" s="914">
        <f>'House Count'!A690</f>
        <v>0</v>
      </c>
      <c r="B690" s="915">
        <f>'House Count'!E690</f>
        <v>0</v>
      </c>
      <c r="C690" s="915">
        <f>'House Count'!B690</f>
        <v>0</v>
      </c>
      <c r="D690" s="915">
        <f>'House Count'!C690</f>
        <v>0</v>
      </c>
      <c r="E690" s="915">
        <f>'House Count'!D690</f>
        <v>0</v>
      </c>
      <c r="F690" s="915" t="str">
        <f t="shared" si="10"/>
        <v/>
      </c>
      <c r="G690" s="915">
        <f>'House Count'!F690</f>
        <v>0</v>
      </c>
      <c r="H690" s="915">
        <f>'House Count'!H690</f>
        <v>0</v>
      </c>
    </row>
    <row r="691" spans="1:8" x14ac:dyDescent="0.25">
      <c r="A691" s="914">
        <f>'House Count'!A691</f>
        <v>0</v>
      </c>
      <c r="B691" s="915">
        <f>'House Count'!E691</f>
        <v>0</v>
      </c>
      <c r="C691" s="915">
        <f>'House Count'!B691</f>
        <v>0</v>
      </c>
      <c r="D691" s="915">
        <f>'House Count'!C691</f>
        <v>0</v>
      </c>
      <c r="E691" s="915">
        <f>'House Count'!D691</f>
        <v>0</v>
      </c>
      <c r="F691" s="915" t="str">
        <f t="shared" si="10"/>
        <v/>
      </c>
      <c r="G691" s="915">
        <f>'House Count'!F691</f>
        <v>0</v>
      </c>
      <c r="H691" s="915">
        <f>'House Count'!H691</f>
        <v>0</v>
      </c>
    </row>
    <row r="692" spans="1:8" x14ac:dyDescent="0.25">
      <c r="A692" s="914">
        <f>'House Count'!A692</f>
        <v>0</v>
      </c>
      <c r="B692" s="915">
        <f>'House Count'!E692</f>
        <v>0</v>
      </c>
      <c r="C692" s="915">
        <f>'House Count'!B692</f>
        <v>0</v>
      </c>
      <c r="D692" s="915">
        <f>'House Count'!C692</f>
        <v>0</v>
      </c>
      <c r="E692" s="915">
        <f>'House Count'!D692</f>
        <v>0</v>
      </c>
      <c r="F692" s="915" t="str">
        <f t="shared" si="10"/>
        <v/>
      </c>
      <c r="G692" s="915">
        <f>'House Count'!F692</f>
        <v>0</v>
      </c>
      <c r="H692" s="915">
        <f>'House Count'!H692</f>
        <v>0</v>
      </c>
    </row>
    <row r="693" spans="1:8" x14ac:dyDescent="0.25">
      <c r="A693" s="914">
        <f>'House Count'!A693</f>
        <v>0</v>
      </c>
      <c r="B693" s="915">
        <f>'House Count'!E693</f>
        <v>0</v>
      </c>
      <c r="C693" s="915">
        <f>'House Count'!B693</f>
        <v>0</v>
      </c>
      <c r="D693" s="915">
        <f>'House Count'!C693</f>
        <v>0</v>
      </c>
      <c r="E693" s="915">
        <f>'House Count'!D693</f>
        <v>0</v>
      </c>
      <c r="F693" s="915" t="str">
        <f t="shared" si="10"/>
        <v/>
      </c>
      <c r="G693" s="915">
        <f>'House Count'!F693</f>
        <v>0</v>
      </c>
      <c r="H693" s="915">
        <f>'House Count'!H693</f>
        <v>0</v>
      </c>
    </row>
    <row r="694" spans="1:8" x14ac:dyDescent="0.25">
      <c r="A694" s="914">
        <f>'House Count'!A694</f>
        <v>0</v>
      </c>
      <c r="B694" s="915">
        <f>'House Count'!E694</f>
        <v>0</v>
      </c>
      <c r="C694" s="915">
        <f>'House Count'!B694</f>
        <v>0</v>
      </c>
      <c r="D694" s="915">
        <f>'House Count'!C694</f>
        <v>0</v>
      </c>
      <c r="E694" s="915">
        <f>'House Count'!D694</f>
        <v>0</v>
      </c>
      <c r="F694" s="915" t="str">
        <f t="shared" si="10"/>
        <v/>
      </c>
      <c r="G694" s="915">
        <f>'House Count'!F694</f>
        <v>0</v>
      </c>
      <c r="H694" s="915">
        <f>'House Count'!H694</f>
        <v>0</v>
      </c>
    </row>
    <row r="695" spans="1:8" x14ac:dyDescent="0.25">
      <c r="A695" s="914">
        <f>'House Count'!A695</f>
        <v>0</v>
      </c>
      <c r="B695" s="915">
        <f>'House Count'!E695</f>
        <v>0</v>
      </c>
      <c r="C695" s="915">
        <f>'House Count'!B695</f>
        <v>0</v>
      </c>
      <c r="D695" s="915">
        <f>'House Count'!C695</f>
        <v>0</v>
      </c>
      <c r="E695" s="915">
        <f>'House Count'!D695</f>
        <v>0</v>
      </c>
      <c r="F695" s="915" t="str">
        <f t="shared" si="10"/>
        <v/>
      </c>
      <c r="G695" s="915">
        <f>'House Count'!F695</f>
        <v>0</v>
      </c>
      <c r="H695" s="915">
        <f>'House Count'!H695</f>
        <v>0</v>
      </c>
    </row>
    <row r="696" spans="1:8" x14ac:dyDescent="0.25">
      <c r="A696" s="914">
        <f>'House Count'!A696</f>
        <v>0</v>
      </c>
      <c r="B696" s="915">
        <f>'House Count'!E696</f>
        <v>0</v>
      </c>
      <c r="C696" s="915">
        <f>'House Count'!B696</f>
        <v>0</v>
      </c>
      <c r="D696" s="915">
        <f>'House Count'!C696</f>
        <v>0</v>
      </c>
      <c r="E696" s="915">
        <f>'House Count'!D696</f>
        <v>0</v>
      </c>
      <c r="F696" s="915" t="str">
        <f t="shared" si="10"/>
        <v/>
      </c>
      <c r="G696" s="915">
        <f>'House Count'!F696</f>
        <v>0</v>
      </c>
      <c r="H696" s="915">
        <f>'House Count'!H696</f>
        <v>0</v>
      </c>
    </row>
    <row r="697" spans="1:8" x14ac:dyDescent="0.25">
      <c r="A697" s="914">
        <f>'House Count'!A697</f>
        <v>0</v>
      </c>
      <c r="B697" s="915">
        <f>'House Count'!E697</f>
        <v>0</v>
      </c>
      <c r="C697" s="915">
        <f>'House Count'!B697</f>
        <v>0</v>
      </c>
      <c r="D697" s="915">
        <f>'House Count'!C697</f>
        <v>0</v>
      </c>
      <c r="E697" s="915">
        <f>'House Count'!D697</f>
        <v>0</v>
      </c>
      <c r="F697" s="915" t="str">
        <f t="shared" si="10"/>
        <v/>
      </c>
      <c r="G697" s="915">
        <f>'House Count'!F697</f>
        <v>0</v>
      </c>
      <c r="H697" s="915">
        <f>'House Count'!H697</f>
        <v>0</v>
      </c>
    </row>
    <row r="698" spans="1:8" x14ac:dyDescent="0.25">
      <c r="A698" s="914">
        <f>'House Count'!A698</f>
        <v>0</v>
      </c>
      <c r="B698" s="915">
        <f>'House Count'!E698</f>
        <v>0</v>
      </c>
      <c r="C698" s="915">
        <f>'House Count'!B698</f>
        <v>0</v>
      </c>
      <c r="D698" s="915">
        <f>'House Count'!C698</f>
        <v>0</v>
      </c>
      <c r="E698" s="915">
        <f>'House Count'!D698</f>
        <v>0</v>
      </c>
      <c r="F698" s="915" t="str">
        <f t="shared" si="10"/>
        <v/>
      </c>
      <c r="G698" s="915">
        <f>'House Count'!F698</f>
        <v>0</v>
      </c>
      <c r="H698" s="915">
        <f>'House Count'!H698</f>
        <v>0</v>
      </c>
    </row>
    <row r="699" spans="1:8" x14ac:dyDescent="0.25">
      <c r="A699" s="914">
        <f>'House Count'!A699</f>
        <v>0</v>
      </c>
      <c r="B699" s="915">
        <f>'House Count'!E699</f>
        <v>0</v>
      </c>
      <c r="C699" s="915">
        <f>'House Count'!B699</f>
        <v>0</v>
      </c>
      <c r="D699" s="915">
        <f>'House Count'!C699</f>
        <v>0</v>
      </c>
      <c r="E699" s="915">
        <f>'House Count'!D699</f>
        <v>0</v>
      </c>
      <c r="F699" s="915" t="str">
        <f t="shared" si="10"/>
        <v/>
      </c>
      <c r="G699" s="915">
        <f>'House Count'!F699</f>
        <v>0</v>
      </c>
      <c r="H699" s="915">
        <f>'House Count'!H699</f>
        <v>0</v>
      </c>
    </row>
    <row r="700" spans="1:8" x14ac:dyDescent="0.25">
      <c r="A700" s="914">
        <f>'House Count'!A700</f>
        <v>0</v>
      </c>
      <c r="B700" s="915">
        <f>'House Count'!E700</f>
        <v>0</v>
      </c>
      <c r="C700" s="915">
        <f>'House Count'!B700</f>
        <v>0</v>
      </c>
      <c r="D700" s="915">
        <f>'House Count'!C700</f>
        <v>0</v>
      </c>
      <c r="E700" s="915">
        <f>'House Count'!D700</f>
        <v>0</v>
      </c>
      <c r="F700" s="915" t="str">
        <f t="shared" si="10"/>
        <v/>
      </c>
      <c r="G700" s="915">
        <f>'House Count'!F700</f>
        <v>0</v>
      </c>
      <c r="H700" s="915">
        <f>'House Count'!H700</f>
        <v>0</v>
      </c>
    </row>
    <row r="701" spans="1:8" x14ac:dyDescent="0.25">
      <c r="A701" s="914">
        <f>'House Count'!A701</f>
        <v>0</v>
      </c>
      <c r="B701" s="915">
        <f>'House Count'!E701</f>
        <v>0</v>
      </c>
      <c r="C701" s="915">
        <f>'House Count'!B701</f>
        <v>0</v>
      </c>
      <c r="D701" s="915">
        <f>'House Count'!C701</f>
        <v>0</v>
      </c>
      <c r="E701" s="915">
        <f>'House Count'!D701</f>
        <v>0</v>
      </c>
      <c r="F701" s="915" t="str">
        <f t="shared" si="10"/>
        <v/>
      </c>
      <c r="G701" s="915">
        <f>'House Count'!F701</f>
        <v>0</v>
      </c>
      <c r="H701" s="915">
        <f>'House Count'!H701</f>
        <v>0</v>
      </c>
    </row>
    <row r="702" spans="1:8" x14ac:dyDescent="0.25">
      <c r="A702" s="914">
        <f>'House Count'!A702</f>
        <v>0</v>
      </c>
      <c r="B702" s="915">
        <f>'House Count'!E702</f>
        <v>0</v>
      </c>
      <c r="C702" s="915">
        <f>'House Count'!B702</f>
        <v>0</v>
      </c>
      <c r="D702" s="915">
        <f>'House Count'!C702</f>
        <v>0</v>
      </c>
      <c r="E702" s="915">
        <f>'House Count'!D702</f>
        <v>0</v>
      </c>
      <c r="F702" s="915" t="str">
        <f t="shared" si="10"/>
        <v/>
      </c>
      <c r="G702" s="915">
        <f>'House Count'!F702</f>
        <v>0</v>
      </c>
      <c r="H702" s="915">
        <f>'House Count'!H702</f>
        <v>0</v>
      </c>
    </row>
    <row r="703" spans="1:8" x14ac:dyDescent="0.25">
      <c r="A703" s="914">
        <f>'House Count'!A703</f>
        <v>0</v>
      </c>
      <c r="B703" s="915">
        <f>'House Count'!E703</f>
        <v>0</v>
      </c>
      <c r="C703" s="915">
        <f>'House Count'!B703</f>
        <v>0</v>
      </c>
      <c r="D703" s="915">
        <f>'House Count'!C703</f>
        <v>0</v>
      </c>
      <c r="E703" s="915">
        <f>'House Count'!D703</f>
        <v>0</v>
      </c>
      <c r="F703" s="915" t="str">
        <f t="shared" si="10"/>
        <v/>
      </c>
      <c r="G703" s="915">
        <f>'House Count'!F703</f>
        <v>0</v>
      </c>
      <c r="H703" s="915">
        <f>'House Count'!H703</f>
        <v>0</v>
      </c>
    </row>
    <row r="704" spans="1:8" x14ac:dyDescent="0.25">
      <c r="A704" s="914">
        <f>'House Count'!A704</f>
        <v>0</v>
      </c>
      <c r="B704" s="915">
        <f>'House Count'!E704</f>
        <v>0</v>
      </c>
      <c r="C704" s="915">
        <f>'House Count'!B704</f>
        <v>0</v>
      </c>
      <c r="D704" s="915">
        <f>'House Count'!C704</f>
        <v>0</v>
      </c>
      <c r="E704" s="915">
        <f>'House Count'!D704</f>
        <v>0</v>
      </c>
      <c r="F704" s="915" t="str">
        <f t="shared" si="10"/>
        <v/>
      </c>
      <c r="G704" s="915">
        <f>'House Count'!F704</f>
        <v>0</v>
      </c>
      <c r="H704" s="915">
        <f>'House Count'!H704</f>
        <v>0</v>
      </c>
    </row>
    <row r="705" spans="1:8" x14ac:dyDescent="0.25">
      <c r="A705" s="914">
        <f>'House Count'!A705</f>
        <v>0</v>
      </c>
      <c r="B705" s="915">
        <f>'House Count'!E705</f>
        <v>0</v>
      </c>
      <c r="C705" s="915">
        <f>'House Count'!B705</f>
        <v>0</v>
      </c>
      <c r="D705" s="915">
        <f>'House Count'!C705</f>
        <v>0</v>
      </c>
      <c r="E705" s="915">
        <f>'House Count'!D705</f>
        <v>0</v>
      </c>
      <c r="F705" s="915" t="str">
        <f t="shared" si="10"/>
        <v/>
      </c>
      <c r="G705" s="915">
        <f>'House Count'!F705</f>
        <v>0</v>
      </c>
      <c r="H705" s="915">
        <f>'House Count'!H705</f>
        <v>0</v>
      </c>
    </row>
    <row r="706" spans="1:8" x14ac:dyDescent="0.25">
      <c r="A706" s="914">
        <f>'House Count'!A706</f>
        <v>0</v>
      </c>
      <c r="B706" s="915">
        <f>'House Count'!E706</f>
        <v>0</v>
      </c>
      <c r="C706" s="915">
        <f>'House Count'!B706</f>
        <v>0</v>
      </c>
      <c r="D706" s="915">
        <f>'House Count'!C706</f>
        <v>0</v>
      </c>
      <c r="E706" s="915">
        <f>'House Count'!D706</f>
        <v>0</v>
      </c>
      <c r="F706" s="915" t="str">
        <f t="shared" si="10"/>
        <v/>
      </c>
      <c r="G706" s="915">
        <f>'House Count'!F706</f>
        <v>0</v>
      </c>
      <c r="H706" s="915">
        <f>'House Count'!H706</f>
        <v>0</v>
      </c>
    </row>
    <row r="707" spans="1:8" x14ac:dyDescent="0.25">
      <c r="A707" s="914">
        <f>'House Count'!A707</f>
        <v>0</v>
      </c>
      <c r="B707" s="915">
        <f>'House Count'!E707</f>
        <v>0</v>
      </c>
      <c r="C707" s="915">
        <f>'House Count'!B707</f>
        <v>0</v>
      </c>
      <c r="D707" s="915">
        <f>'House Count'!C707</f>
        <v>0</v>
      </c>
      <c r="E707" s="915">
        <f>'House Count'!D707</f>
        <v>0</v>
      </c>
      <c r="F707" s="915" t="str">
        <f t="shared" ref="F707:F770" si="11">IF(G707="RES-SFU","RESIDENTIAL",IF(G707="RES-HOA","RESIDENTIAL",IF(G707="RES-MDU","RESIDENTIAL",IF(G707="COMM-SU","BUSINESS",IF(G707="COM-MTU","BUSINESS",IF(G707="ENT","BUSINESS",""))))))</f>
        <v/>
      </c>
      <c r="G707" s="915">
        <f>'House Count'!F707</f>
        <v>0</v>
      </c>
      <c r="H707" s="915">
        <f>'House Count'!H707</f>
        <v>0</v>
      </c>
    </row>
    <row r="708" spans="1:8" x14ac:dyDescent="0.25">
      <c r="A708" s="914">
        <f>'House Count'!A708</f>
        <v>0</v>
      </c>
      <c r="B708" s="915">
        <f>'House Count'!E708</f>
        <v>0</v>
      </c>
      <c r="C708" s="915">
        <f>'House Count'!B708</f>
        <v>0</v>
      </c>
      <c r="D708" s="915">
        <f>'House Count'!C708</f>
        <v>0</v>
      </c>
      <c r="E708" s="915">
        <f>'House Count'!D708</f>
        <v>0</v>
      </c>
      <c r="F708" s="915" t="str">
        <f t="shared" si="11"/>
        <v/>
      </c>
      <c r="G708" s="915">
        <f>'House Count'!F708</f>
        <v>0</v>
      </c>
      <c r="H708" s="915">
        <f>'House Count'!H708</f>
        <v>0</v>
      </c>
    </row>
    <row r="709" spans="1:8" x14ac:dyDescent="0.25">
      <c r="A709" s="914">
        <f>'House Count'!A709</f>
        <v>0</v>
      </c>
      <c r="B709" s="915">
        <f>'House Count'!E709</f>
        <v>0</v>
      </c>
      <c r="C709" s="915">
        <f>'House Count'!B709</f>
        <v>0</v>
      </c>
      <c r="D709" s="915">
        <f>'House Count'!C709</f>
        <v>0</v>
      </c>
      <c r="E709" s="915">
        <f>'House Count'!D709</f>
        <v>0</v>
      </c>
      <c r="F709" s="915" t="str">
        <f t="shared" si="11"/>
        <v/>
      </c>
      <c r="G709" s="915">
        <f>'House Count'!F709</f>
        <v>0</v>
      </c>
      <c r="H709" s="915">
        <f>'House Count'!H709</f>
        <v>0</v>
      </c>
    </row>
    <row r="710" spans="1:8" x14ac:dyDescent="0.25">
      <c r="A710" s="914">
        <f>'House Count'!A710</f>
        <v>0</v>
      </c>
      <c r="B710" s="915">
        <f>'House Count'!E710</f>
        <v>0</v>
      </c>
      <c r="C710" s="915">
        <f>'House Count'!B710</f>
        <v>0</v>
      </c>
      <c r="D710" s="915">
        <f>'House Count'!C710</f>
        <v>0</v>
      </c>
      <c r="E710" s="915">
        <f>'House Count'!D710</f>
        <v>0</v>
      </c>
      <c r="F710" s="915" t="str">
        <f t="shared" si="11"/>
        <v/>
      </c>
      <c r="G710" s="915">
        <f>'House Count'!F710</f>
        <v>0</v>
      </c>
      <c r="H710" s="915">
        <f>'House Count'!H710</f>
        <v>0</v>
      </c>
    </row>
    <row r="711" spans="1:8" x14ac:dyDescent="0.25">
      <c r="A711" s="914">
        <f>'House Count'!A711</f>
        <v>0</v>
      </c>
      <c r="B711" s="915">
        <f>'House Count'!E711</f>
        <v>0</v>
      </c>
      <c r="C711" s="915">
        <f>'House Count'!B711</f>
        <v>0</v>
      </c>
      <c r="D711" s="915">
        <f>'House Count'!C711</f>
        <v>0</v>
      </c>
      <c r="E711" s="915">
        <f>'House Count'!D711</f>
        <v>0</v>
      </c>
      <c r="F711" s="915" t="str">
        <f t="shared" si="11"/>
        <v/>
      </c>
      <c r="G711" s="915">
        <f>'House Count'!F711</f>
        <v>0</v>
      </c>
      <c r="H711" s="915">
        <f>'House Count'!H711</f>
        <v>0</v>
      </c>
    </row>
    <row r="712" spans="1:8" x14ac:dyDescent="0.25">
      <c r="A712" s="914">
        <f>'House Count'!A712</f>
        <v>0</v>
      </c>
      <c r="B712" s="915">
        <f>'House Count'!E712</f>
        <v>0</v>
      </c>
      <c r="C712" s="915">
        <f>'House Count'!B712</f>
        <v>0</v>
      </c>
      <c r="D712" s="915">
        <f>'House Count'!C712</f>
        <v>0</v>
      </c>
      <c r="E712" s="915">
        <f>'House Count'!D712</f>
        <v>0</v>
      </c>
      <c r="F712" s="915" t="str">
        <f t="shared" si="11"/>
        <v/>
      </c>
      <c r="G712" s="915">
        <f>'House Count'!F712</f>
        <v>0</v>
      </c>
      <c r="H712" s="915">
        <f>'House Count'!H712</f>
        <v>0</v>
      </c>
    </row>
    <row r="713" spans="1:8" x14ac:dyDescent="0.25">
      <c r="A713" s="914">
        <f>'House Count'!A713</f>
        <v>0</v>
      </c>
      <c r="B713" s="915">
        <f>'House Count'!E713</f>
        <v>0</v>
      </c>
      <c r="C713" s="915">
        <f>'House Count'!B713</f>
        <v>0</v>
      </c>
      <c r="D713" s="915">
        <f>'House Count'!C713</f>
        <v>0</v>
      </c>
      <c r="E713" s="915">
        <f>'House Count'!D713</f>
        <v>0</v>
      </c>
      <c r="F713" s="915" t="str">
        <f t="shared" si="11"/>
        <v/>
      </c>
      <c r="G713" s="915">
        <f>'House Count'!F713</f>
        <v>0</v>
      </c>
      <c r="H713" s="915">
        <f>'House Count'!H713</f>
        <v>0</v>
      </c>
    </row>
    <row r="714" spans="1:8" x14ac:dyDescent="0.25">
      <c r="A714" s="914">
        <f>'House Count'!A714</f>
        <v>0</v>
      </c>
      <c r="B714" s="915">
        <f>'House Count'!E714</f>
        <v>0</v>
      </c>
      <c r="C714" s="915">
        <f>'House Count'!B714</f>
        <v>0</v>
      </c>
      <c r="D714" s="915">
        <f>'House Count'!C714</f>
        <v>0</v>
      </c>
      <c r="E714" s="915">
        <f>'House Count'!D714</f>
        <v>0</v>
      </c>
      <c r="F714" s="915" t="str">
        <f t="shared" si="11"/>
        <v/>
      </c>
      <c r="G714" s="915">
        <f>'House Count'!F714</f>
        <v>0</v>
      </c>
      <c r="H714" s="915">
        <f>'House Count'!H714</f>
        <v>0</v>
      </c>
    </row>
    <row r="715" spans="1:8" x14ac:dyDescent="0.25">
      <c r="A715" s="914">
        <f>'House Count'!A715</f>
        <v>0</v>
      </c>
      <c r="B715" s="915">
        <f>'House Count'!E715</f>
        <v>0</v>
      </c>
      <c r="C715" s="915">
        <f>'House Count'!B715</f>
        <v>0</v>
      </c>
      <c r="D715" s="915">
        <f>'House Count'!C715</f>
        <v>0</v>
      </c>
      <c r="E715" s="915">
        <f>'House Count'!D715</f>
        <v>0</v>
      </c>
      <c r="F715" s="915" t="str">
        <f t="shared" si="11"/>
        <v/>
      </c>
      <c r="G715" s="915">
        <f>'House Count'!F715</f>
        <v>0</v>
      </c>
      <c r="H715" s="915">
        <f>'House Count'!H715</f>
        <v>0</v>
      </c>
    </row>
    <row r="716" spans="1:8" x14ac:dyDescent="0.25">
      <c r="A716" s="914">
        <f>'House Count'!A716</f>
        <v>0</v>
      </c>
      <c r="B716" s="915">
        <f>'House Count'!E716</f>
        <v>0</v>
      </c>
      <c r="C716" s="915">
        <f>'House Count'!B716</f>
        <v>0</v>
      </c>
      <c r="D716" s="915">
        <f>'House Count'!C716</f>
        <v>0</v>
      </c>
      <c r="E716" s="915">
        <f>'House Count'!D716</f>
        <v>0</v>
      </c>
      <c r="F716" s="915" t="str">
        <f t="shared" si="11"/>
        <v/>
      </c>
      <c r="G716" s="915">
        <f>'House Count'!F716</f>
        <v>0</v>
      </c>
      <c r="H716" s="915">
        <f>'House Count'!H716</f>
        <v>0</v>
      </c>
    </row>
    <row r="717" spans="1:8" x14ac:dyDescent="0.25">
      <c r="A717" s="914">
        <f>'House Count'!A717</f>
        <v>0</v>
      </c>
      <c r="B717" s="915">
        <f>'House Count'!E717</f>
        <v>0</v>
      </c>
      <c r="C717" s="915">
        <f>'House Count'!B717</f>
        <v>0</v>
      </c>
      <c r="D717" s="915">
        <f>'House Count'!C717</f>
        <v>0</v>
      </c>
      <c r="E717" s="915">
        <f>'House Count'!D717</f>
        <v>0</v>
      </c>
      <c r="F717" s="915" t="str">
        <f t="shared" si="11"/>
        <v/>
      </c>
      <c r="G717" s="915">
        <f>'House Count'!F717</f>
        <v>0</v>
      </c>
      <c r="H717" s="915">
        <f>'House Count'!H717</f>
        <v>0</v>
      </c>
    </row>
    <row r="718" spans="1:8" x14ac:dyDescent="0.25">
      <c r="A718" s="914">
        <f>'House Count'!A718</f>
        <v>0</v>
      </c>
      <c r="B718" s="915">
        <f>'House Count'!E718</f>
        <v>0</v>
      </c>
      <c r="C718" s="915">
        <f>'House Count'!B718</f>
        <v>0</v>
      </c>
      <c r="D718" s="915">
        <f>'House Count'!C718</f>
        <v>0</v>
      </c>
      <c r="E718" s="915">
        <f>'House Count'!D718</f>
        <v>0</v>
      </c>
      <c r="F718" s="915" t="str">
        <f t="shared" si="11"/>
        <v/>
      </c>
      <c r="G718" s="915">
        <f>'House Count'!F718</f>
        <v>0</v>
      </c>
      <c r="H718" s="915">
        <f>'House Count'!H718</f>
        <v>0</v>
      </c>
    </row>
    <row r="719" spans="1:8" x14ac:dyDescent="0.25">
      <c r="A719" s="914">
        <f>'House Count'!A719</f>
        <v>0</v>
      </c>
      <c r="B719" s="915">
        <f>'House Count'!E719</f>
        <v>0</v>
      </c>
      <c r="C719" s="915">
        <f>'House Count'!B719</f>
        <v>0</v>
      </c>
      <c r="D719" s="915">
        <f>'House Count'!C719</f>
        <v>0</v>
      </c>
      <c r="E719" s="915">
        <f>'House Count'!D719</f>
        <v>0</v>
      </c>
      <c r="F719" s="915" t="str">
        <f t="shared" si="11"/>
        <v/>
      </c>
      <c r="G719" s="915">
        <f>'House Count'!F719</f>
        <v>0</v>
      </c>
      <c r="H719" s="915">
        <f>'House Count'!H719</f>
        <v>0</v>
      </c>
    </row>
    <row r="720" spans="1:8" x14ac:dyDescent="0.25">
      <c r="A720" s="914">
        <f>'House Count'!A720</f>
        <v>0</v>
      </c>
      <c r="B720" s="915">
        <f>'House Count'!E720</f>
        <v>0</v>
      </c>
      <c r="C720" s="915">
        <f>'House Count'!B720</f>
        <v>0</v>
      </c>
      <c r="D720" s="915">
        <f>'House Count'!C720</f>
        <v>0</v>
      </c>
      <c r="E720" s="915">
        <f>'House Count'!D720</f>
        <v>0</v>
      </c>
      <c r="F720" s="915" t="str">
        <f t="shared" si="11"/>
        <v/>
      </c>
      <c r="G720" s="915">
        <f>'House Count'!F720</f>
        <v>0</v>
      </c>
      <c r="H720" s="915">
        <f>'House Count'!H720</f>
        <v>0</v>
      </c>
    </row>
    <row r="721" spans="1:8" x14ac:dyDescent="0.25">
      <c r="A721" s="914">
        <f>'House Count'!A721</f>
        <v>0</v>
      </c>
      <c r="B721" s="915">
        <f>'House Count'!E721</f>
        <v>0</v>
      </c>
      <c r="C721" s="915">
        <f>'House Count'!B721</f>
        <v>0</v>
      </c>
      <c r="D721" s="915">
        <f>'House Count'!C721</f>
        <v>0</v>
      </c>
      <c r="E721" s="915">
        <f>'House Count'!D721</f>
        <v>0</v>
      </c>
      <c r="F721" s="915" t="str">
        <f t="shared" si="11"/>
        <v/>
      </c>
      <c r="G721" s="915">
        <f>'House Count'!F721</f>
        <v>0</v>
      </c>
      <c r="H721" s="915">
        <f>'House Count'!H721</f>
        <v>0</v>
      </c>
    </row>
    <row r="722" spans="1:8" x14ac:dyDescent="0.25">
      <c r="A722" s="914">
        <f>'House Count'!A722</f>
        <v>0</v>
      </c>
      <c r="B722" s="915">
        <f>'House Count'!E722</f>
        <v>0</v>
      </c>
      <c r="C722" s="915">
        <f>'House Count'!B722</f>
        <v>0</v>
      </c>
      <c r="D722" s="915">
        <f>'House Count'!C722</f>
        <v>0</v>
      </c>
      <c r="E722" s="915">
        <f>'House Count'!D722</f>
        <v>0</v>
      </c>
      <c r="F722" s="915" t="str">
        <f t="shared" si="11"/>
        <v/>
      </c>
      <c r="G722" s="915">
        <f>'House Count'!F722</f>
        <v>0</v>
      </c>
      <c r="H722" s="915">
        <f>'House Count'!H722</f>
        <v>0</v>
      </c>
    </row>
    <row r="723" spans="1:8" x14ac:dyDescent="0.25">
      <c r="A723" s="914">
        <f>'House Count'!A723</f>
        <v>0</v>
      </c>
      <c r="B723" s="915">
        <f>'House Count'!E723</f>
        <v>0</v>
      </c>
      <c r="C723" s="915">
        <f>'House Count'!B723</f>
        <v>0</v>
      </c>
      <c r="D723" s="915">
        <f>'House Count'!C723</f>
        <v>0</v>
      </c>
      <c r="E723" s="915">
        <f>'House Count'!D723</f>
        <v>0</v>
      </c>
      <c r="F723" s="915" t="str">
        <f t="shared" si="11"/>
        <v/>
      </c>
      <c r="G723" s="915">
        <f>'House Count'!F723</f>
        <v>0</v>
      </c>
      <c r="H723" s="915">
        <f>'House Count'!H723</f>
        <v>0</v>
      </c>
    </row>
    <row r="724" spans="1:8" x14ac:dyDescent="0.25">
      <c r="A724" s="914">
        <f>'House Count'!A724</f>
        <v>0</v>
      </c>
      <c r="B724" s="915">
        <f>'House Count'!E724</f>
        <v>0</v>
      </c>
      <c r="C724" s="915">
        <f>'House Count'!B724</f>
        <v>0</v>
      </c>
      <c r="D724" s="915">
        <f>'House Count'!C724</f>
        <v>0</v>
      </c>
      <c r="E724" s="915">
        <f>'House Count'!D724</f>
        <v>0</v>
      </c>
      <c r="F724" s="915" t="str">
        <f t="shared" si="11"/>
        <v/>
      </c>
      <c r="G724" s="915">
        <f>'House Count'!F724</f>
        <v>0</v>
      </c>
      <c r="H724" s="915">
        <f>'House Count'!H724</f>
        <v>0</v>
      </c>
    </row>
    <row r="725" spans="1:8" x14ac:dyDescent="0.25">
      <c r="A725" s="914">
        <f>'House Count'!A725</f>
        <v>0</v>
      </c>
      <c r="B725" s="915">
        <f>'House Count'!E725</f>
        <v>0</v>
      </c>
      <c r="C725" s="915">
        <f>'House Count'!B725</f>
        <v>0</v>
      </c>
      <c r="D725" s="915">
        <f>'House Count'!C725</f>
        <v>0</v>
      </c>
      <c r="E725" s="915">
        <f>'House Count'!D725</f>
        <v>0</v>
      </c>
      <c r="F725" s="915" t="str">
        <f t="shared" si="11"/>
        <v/>
      </c>
      <c r="G725" s="915">
        <f>'House Count'!F725</f>
        <v>0</v>
      </c>
      <c r="H725" s="915">
        <f>'House Count'!H725</f>
        <v>0</v>
      </c>
    </row>
    <row r="726" spans="1:8" x14ac:dyDescent="0.25">
      <c r="A726" s="914">
        <f>'House Count'!A726</f>
        <v>0</v>
      </c>
      <c r="B726" s="915">
        <f>'House Count'!E726</f>
        <v>0</v>
      </c>
      <c r="C726" s="915">
        <f>'House Count'!B726</f>
        <v>0</v>
      </c>
      <c r="D726" s="915">
        <f>'House Count'!C726</f>
        <v>0</v>
      </c>
      <c r="E726" s="915">
        <f>'House Count'!D726</f>
        <v>0</v>
      </c>
      <c r="F726" s="915" t="str">
        <f t="shared" si="11"/>
        <v/>
      </c>
      <c r="G726" s="915">
        <f>'House Count'!F726</f>
        <v>0</v>
      </c>
      <c r="H726" s="915">
        <f>'House Count'!H726</f>
        <v>0</v>
      </c>
    </row>
    <row r="727" spans="1:8" x14ac:dyDescent="0.25">
      <c r="A727" s="914">
        <f>'House Count'!A727</f>
        <v>0</v>
      </c>
      <c r="B727" s="915">
        <f>'House Count'!E727</f>
        <v>0</v>
      </c>
      <c r="C727" s="915">
        <f>'House Count'!B727</f>
        <v>0</v>
      </c>
      <c r="D727" s="915">
        <f>'House Count'!C727</f>
        <v>0</v>
      </c>
      <c r="E727" s="915">
        <f>'House Count'!D727</f>
        <v>0</v>
      </c>
      <c r="F727" s="915" t="str">
        <f t="shared" si="11"/>
        <v/>
      </c>
      <c r="G727" s="915">
        <f>'House Count'!F727</f>
        <v>0</v>
      </c>
      <c r="H727" s="915">
        <f>'House Count'!H727</f>
        <v>0</v>
      </c>
    </row>
    <row r="728" spans="1:8" x14ac:dyDescent="0.25">
      <c r="A728" s="914">
        <f>'House Count'!A728</f>
        <v>0</v>
      </c>
      <c r="B728" s="915">
        <f>'House Count'!E728</f>
        <v>0</v>
      </c>
      <c r="C728" s="915">
        <f>'House Count'!B728</f>
        <v>0</v>
      </c>
      <c r="D728" s="915">
        <f>'House Count'!C728</f>
        <v>0</v>
      </c>
      <c r="E728" s="915">
        <f>'House Count'!D728</f>
        <v>0</v>
      </c>
      <c r="F728" s="915" t="str">
        <f t="shared" si="11"/>
        <v/>
      </c>
      <c r="G728" s="915">
        <f>'House Count'!F728</f>
        <v>0</v>
      </c>
      <c r="H728" s="915">
        <f>'House Count'!H728</f>
        <v>0</v>
      </c>
    </row>
    <row r="729" spans="1:8" x14ac:dyDescent="0.25">
      <c r="A729" s="914">
        <f>'House Count'!A729</f>
        <v>0</v>
      </c>
      <c r="B729" s="915">
        <f>'House Count'!E729</f>
        <v>0</v>
      </c>
      <c r="C729" s="915">
        <f>'House Count'!B729</f>
        <v>0</v>
      </c>
      <c r="D729" s="915">
        <f>'House Count'!C729</f>
        <v>0</v>
      </c>
      <c r="E729" s="915">
        <f>'House Count'!D729</f>
        <v>0</v>
      </c>
      <c r="F729" s="915" t="str">
        <f t="shared" si="11"/>
        <v/>
      </c>
      <c r="G729" s="915">
        <f>'House Count'!F729</f>
        <v>0</v>
      </c>
      <c r="H729" s="915">
        <f>'House Count'!H729</f>
        <v>0</v>
      </c>
    </row>
    <row r="730" spans="1:8" x14ac:dyDescent="0.25">
      <c r="A730" s="914">
        <f>'House Count'!A730</f>
        <v>0</v>
      </c>
      <c r="B730" s="915">
        <f>'House Count'!E730</f>
        <v>0</v>
      </c>
      <c r="C730" s="915">
        <f>'House Count'!B730</f>
        <v>0</v>
      </c>
      <c r="D730" s="915">
        <f>'House Count'!C730</f>
        <v>0</v>
      </c>
      <c r="E730" s="915">
        <f>'House Count'!D730</f>
        <v>0</v>
      </c>
      <c r="F730" s="915" t="str">
        <f t="shared" si="11"/>
        <v/>
      </c>
      <c r="G730" s="915">
        <f>'House Count'!F730</f>
        <v>0</v>
      </c>
      <c r="H730" s="915">
        <f>'House Count'!H730</f>
        <v>0</v>
      </c>
    </row>
    <row r="731" spans="1:8" x14ac:dyDescent="0.25">
      <c r="A731" s="914">
        <f>'House Count'!A731</f>
        <v>0</v>
      </c>
      <c r="B731" s="915">
        <f>'House Count'!E731</f>
        <v>0</v>
      </c>
      <c r="C731" s="915">
        <f>'House Count'!B731</f>
        <v>0</v>
      </c>
      <c r="D731" s="915">
        <f>'House Count'!C731</f>
        <v>0</v>
      </c>
      <c r="E731" s="915">
        <f>'House Count'!D731</f>
        <v>0</v>
      </c>
      <c r="F731" s="915" t="str">
        <f t="shared" si="11"/>
        <v/>
      </c>
      <c r="G731" s="915">
        <f>'House Count'!F731</f>
        <v>0</v>
      </c>
      <c r="H731" s="915">
        <f>'House Count'!H731</f>
        <v>0</v>
      </c>
    </row>
    <row r="732" spans="1:8" x14ac:dyDescent="0.25">
      <c r="A732" s="914">
        <f>'House Count'!A732</f>
        <v>0</v>
      </c>
      <c r="B732" s="915">
        <f>'House Count'!E732</f>
        <v>0</v>
      </c>
      <c r="C732" s="915">
        <f>'House Count'!B732</f>
        <v>0</v>
      </c>
      <c r="D732" s="915">
        <f>'House Count'!C732</f>
        <v>0</v>
      </c>
      <c r="E732" s="915">
        <f>'House Count'!D732</f>
        <v>0</v>
      </c>
      <c r="F732" s="915" t="str">
        <f t="shared" si="11"/>
        <v/>
      </c>
      <c r="G732" s="915">
        <f>'House Count'!F732</f>
        <v>0</v>
      </c>
      <c r="H732" s="915">
        <f>'House Count'!H732</f>
        <v>0</v>
      </c>
    </row>
    <row r="733" spans="1:8" x14ac:dyDescent="0.25">
      <c r="A733" s="914">
        <f>'House Count'!A733</f>
        <v>0</v>
      </c>
      <c r="B733" s="915">
        <f>'House Count'!E733</f>
        <v>0</v>
      </c>
      <c r="C733" s="915">
        <f>'House Count'!B733</f>
        <v>0</v>
      </c>
      <c r="D733" s="915">
        <f>'House Count'!C733</f>
        <v>0</v>
      </c>
      <c r="E733" s="915">
        <f>'House Count'!D733</f>
        <v>0</v>
      </c>
      <c r="F733" s="915" t="str">
        <f t="shared" si="11"/>
        <v/>
      </c>
      <c r="G733" s="915">
        <f>'House Count'!F733</f>
        <v>0</v>
      </c>
      <c r="H733" s="915">
        <f>'House Count'!H733</f>
        <v>0</v>
      </c>
    </row>
    <row r="734" spans="1:8" x14ac:dyDescent="0.25">
      <c r="A734" s="914">
        <f>'House Count'!A734</f>
        <v>0</v>
      </c>
      <c r="B734" s="915">
        <f>'House Count'!E734</f>
        <v>0</v>
      </c>
      <c r="C734" s="915">
        <f>'House Count'!B734</f>
        <v>0</v>
      </c>
      <c r="D734" s="915">
        <f>'House Count'!C734</f>
        <v>0</v>
      </c>
      <c r="E734" s="915">
        <f>'House Count'!D734</f>
        <v>0</v>
      </c>
      <c r="F734" s="915" t="str">
        <f t="shared" si="11"/>
        <v/>
      </c>
      <c r="G734" s="915">
        <f>'House Count'!F734</f>
        <v>0</v>
      </c>
      <c r="H734" s="915">
        <f>'House Count'!H734</f>
        <v>0</v>
      </c>
    </row>
    <row r="735" spans="1:8" x14ac:dyDescent="0.25">
      <c r="A735" s="914">
        <f>'House Count'!A735</f>
        <v>0</v>
      </c>
      <c r="B735" s="915">
        <f>'House Count'!E735</f>
        <v>0</v>
      </c>
      <c r="C735" s="915">
        <f>'House Count'!B735</f>
        <v>0</v>
      </c>
      <c r="D735" s="915">
        <f>'House Count'!C735</f>
        <v>0</v>
      </c>
      <c r="E735" s="915">
        <f>'House Count'!D735</f>
        <v>0</v>
      </c>
      <c r="F735" s="915" t="str">
        <f t="shared" si="11"/>
        <v/>
      </c>
      <c r="G735" s="915">
        <f>'House Count'!F735</f>
        <v>0</v>
      </c>
      <c r="H735" s="915">
        <f>'House Count'!H735</f>
        <v>0</v>
      </c>
    </row>
    <row r="736" spans="1:8" x14ac:dyDescent="0.25">
      <c r="A736" s="914">
        <f>'House Count'!A736</f>
        <v>0</v>
      </c>
      <c r="B736" s="915">
        <f>'House Count'!E736</f>
        <v>0</v>
      </c>
      <c r="C736" s="915">
        <f>'House Count'!B736</f>
        <v>0</v>
      </c>
      <c r="D736" s="915">
        <f>'House Count'!C736</f>
        <v>0</v>
      </c>
      <c r="E736" s="915">
        <f>'House Count'!D736</f>
        <v>0</v>
      </c>
      <c r="F736" s="915" t="str">
        <f t="shared" si="11"/>
        <v/>
      </c>
      <c r="G736" s="915">
        <f>'House Count'!F736</f>
        <v>0</v>
      </c>
      <c r="H736" s="915">
        <f>'House Count'!H736</f>
        <v>0</v>
      </c>
    </row>
    <row r="737" spans="1:8" x14ac:dyDescent="0.25">
      <c r="A737" s="914">
        <f>'House Count'!A737</f>
        <v>0</v>
      </c>
      <c r="B737" s="915">
        <f>'House Count'!E737</f>
        <v>0</v>
      </c>
      <c r="C737" s="915">
        <f>'House Count'!B737</f>
        <v>0</v>
      </c>
      <c r="D737" s="915">
        <f>'House Count'!C737</f>
        <v>0</v>
      </c>
      <c r="E737" s="915">
        <f>'House Count'!D737</f>
        <v>0</v>
      </c>
      <c r="F737" s="915" t="str">
        <f t="shared" si="11"/>
        <v/>
      </c>
      <c r="G737" s="915">
        <f>'House Count'!F737</f>
        <v>0</v>
      </c>
      <c r="H737" s="915">
        <f>'House Count'!H737</f>
        <v>0</v>
      </c>
    </row>
    <row r="738" spans="1:8" x14ac:dyDescent="0.25">
      <c r="A738" s="914">
        <f>'House Count'!A738</f>
        <v>0</v>
      </c>
      <c r="B738" s="915">
        <f>'House Count'!E738</f>
        <v>0</v>
      </c>
      <c r="C738" s="915">
        <f>'House Count'!B738</f>
        <v>0</v>
      </c>
      <c r="D738" s="915">
        <f>'House Count'!C738</f>
        <v>0</v>
      </c>
      <c r="E738" s="915">
        <f>'House Count'!D738</f>
        <v>0</v>
      </c>
      <c r="F738" s="915" t="str">
        <f t="shared" si="11"/>
        <v/>
      </c>
      <c r="G738" s="915">
        <f>'House Count'!F738</f>
        <v>0</v>
      </c>
      <c r="H738" s="915">
        <f>'House Count'!H738</f>
        <v>0</v>
      </c>
    </row>
    <row r="739" spans="1:8" x14ac:dyDescent="0.25">
      <c r="A739" s="914">
        <f>'House Count'!A739</f>
        <v>0</v>
      </c>
      <c r="B739" s="915">
        <f>'House Count'!E739</f>
        <v>0</v>
      </c>
      <c r="C739" s="915">
        <f>'House Count'!B739</f>
        <v>0</v>
      </c>
      <c r="D739" s="915">
        <f>'House Count'!C739</f>
        <v>0</v>
      </c>
      <c r="E739" s="915">
        <f>'House Count'!D739</f>
        <v>0</v>
      </c>
      <c r="F739" s="915" t="str">
        <f t="shared" si="11"/>
        <v/>
      </c>
      <c r="G739" s="915">
        <f>'House Count'!F739</f>
        <v>0</v>
      </c>
      <c r="H739" s="915">
        <f>'House Count'!H739</f>
        <v>0</v>
      </c>
    </row>
    <row r="740" spans="1:8" x14ac:dyDescent="0.25">
      <c r="A740" s="914">
        <f>'House Count'!A740</f>
        <v>0</v>
      </c>
      <c r="B740" s="915">
        <f>'House Count'!E740</f>
        <v>0</v>
      </c>
      <c r="C740" s="915">
        <f>'House Count'!B740</f>
        <v>0</v>
      </c>
      <c r="D740" s="915">
        <f>'House Count'!C740</f>
        <v>0</v>
      </c>
      <c r="E740" s="915">
        <f>'House Count'!D740</f>
        <v>0</v>
      </c>
      <c r="F740" s="915" t="str">
        <f t="shared" si="11"/>
        <v/>
      </c>
      <c r="G740" s="915">
        <f>'House Count'!F740</f>
        <v>0</v>
      </c>
      <c r="H740" s="915">
        <f>'House Count'!H740</f>
        <v>0</v>
      </c>
    </row>
    <row r="741" spans="1:8" x14ac:dyDescent="0.25">
      <c r="A741" s="914">
        <f>'House Count'!A741</f>
        <v>0</v>
      </c>
      <c r="B741" s="915">
        <f>'House Count'!E741</f>
        <v>0</v>
      </c>
      <c r="C741" s="915">
        <f>'House Count'!B741</f>
        <v>0</v>
      </c>
      <c r="D741" s="915">
        <f>'House Count'!C741</f>
        <v>0</v>
      </c>
      <c r="E741" s="915">
        <f>'House Count'!D741</f>
        <v>0</v>
      </c>
      <c r="F741" s="915" t="str">
        <f t="shared" si="11"/>
        <v/>
      </c>
      <c r="G741" s="915">
        <f>'House Count'!F741</f>
        <v>0</v>
      </c>
      <c r="H741" s="915">
        <f>'House Count'!H741</f>
        <v>0</v>
      </c>
    </row>
    <row r="742" spans="1:8" x14ac:dyDescent="0.25">
      <c r="A742" s="914">
        <f>'House Count'!A742</f>
        <v>0</v>
      </c>
      <c r="B742" s="915">
        <f>'House Count'!E742</f>
        <v>0</v>
      </c>
      <c r="C742" s="915">
        <f>'House Count'!B742</f>
        <v>0</v>
      </c>
      <c r="D742" s="915">
        <f>'House Count'!C742</f>
        <v>0</v>
      </c>
      <c r="E742" s="915">
        <f>'House Count'!D742</f>
        <v>0</v>
      </c>
      <c r="F742" s="915" t="str">
        <f t="shared" si="11"/>
        <v/>
      </c>
      <c r="G742" s="915">
        <f>'House Count'!F742</f>
        <v>0</v>
      </c>
      <c r="H742" s="915">
        <f>'House Count'!H742</f>
        <v>0</v>
      </c>
    </row>
    <row r="743" spans="1:8" x14ac:dyDescent="0.25">
      <c r="A743" s="914">
        <f>'House Count'!A743</f>
        <v>0</v>
      </c>
      <c r="B743" s="915">
        <f>'House Count'!E743</f>
        <v>0</v>
      </c>
      <c r="C743" s="915">
        <f>'House Count'!B743</f>
        <v>0</v>
      </c>
      <c r="D743" s="915">
        <f>'House Count'!C743</f>
        <v>0</v>
      </c>
      <c r="E743" s="915">
        <f>'House Count'!D743</f>
        <v>0</v>
      </c>
      <c r="F743" s="915" t="str">
        <f t="shared" si="11"/>
        <v/>
      </c>
      <c r="G743" s="915">
        <f>'House Count'!F743</f>
        <v>0</v>
      </c>
      <c r="H743" s="915">
        <f>'House Count'!H743</f>
        <v>0</v>
      </c>
    </row>
    <row r="744" spans="1:8" x14ac:dyDescent="0.25">
      <c r="A744" s="914">
        <f>'House Count'!A744</f>
        <v>0</v>
      </c>
      <c r="B744" s="915">
        <f>'House Count'!E744</f>
        <v>0</v>
      </c>
      <c r="C744" s="915">
        <f>'House Count'!B744</f>
        <v>0</v>
      </c>
      <c r="D744" s="915">
        <f>'House Count'!C744</f>
        <v>0</v>
      </c>
      <c r="E744" s="915">
        <f>'House Count'!D744</f>
        <v>0</v>
      </c>
      <c r="F744" s="915" t="str">
        <f t="shared" si="11"/>
        <v/>
      </c>
      <c r="G744" s="915">
        <f>'House Count'!F744</f>
        <v>0</v>
      </c>
      <c r="H744" s="915">
        <f>'House Count'!H744</f>
        <v>0</v>
      </c>
    </row>
    <row r="745" spans="1:8" x14ac:dyDescent="0.25">
      <c r="A745" s="914">
        <f>'House Count'!A745</f>
        <v>0</v>
      </c>
      <c r="B745" s="915">
        <f>'House Count'!E745</f>
        <v>0</v>
      </c>
      <c r="C745" s="915">
        <f>'House Count'!B745</f>
        <v>0</v>
      </c>
      <c r="D745" s="915">
        <f>'House Count'!C745</f>
        <v>0</v>
      </c>
      <c r="E745" s="915">
        <f>'House Count'!D745</f>
        <v>0</v>
      </c>
      <c r="F745" s="915" t="str">
        <f t="shared" si="11"/>
        <v/>
      </c>
      <c r="G745" s="915">
        <f>'House Count'!F745</f>
        <v>0</v>
      </c>
      <c r="H745" s="915">
        <f>'House Count'!H745</f>
        <v>0</v>
      </c>
    </row>
    <row r="746" spans="1:8" x14ac:dyDescent="0.25">
      <c r="A746" s="914">
        <f>'House Count'!A746</f>
        <v>0</v>
      </c>
      <c r="B746" s="915">
        <f>'House Count'!E746</f>
        <v>0</v>
      </c>
      <c r="C746" s="915">
        <f>'House Count'!B746</f>
        <v>0</v>
      </c>
      <c r="D746" s="915">
        <f>'House Count'!C746</f>
        <v>0</v>
      </c>
      <c r="E746" s="915">
        <f>'House Count'!D746</f>
        <v>0</v>
      </c>
      <c r="F746" s="915" t="str">
        <f t="shared" si="11"/>
        <v/>
      </c>
      <c r="G746" s="915">
        <f>'House Count'!F746</f>
        <v>0</v>
      </c>
      <c r="H746" s="915">
        <f>'House Count'!H746</f>
        <v>0</v>
      </c>
    </row>
    <row r="747" spans="1:8" x14ac:dyDescent="0.25">
      <c r="A747" s="914">
        <f>'House Count'!A747</f>
        <v>0</v>
      </c>
      <c r="B747" s="915">
        <f>'House Count'!E747</f>
        <v>0</v>
      </c>
      <c r="C747" s="915">
        <f>'House Count'!B747</f>
        <v>0</v>
      </c>
      <c r="D747" s="915">
        <f>'House Count'!C747</f>
        <v>0</v>
      </c>
      <c r="E747" s="915">
        <f>'House Count'!D747</f>
        <v>0</v>
      </c>
      <c r="F747" s="915" t="str">
        <f t="shared" si="11"/>
        <v/>
      </c>
      <c r="G747" s="915">
        <f>'House Count'!F747</f>
        <v>0</v>
      </c>
      <c r="H747" s="915">
        <f>'House Count'!H747</f>
        <v>0</v>
      </c>
    </row>
    <row r="748" spans="1:8" x14ac:dyDescent="0.25">
      <c r="A748" s="914">
        <f>'House Count'!A748</f>
        <v>0</v>
      </c>
      <c r="B748" s="915">
        <f>'House Count'!E748</f>
        <v>0</v>
      </c>
      <c r="C748" s="915">
        <f>'House Count'!B748</f>
        <v>0</v>
      </c>
      <c r="D748" s="915">
        <f>'House Count'!C748</f>
        <v>0</v>
      </c>
      <c r="E748" s="915">
        <f>'House Count'!D748</f>
        <v>0</v>
      </c>
      <c r="F748" s="915" t="str">
        <f t="shared" si="11"/>
        <v/>
      </c>
      <c r="G748" s="915">
        <f>'House Count'!F748</f>
        <v>0</v>
      </c>
      <c r="H748" s="915">
        <f>'House Count'!H748</f>
        <v>0</v>
      </c>
    </row>
    <row r="749" spans="1:8" x14ac:dyDescent="0.25">
      <c r="A749" s="914">
        <f>'House Count'!A749</f>
        <v>0</v>
      </c>
      <c r="B749" s="915">
        <f>'House Count'!E749</f>
        <v>0</v>
      </c>
      <c r="C749" s="915">
        <f>'House Count'!B749</f>
        <v>0</v>
      </c>
      <c r="D749" s="915">
        <f>'House Count'!C749</f>
        <v>0</v>
      </c>
      <c r="E749" s="915">
        <f>'House Count'!D749</f>
        <v>0</v>
      </c>
      <c r="F749" s="915" t="str">
        <f t="shared" si="11"/>
        <v/>
      </c>
      <c r="G749" s="915">
        <f>'House Count'!F749</f>
        <v>0</v>
      </c>
      <c r="H749" s="915">
        <f>'House Count'!H749</f>
        <v>0</v>
      </c>
    </row>
    <row r="750" spans="1:8" x14ac:dyDescent="0.25">
      <c r="A750" s="914">
        <f>'House Count'!A750</f>
        <v>0</v>
      </c>
      <c r="B750" s="915">
        <f>'House Count'!E750</f>
        <v>0</v>
      </c>
      <c r="C750" s="915">
        <f>'House Count'!B750</f>
        <v>0</v>
      </c>
      <c r="D750" s="915">
        <f>'House Count'!C750</f>
        <v>0</v>
      </c>
      <c r="E750" s="915">
        <f>'House Count'!D750</f>
        <v>0</v>
      </c>
      <c r="F750" s="915" t="str">
        <f t="shared" si="11"/>
        <v/>
      </c>
      <c r="G750" s="915">
        <f>'House Count'!F750</f>
        <v>0</v>
      </c>
      <c r="H750" s="915">
        <f>'House Count'!H750</f>
        <v>0</v>
      </c>
    </row>
    <row r="751" spans="1:8" x14ac:dyDescent="0.25">
      <c r="A751" s="914">
        <f>'House Count'!A751</f>
        <v>0</v>
      </c>
      <c r="B751" s="915">
        <f>'House Count'!E751</f>
        <v>0</v>
      </c>
      <c r="C751" s="915">
        <f>'House Count'!B751</f>
        <v>0</v>
      </c>
      <c r="D751" s="915">
        <f>'House Count'!C751</f>
        <v>0</v>
      </c>
      <c r="E751" s="915">
        <f>'House Count'!D751</f>
        <v>0</v>
      </c>
      <c r="F751" s="915" t="str">
        <f t="shared" si="11"/>
        <v/>
      </c>
      <c r="G751" s="915">
        <f>'House Count'!F751</f>
        <v>0</v>
      </c>
      <c r="H751" s="915">
        <f>'House Count'!H751</f>
        <v>0</v>
      </c>
    </row>
    <row r="752" spans="1:8" x14ac:dyDescent="0.25">
      <c r="A752" s="914">
        <f>'House Count'!A752</f>
        <v>0</v>
      </c>
      <c r="B752" s="915">
        <f>'House Count'!E752</f>
        <v>0</v>
      </c>
      <c r="C752" s="915">
        <f>'House Count'!B752</f>
        <v>0</v>
      </c>
      <c r="D752" s="915">
        <f>'House Count'!C752</f>
        <v>0</v>
      </c>
      <c r="E752" s="915">
        <f>'House Count'!D752</f>
        <v>0</v>
      </c>
      <c r="F752" s="915" t="str">
        <f t="shared" si="11"/>
        <v/>
      </c>
      <c r="G752" s="915">
        <f>'House Count'!F752</f>
        <v>0</v>
      </c>
      <c r="H752" s="915">
        <f>'House Count'!H752</f>
        <v>0</v>
      </c>
    </row>
    <row r="753" spans="1:8" x14ac:dyDescent="0.25">
      <c r="A753" s="914">
        <f>'House Count'!A753</f>
        <v>0</v>
      </c>
      <c r="B753" s="915">
        <f>'House Count'!E753</f>
        <v>0</v>
      </c>
      <c r="C753" s="915">
        <f>'House Count'!B753</f>
        <v>0</v>
      </c>
      <c r="D753" s="915">
        <f>'House Count'!C753</f>
        <v>0</v>
      </c>
      <c r="E753" s="915">
        <f>'House Count'!D753</f>
        <v>0</v>
      </c>
      <c r="F753" s="915" t="str">
        <f t="shared" si="11"/>
        <v/>
      </c>
      <c r="G753" s="915">
        <f>'House Count'!F753</f>
        <v>0</v>
      </c>
      <c r="H753" s="915">
        <f>'House Count'!H753</f>
        <v>0</v>
      </c>
    </row>
    <row r="754" spans="1:8" x14ac:dyDescent="0.25">
      <c r="A754" s="914">
        <f>'House Count'!A754</f>
        <v>0</v>
      </c>
      <c r="B754" s="915">
        <f>'House Count'!E754</f>
        <v>0</v>
      </c>
      <c r="C754" s="915">
        <f>'House Count'!B754</f>
        <v>0</v>
      </c>
      <c r="D754" s="915">
        <f>'House Count'!C754</f>
        <v>0</v>
      </c>
      <c r="E754" s="915">
        <f>'House Count'!D754</f>
        <v>0</v>
      </c>
      <c r="F754" s="915" t="str">
        <f t="shared" si="11"/>
        <v/>
      </c>
      <c r="G754" s="915">
        <f>'House Count'!F754</f>
        <v>0</v>
      </c>
      <c r="H754" s="915">
        <f>'House Count'!H754</f>
        <v>0</v>
      </c>
    </row>
    <row r="755" spans="1:8" x14ac:dyDescent="0.25">
      <c r="A755" s="914">
        <f>'House Count'!A755</f>
        <v>0</v>
      </c>
      <c r="B755" s="915">
        <f>'House Count'!E755</f>
        <v>0</v>
      </c>
      <c r="C755" s="915">
        <f>'House Count'!B755</f>
        <v>0</v>
      </c>
      <c r="D755" s="915">
        <f>'House Count'!C755</f>
        <v>0</v>
      </c>
      <c r="E755" s="915">
        <f>'House Count'!D755</f>
        <v>0</v>
      </c>
      <c r="F755" s="915" t="str">
        <f t="shared" si="11"/>
        <v/>
      </c>
      <c r="G755" s="915">
        <f>'House Count'!F755</f>
        <v>0</v>
      </c>
      <c r="H755" s="915">
        <f>'House Count'!H755</f>
        <v>0</v>
      </c>
    </row>
    <row r="756" spans="1:8" x14ac:dyDescent="0.25">
      <c r="A756" s="914">
        <f>'House Count'!A756</f>
        <v>0</v>
      </c>
      <c r="B756" s="915">
        <f>'House Count'!E756</f>
        <v>0</v>
      </c>
      <c r="C756" s="915">
        <f>'House Count'!B756</f>
        <v>0</v>
      </c>
      <c r="D756" s="915">
        <f>'House Count'!C756</f>
        <v>0</v>
      </c>
      <c r="E756" s="915">
        <f>'House Count'!D756</f>
        <v>0</v>
      </c>
      <c r="F756" s="915" t="str">
        <f t="shared" si="11"/>
        <v/>
      </c>
      <c r="G756" s="915">
        <f>'House Count'!F756</f>
        <v>0</v>
      </c>
      <c r="H756" s="915">
        <f>'House Count'!H756</f>
        <v>0</v>
      </c>
    </row>
    <row r="757" spans="1:8" x14ac:dyDescent="0.25">
      <c r="A757" s="914">
        <f>'House Count'!A757</f>
        <v>0</v>
      </c>
      <c r="B757" s="915">
        <f>'House Count'!E757</f>
        <v>0</v>
      </c>
      <c r="C757" s="915">
        <f>'House Count'!B757</f>
        <v>0</v>
      </c>
      <c r="D757" s="915">
        <f>'House Count'!C757</f>
        <v>0</v>
      </c>
      <c r="E757" s="915">
        <f>'House Count'!D757</f>
        <v>0</v>
      </c>
      <c r="F757" s="915" t="str">
        <f t="shared" si="11"/>
        <v/>
      </c>
      <c r="G757" s="915">
        <f>'House Count'!F757</f>
        <v>0</v>
      </c>
      <c r="H757" s="915">
        <f>'House Count'!H757</f>
        <v>0</v>
      </c>
    </row>
    <row r="758" spans="1:8" x14ac:dyDescent="0.25">
      <c r="A758" s="914">
        <f>'House Count'!A758</f>
        <v>0</v>
      </c>
      <c r="B758" s="915">
        <f>'House Count'!E758</f>
        <v>0</v>
      </c>
      <c r="C758" s="915">
        <f>'House Count'!B758</f>
        <v>0</v>
      </c>
      <c r="D758" s="915">
        <f>'House Count'!C758</f>
        <v>0</v>
      </c>
      <c r="E758" s="915">
        <f>'House Count'!D758</f>
        <v>0</v>
      </c>
      <c r="F758" s="915" t="str">
        <f t="shared" si="11"/>
        <v/>
      </c>
      <c r="G758" s="915">
        <f>'House Count'!F758</f>
        <v>0</v>
      </c>
      <c r="H758" s="915">
        <f>'House Count'!H758</f>
        <v>0</v>
      </c>
    </row>
    <row r="759" spans="1:8" x14ac:dyDescent="0.25">
      <c r="A759" s="914">
        <f>'House Count'!A759</f>
        <v>0</v>
      </c>
      <c r="B759" s="915">
        <f>'House Count'!E759</f>
        <v>0</v>
      </c>
      <c r="C759" s="915">
        <f>'House Count'!B759</f>
        <v>0</v>
      </c>
      <c r="D759" s="915">
        <f>'House Count'!C759</f>
        <v>0</v>
      </c>
      <c r="E759" s="915">
        <f>'House Count'!D759</f>
        <v>0</v>
      </c>
      <c r="F759" s="915" t="str">
        <f t="shared" si="11"/>
        <v/>
      </c>
      <c r="G759" s="915">
        <f>'House Count'!F759</f>
        <v>0</v>
      </c>
      <c r="H759" s="915">
        <f>'House Count'!H759</f>
        <v>0</v>
      </c>
    </row>
    <row r="760" spans="1:8" x14ac:dyDescent="0.25">
      <c r="A760" s="914">
        <f>'House Count'!A760</f>
        <v>0</v>
      </c>
      <c r="B760" s="915">
        <f>'House Count'!E760</f>
        <v>0</v>
      </c>
      <c r="C760" s="915">
        <f>'House Count'!B760</f>
        <v>0</v>
      </c>
      <c r="D760" s="915">
        <f>'House Count'!C760</f>
        <v>0</v>
      </c>
      <c r="E760" s="915">
        <f>'House Count'!D760</f>
        <v>0</v>
      </c>
      <c r="F760" s="915" t="str">
        <f t="shared" si="11"/>
        <v/>
      </c>
      <c r="G760" s="915">
        <f>'House Count'!F760</f>
        <v>0</v>
      </c>
      <c r="H760" s="915">
        <f>'House Count'!H760</f>
        <v>0</v>
      </c>
    </row>
    <row r="761" spans="1:8" x14ac:dyDescent="0.25">
      <c r="A761" s="914">
        <f>'House Count'!A761</f>
        <v>0</v>
      </c>
      <c r="B761" s="915">
        <f>'House Count'!E761</f>
        <v>0</v>
      </c>
      <c r="C761" s="915">
        <f>'House Count'!B761</f>
        <v>0</v>
      </c>
      <c r="D761" s="915">
        <f>'House Count'!C761</f>
        <v>0</v>
      </c>
      <c r="E761" s="915">
        <f>'House Count'!D761</f>
        <v>0</v>
      </c>
      <c r="F761" s="915" t="str">
        <f t="shared" si="11"/>
        <v/>
      </c>
      <c r="G761" s="915">
        <f>'House Count'!F761</f>
        <v>0</v>
      </c>
      <c r="H761" s="915">
        <f>'House Count'!H761</f>
        <v>0</v>
      </c>
    </row>
    <row r="762" spans="1:8" x14ac:dyDescent="0.25">
      <c r="A762" s="914">
        <f>'House Count'!A762</f>
        <v>0</v>
      </c>
      <c r="B762" s="915">
        <f>'House Count'!E762</f>
        <v>0</v>
      </c>
      <c r="C762" s="915">
        <f>'House Count'!B762</f>
        <v>0</v>
      </c>
      <c r="D762" s="915">
        <f>'House Count'!C762</f>
        <v>0</v>
      </c>
      <c r="E762" s="915">
        <f>'House Count'!D762</f>
        <v>0</v>
      </c>
      <c r="F762" s="915" t="str">
        <f t="shared" si="11"/>
        <v/>
      </c>
      <c r="G762" s="915">
        <f>'House Count'!F762</f>
        <v>0</v>
      </c>
      <c r="H762" s="915">
        <f>'House Count'!H762</f>
        <v>0</v>
      </c>
    </row>
    <row r="763" spans="1:8" x14ac:dyDescent="0.25">
      <c r="A763" s="914">
        <f>'House Count'!A763</f>
        <v>0</v>
      </c>
      <c r="B763" s="915">
        <f>'House Count'!E763</f>
        <v>0</v>
      </c>
      <c r="C763" s="915">
        <f>'House Count'!B763</f>
        <v>0</v>
      </c>
      <c r="D763" s="915">
        <f>'House Count'!C763</f>
        <v>0</v>
      </c>
      <c r="E763" s="915">
        <f>'House Count'!D763</f>
        <v>0</v>
      </c>
      <c r="F763" s="915" t="str">
        <f t="shared" si="11"/>
        <v/>
      </c>
      <c r="G763" s="915">
        <f>'House Count'!F763</f>
        <v>0</v>
      </c>
      <c r="H763" s="915">
        <f>'House Count'!H763</f>
        <v>0</v>
      </c>
    </row>
    <row r="764" spans="1:8" x14ac:dyDescent="0.25">
      <c r="A764" s="914">
        <f>'House Count'!A764</f>
        <v>0</v>
      </c>
      <c r="B764" s="915">
        <f>'House Count'!E764</f>
        <v>0</v>
      </c>
      <c r="C764" s="915">
        <f>'House Count'!B764</f>
        <v>0</v>
      </c>
      <c r="D764" s="915">
        <f>'House Count'!C764</f>
        <v>0</v>
      </c>
      <c r="E764" s="915">
        <f>'House Count'!D764</f>
        <v>0</v>
      </c>
      <c r="F764" s="915" t="str">
        <f t="shared" si="11"/>
        <v/>
      </c>
      <c r="G764" s="915">
        <f>'House Count'!F764</f>
        <v>0</v>
      </c>
      <c r="H764" s="915">
        <f>'House Count'!H764</f>
        <v>0</v>
      </c>
    </row>
    <row r="765" spans="1:8" x14ac:dyDescent="0.25">
      <c r="A765" s="914">
        <f>'House Count'!A765</f>
        <v>0</v>
      </c>
      <c r="B765" s="915">
        <f>'House Count'!E765</f>
        <v>0</v>
      </c>
      <c r="C765" s="915">
        <f>'House Count'!B765</f>
        <v>0</v>
      </c>
      <c r="D765" s="915">
        <f>'House Count'!C765</f>
        <v>0</v>
      </c>
      <c r="E765" s="915">
        <f>'House Count'!D765</f>
        <v>0</v>
      </c>
      <c r="F765" s="915" t="str">
        <f t="shared" si="11"/>
        <v/>
      </c>
      <c r="G765" s="915">
        <f>'House Count'!F765</f>
        <v>0</v>
      </c>
      <c r="H765" s="915">
        <f>'House Count'!H765</f>
        <v>0</v>
      </c>
    </row>
    <row r="766" spans="1:8" x14ac:dyDescent="0.25">
      <c r="A766" s="914">
        <f>'House Count'!A766</f>
        <v>0</v>
      </c>
      <c r="B766" s="915">
        <f>'House Count'!E766</f>
        <v>0</v>
      </c>
      <c r="C766" s="915">
        <f>'House Count'!B766</f>
        <v>0</v>
      </c>
      <c r="D766" s="915">
        <f>'House Count'!C766</f>
        <v>0</v>
      </c>
      <c r="E766" s="915">
        <f>'House Count'!D766</f>
        <v>0</v>
      </c>
      <c r="F766" s="915" t="str">
        <f t="shared" si="11"/>
        <v/>
      </c>
      <c r="G766" s="915">
        <f>'House Count'!F766</f>
        <v>0</v>
      </c>
      <c r="H766" s="915">
        <f>'House Count'!H766</f>
        <v>0</v>
      </c>
    </row>
    <row r="767" spans="1:8" x14ac:dyDescent="0.25">
      <c r="A767" s="914">
        <f>'House Count'!A767</f>
        <v>0</v>
      </c>
      <c r="B767" s="915">
        <f>'House Count'!E767</f>
        <v>0</v>
      </c>
      <c r="C767" s="915">
        <f>'House Count'!B767</f>
        <v>0</v>
      </c>
      <c r="D767" s="915">
        <f>'House Count'!C767</f>
        <v>0</v>
      </c>
      <c r="E767" s="915">
        <f>'House Count'!D767</f>
        <v>0</v>
      </c>
      <c r="F767" s="915" t="str">
        <f t="shared" si="11"/>
        <v/>
      </c>
      <c r="G767" s="915">
        <f>'House Count'!F767</f>
        <v>0</v>
      </c>
      <c r="H767" s="915">
        <f>'House Count'!H767</f>
        <v>0</v>
      </c>
    </row>
    <row r="768" spans="1:8" x14ac:dyDescent="0.25">
      <c r="A768" s="914">
        <f>'House Count'!A768</f>
        <v>0</v>
      </c>
      <c r="B768" s="915">
        <f>'House Count'!E768</f>
        <v>0</v>
      </c>
      <c r="C768" s="915">
        <f>'House Count'!B768</f>
        <v>0</v>
      </c>
      <c r="D768" s="915">
        <f>'House Count'!C768</f>
        <v>0</v>
      </c>
      <c r="E768" s="915">
        <f>'House Count'!D768</f>
        <v>0</v>
      </c>
      <c r="F768" s="915" t="str">
        <f t="shared" si="11"/>
        <v/>
      </c>
      <c r="G768" s="915">
        <f>'House Count'!F768</f>
        <v>0</v>
      </c>
      <c r="H768" s="915">
        <f>'House Count'!H768</f>
        <v>0</v>
      </c>
    </row>
    <row r="769" spans="1:8" x14ac:dyDescent="0.25">
      <c r="A769" s="914">
        <f>'House Count'!A769</f>
        <v>0</v>
      </c>
      <c r="B769" s="915">
        <f>'House Count'!E769</f>
        <v>0</v>
      </c>
      <c r="C769" s="915">
        <f>'House Count'!B769</f>
        <v>0</v>
      </c>
      <c r="D769" s="915">
        <f>'House Count'!C769</f>
        <v>0</v>
      </c>
      <c r="E769" s="915">
        <f>'House Count'!D769</f>
        <v>0</v>
      </c>
      <c r="F769" s="915" t="str">
        <f t="shared" si="11"/>
        <v/>
      </c>
      <c r="G769" s="915">
        <f>'House Count'!F769</f>
        <v>0</v>
      </c>
      <c r="H769" s="915">
        <f>'House Count'!H769</f>
        <v>0</v>
      </c>
    </row>
    <row r="770" spans="1:8" x14ac:dyDescent="0.25">
      <c r="A770" s="914">
        <f>'House Count'!A770</f>
        <v>0</v>
      </c>
      <c r="B770" s="915">
        <f>'House Count'!E770</f>
        <v>0</v>
      </c>
      <c r="C770" s="915">
        <f>'House Count'!B770</f>
        <v>0</v>
      </c>
      <c r="D770" s="915">
        <f>'House Count'!C770</f>
        <v>0</v>
      </c>
      <c r="E770" s="915">
        <f>'House Count'!D770</f>
        <v>0</v>
      </c>
      <c r="F770" s="915" t="str">
        <f t="shared" si="11"/>
        <v/>
      </c>
      <c r="G770" s="915">
        <f>'House Count'!F770</f>
        <v>0</v>
      </c>
      <c r="H770" s="915">
        <f>'House Count'!H770</f>
        <v>0</v>
      </c>
    </row>
    <row r="771" spans="1:8" x14ac:dyDescent="0.25">
      <c r="A771" s="914">
        <f>'House Count'!A771</f>
        <v>0</v>
      </c>
      <c r="B771" s="915">
        <f>'House Count'!E771</f>
        <v>0</v>
      </c>
      <c r="C771" s="915">
        <f>'House Count'!B771</f>
        <v>0</v>
      </c>
      <c r="D771" s="915">
        <f>'House Count'!C771</f>
        <v>0</v>
      </c>
      <c r="E771" s="915">
        <f>'House Count'!D771</f>
        <v>0</v>
      </c>
      <c r="F771" s="915" t="str">
        <f t="shared" ref="F771:F834" si="12">IF(G771="RES-SFU","RESIDENTIAL",IF(G771="RES-HOA","RESIDENTIAL",IF(G771="RES-MDU","RESIDENTIAL",IF(G771="COMM-SU","BUSINESS",IF(G771="COM-MTU","BUSINESS",IF(G771="ENT","BUSINESS",""))))))</f>
        <v/>
      </c>
      <c r="G771" s="915">
        <f>'House Count'!F771</f>
        <v>0</v>
      </c>
      <c r="H771" s="915">
        <f>'House Count'!H771</f>
        <v>0</v>
      </c>
    </row>
    <row r="772" spans="1:8" x14ac:dyDescent="0.25">
      <c r="A772" s="914">
        <f>'House Count'!A772</f>
        <v>0</v>
      </c>
      <c r="B772" s="915">
        <f>'House Count'!E772</f>
        <v>0</v>
      </c>
      <c r="C772" s="915">
        <f>'House Count'!B772</f>
        <v>0</v>
      </c>
      <c r="D772" s="915">
        <f>'House Count'!C772</f>
        <v>0</v>
      </c>
      <c r="E772" s="915">
        <f>'House Count'!D772</f>
        <v>0</v>
      </c>
      <c r="F772" s="915" t="str">
        <f t="shared" si="12"/>
        <v/>
      </c>
      <c r="G772" s="915">
        <f>'House Count'!F772</f>
        <v>0</v>
      </c>
      <c r="H772" s="915">
        <f>'House Count'!H772</f>
        <v>0</v>
      </c>
    </row>
    <row r="773" spans="1:8" x14ac:dyDescent="0.25">
      <c r="A773" s="914">
        <f>'House Count'!A773</f>
        <v>0</v>
      </c>
      <c r="B773" s="915">
        <f>'House Count'!E773</f>
        <v>0</v>
      </c>
      <c r="C773" s="915">
        <f>'House Count'!B773</f>
        <v>0</v>
      </c>
      <c r="D773" s="915">
        <f>'House Count'!C773</f>
        <v>0</v>
      </c>
      <c r="E773" s="915">
        <f>'House Count'!D773</f>
        <v>0</v>
      </c>
      <c r="F773" s="915" t="str">
        <f t="shared" si="12"/>
        <v/>
      </c>
      <c r="G773" s="915">
        <f>'House Count'!F773</f>
        <v>0</v>
      </c>
      <c r="H773" s="915">
        <f>'House Count'!H773</f>
        <v>0</v>
      </c>
    </row>
    <row r="774" spans="1:8" x14ac:dyDescent="0.25">
      <c r="A774" s="914">
        <f>'House Count'!A774</f>
        <v>0</v>
      </c>
      <c r="B774" s="915">
        <f>'House Count'!E774</f>
        <v>0</v>
      </c>
      <c r="C774" s="915">
        <f>'House Count'!B774</f>
        <v>0</v>
      </c>
      <c r="D774" s="915">
        <f>'House Count'!C774</f>
        <v>0</v>
      </c>
      <c r="E774" s="915">
        <f>'House Count'!D774</f>
        <v>0</v>
      </c>
      <c r="F774" s="915" t="str">
        <f t="shared" si="12"/>
        <v/>
      </c>
      <c r="G774" s="915">
        <f>'House Count'!F774</f>
        <v>0</v>
      </c>
      <c r="H774" s="915">
        <f>'House Count'!H774</f>
        <v>0</v>
      </c>
    </row>
    <row r="775" spans="1:8" x14ac:dyDescent="0.25">
      <c r="A775" s="914">
        <f>'House Count'!A775</f>
        <v>0</v>
      </c>
      <c r="B775" s="915">
        <f>'House Count'!E775</f>
        <v>0</v>
      </c>
      <c r="C775" s="915">
        <f>'House Count'!B775</f>
        <v>0</v>
      </c>
      <c r="D775" s="915">
        <f>'House Count'!C775</f>
        <v>0</v>
      </c>
      <c r="E775" s="915">
        <f>'House Count'!D775</f>
        <v>0</v>
      </c>
      <c r="F775" s="915" t="str">
        <f t="shared" si="12"/>
        <v/>
      </c>
      <c r="G775" s="915">
        <f>'House Count'!F775</f>
        <v>0</v>
      </c>
      <c r="H775" s="915">
        <f>'House Count'!H775</f>
        <v>0</v>
      </c>
    </row>
    <row r="776" spans="1:8" x14ac:dyDescent="0.25">
      <c r="A776" s="914">
        <f>'House Count'!A776</f>
        <v>0</v>
      </c>
      <c r="B776" s="915">
        <f>'House Count'!E776</f>
        <v>0</v>
      </c>
      <c r="C776" s="915">
        <f>'House Count'!B776</f>
        <v>0</v>
      </c>
      <c r="D776" s="915">
        <f>'House Count'!C776</f>
        <v>0</v>
      </c>
      <c r="E776" s="915">
        <f>'House Count'!D776</f>
        <v>0</v>
      </c>
      <c r="F776" s="915" t="str">
        <f t="shared" si="12"/>
        <v/>
      </c>
      <c r="G776" s="915">
        <f>'House Count'!F776</f>
        <v>0</v>
      </c>
      <c r="H776" s="915">
        <f>'House Count'!H776</f>
        <v>0</v>
      </c>
    </row>
    <row r="777" spans="1:8" x14ac:dyDescent="0.25">
      <c r="A777" s="914">
        <f>'House Count'!A777</f>
        <v>0</v>
      </c>
      <c r="B777" s="915">
        <f>'House Count'!E777</f>
        <v>0</v>
      </c>
      <c r="C777" s="915">
        <f>'House Count'!B777</f>
        <v>0</v>
      </c>
      <c r="D777" s="915">
        <f>'House Count'!C777</f>
        <v>0</v>
      </c>
      <c r="E777" s="915">
        <f>'House Count'!D777</f>
        <v>0</v>
      </c>
      <c r="F777" s="915" t="str">
        <f t="shared" si="12"/>
        <v/>
      </c>
      <c r="G777" s="915">
        <f>'House Count'!F777</f>
        <v>0</v>
      </c>
      <c r="H777" s="915">
        <f>'House Count'!H777</f>
        <v>0</v>
      </c>
    </row>
    <row r="778" spans="1:8" x14ac:dyDescent="0.25">
      <c r="A778" s="914">
        <f>'House Count'!A778</f>
        <v>0</v>
      </c>
      <c r="B778" s="915">
        <f>'House Count'!E778</f>
        <v>0</v>
      </c>
      <c r="C778" s="915">
        <f>'House Count'!B778</f>
        <v>0</v>
      </c>
      <c r="D778" s="915">
        <f>'House Count'!C778</f>
        <v>0</v>
      </c>
      <c r="E778" s="915">
        <f>'House Count'!D778</f>
        <v>0</v>
      </c>
      <c r="F778" s="915" t="str">
        <f t="shared" si="12"/>
        <v/>
      </c>
      <c r="G778" s="915">
        <f>'House Count'!F778</f>
        <v>0</v>
      </c>
      <c r="H778" s="915">
        <f>'House Count'!H778</f>
        <v>0</v>
      </c>
    </row>
    <row r="779" spans="1:8" x14ac:dyDescent="0.25">
      <c r="A779" s="914">
        <f>'House Count'!A779</f>
        <v>0</v>
      </c>
      <c r="B779" s="915">
        <f>'House Count'!E779</f>
        <v>0</v>
      </c>
      <c r="C779" s="915">
        <f>'House Count'!B779</f>
        <v>0</v>
      </c>
      <c r="D779" s="915">
        <f>'House Count'!C779</f>
        <v>0</v>
      </c>
      <c r="E779" s="915">
        <f>'House Count'!D779</f>
        <v>0</v>
      </c>
      <c r="F779" s="915" t="str">
        <f t="shared" si="12"/>
        <v/>
      </c>
      <c r="G779" s="915">
        <f>'House Count'!F779</f>
        <v>0</v>
      </c>
      <c r="H779" s="915">
        <f>'House Count'!H779</f>
        <v>0</v>
      </c>
    </row>
    <row r="780" spans="1:8" x14ac:dyDescent="0.25">
      <c r="A780" s="914">
        <f>'House Count'!A780</f>
        <v>0</v>
      </c>
      <c r="B780" s="915">
        <f>'House Count'!E780</f>
        <v>0</v>
      </c>
      <c r="C780" s="915">
        <f>'House Count'!B780</f>
        <v>0</v>
      </c>
      <c r="D780" s="915">
        <f>'House Count'!C780</f>
        <v>0</v>
      </c>
      <c r="E780" s="915">
        <f>'House Count'!D780</f>
        <v>0</v>
      </c>
      <c r="F780" s="915" t="str">
        <f t="shared" si="12"/>
        <v/>
      </c>
      <c r="G780" s="915">
        <f>'House Count'!F780</f>
        <v>0</v>
      </c>
      <c r="H780" s="915">
        <f>'House Count'!H780</f>
        <v>0</v>
      </c>
    </row>
    <row r="781" spans="1:8" x14ac:dyDescent="0.25">
      <c r="A781" s="914">
        <f>'House Count'!A781</f>
        <v>0</v>
      </c>
      <c r="B781" s="915">
        <f>'House Count'!E781</f>
        <v>0</v>
      </c>
      <c r="C781" s="915">
        <f>'House Count'!B781</f>
        <v>0</v>
      </c>
      <c r="D781" s="915">
        <f>'House Count'!C781</f>
        <v>0</v>
      </c>
      <c r="E781" s="915">
        <f>'House Count'!D781</f>
        <v>0</v>
      </c>
      <c r="F781" s="915" t="str">
        <f t="shared" si="12"/>
        <v/>
      </c>
      <c r="G781" s="915">
        <f>'House Count'!F781</f>
        <v>0</v>
      </c>
      <c r="H781" s="915">
        <f>'House Count'!H781</f>
        <v>0</v>
      </c>
    </row>
    <row r="782" spans="1:8" x14ac:dyDescent="0.25">
      <c r="A782" s="914">
        <f>'House Count'!A782</f>
        <v>0</v>
      </c>
      <c r="B782" s="915">
        <f>'House Count'!E782</f>
        <v>0</v>
      </c>
      <c r="C782" s="915">
        <f>'House Count'!B782</f>
        <v>0</v>
      </c>
      <c r="D782" s="915">
        <f>'House Count'!C782</f>
        <v>0</v>
      </c>
      <c r="E782" s="915">
        <f>'House Count'!D782</f>
        <v>0</v>
      </c>
      <c r="F782" s="915" t="str">
        <f t="shared" si="12"/>
        <v/>
      </c>
      <c r="G782" s="915">
        <f>'House Count'!F782</f>
        <v>0</v>
      </c>
      <c r="H782" s="915">
        <f>'House Count'!H782</f>
        <v>0</v>
      </c>
    </row>
    <row r="783" spans="1:8" x14ac:dyDescent="0.25">
      <c r="A783" s="914">
        <f>'House Count'!A783</f>
        <v>0</v>
      </c>
      <c r="B783" s="915">
        <f>'House Count'!E783</f>
        <v>0</v>
      </c>
      <c r="C783" s="915">
        <f>'House Count'!B783</f>
        <v>0</v>
      </c>
      <c r="D783" s="915">
        <f>'House Count'!C783</f>
        <v>0</v>
      </c>
      <c r="E783" s="915">
        <f>'House Count'!D783</f>
        <v>0</v>
      </c>
      <c r="F783" s="915" t="str">
        <f t="shared" si="12"/>
        <v/>
      </c>
      <c r="G783" s="915">
        <f>'House Count'!F783</f>
        <v>0</v>
      </c>
      <c r="H783" s="915">
        <f>'House Count'!H783</f>
        <v>0</v>
      </c>
    </row>
    <row r="784" spans="1:8" x14ac:dyDescent="0.25">
      <c r="A784" s="914">
        <f>'House Count'!A784</f>
        <v>0</v>
      </c>
      <c r="B784" s="915">
        <f>'House Count'!E784</f>
        <v>0</v>
      </c>
      <c r="C784" s="915">
        <f>'House Count'!B784</f>
        <v>0</v>
      </c>
      <c r="D784" s="915">
        <f>'House Count'!C784</f>
        <v>0</v>
      </c>
      <c r="E784" s="915">
        <f>'House Count'!D784</f>
        <v>0</v>
      </c>
      <c r="F784" s="915" t="str">
        <f t="shared" si="12"/>
        <v/>
      </c>
      <c r="G784" s="915">
        <f>'House Count'!F784</f>
        <v>0</v>
      </c>
      <c r="H784" s="915">
        <f>'House Count'!H784</f>
        <v>0</v>
      </c>
    </row>
    <row r="785" spans="1:8" x14ac:dyDescent="0.25">
      <c r="A785" s="914">
        <f>'House Count'!A785</f>
        <v>0</v>
      </c>
      <c r="B785" s="915">
        <f>'House Count'!E785</f>
        <v>0</v>
      </c>
      <c r="C785" s="915">
        <f>'House Count'!B785</f>
        <v>0</v>
      </c>
      <c r="D785" s="915">
        <f>'House Count'!C785</f>
        <v>0</v>
      </c>
      <c r="E785" s="915">
        <f>'House Count'!D785</f>
        <v>0</v>
      </c>
      <c r="F785" s="915" t="str">
        <f t="shared" si="12"/>
        <v/>
      </c>
      <c r="G785" s="915">
        <f>'House Count'!F785</f>
        <v>0</v>
      </c>
      <c r="H785" s="915">
        <f>'House Count'!H785</f>
        <v>0</v>
      </c>
    </row>
    <row r="786" spans="1:8" x14ac:dyDescent="0.25">
      <c r="A786" s="914">
        <f>'House Count'!A786</f>
        <v>0</v>
      </c>
      <c r="B786" s="915">
        <f>'House Count'!E786</f>
        <v>0</v>
      </c>
      <c r="C786" s="915">
        <f>'House Count'!B786</f>
        <v>0</v>
      </c>
      <c r="D786" s="915">
        <f>'House Count'!C786</f>
        <v>0</v>
      </c>
      <c r="E786" s="915">
        <f>'House Count'!D786</f>
        <v>0</v>
      </c>
      <c r="F786" s="915" t="str">
        <f t="shared" si="12"/>
        <v/>
      </c>
      <c r="G786" s="915">
        <f>'House Count'!F786</f>
        <v>0</v>
      </c>
      <c r="H786" s="915">
        <f>'House Count'!H786</f>
        <v>0</v>
      </c>
    </row>
    <row r="787" spans="1:8" x14ac:dyDescent="0.25">
      <c r="A787" s="914">
        <f>'House Count'!A787</f>
        <v>0</v>
      </c>
      <c r="B787" s="915">
        <f>'House Count'!E787</f>
        <v>0</v>
      </c>
      <c r="C787" s="915">
        <f>'House Count'!B787</f>
        <v>0</v>
      </c>
      <c r="D787" s="915">
        <f>'House Count'!C787</f>
        <v>0</v>
      </c>
      <c r="E787" s="915">
        <f>'House Count'!D787</f>
        <v>0</v>
      </c>
      <c r="F787" s="915" t="str">
        <f t="shared" si="12"/>
        <v/>
      </c>
      <c r="G787" s="915">
        <f>'House Count'!F787</f>
        <v>0</v>
      </c>
      <c r="H787" s="915">
        <f>'House Count'!H787</f>
        <v>0</v>
      </c>
    </row>
    <row r="788" spans="1:8" x14ac:dyDescent="0.25">
      <c r="A788" s="914">
        <f>'House Count'!A788</f>
        <v>0</v>
      </c>
      <c r="B788" s="915">
        <f>'House Count'!E788</f>
        <v>0</v>
      </c>
      <c r="C788" s="915">
        <f>'House Count'!B788</f>
        <v>0</v>
      </c>
      <c r="D788" s="915">
        <f>'House Count'!C788</f>
        <v>0</v>
      </c>
      <c r="E788" s="915">
        <f>'House Count'!D788</f>
        <v>0</v>
      </c>
      <c r="F788" s="915" t="str">
        <f t="shared" si="12"/>
        <v/>
      </c>
      <c r="G788" s="915">
        <f>'House Count'!F788</f>
        <v>0</v>
      </c>
      <c r="H788" s="915">
        <f>'House Count'!H788</f>
        <v>0</v>
      </c>
    </row>
    <row r="789" spans="1:8" x14ac:dyDescent="0.25">
      <c r="A789" s="914">
        <f>'House Count'!A789</f>
        <v>0</v>
      </c>
      <c r="B789" s="915">
        <f>'House Count'!E789</f>
        <v>0</v>
      </c>
      <c r="C789" s="915">
        <f>'House Count'!B789</f>
        <v>0</v>
      </c>
      <c r="D789" s="915">
        <f>'House Count'!C789</f>
        <v>0</v>
      </c>
      <c r="E789" s="915">
        <f>'House Count'!D789</f>
        <v>0</v>
      </c>
      <c r="F789" s="915" t="str">
        <f t="shared" si="12"/>
        <v/>
      </c>
      <c r="G789" s="915">
        <f>'House Count'!F789</f>
        <v>0</v>
      </c>
      <c r="H789" s="915">
        <f>'House Count'!H789</f>
        <v>0</v>
      </c>
    </row>
    <row r="790" spans="1:8" x14ac:dyDescent="0.25">
      <c r="A790" s="914">
        <f>'House Count'!A790</f>
        <v>0</v>
      </c>
      <c r="B790" s="915">
        <f>'House Count'!E790</f>
        <v>0</v>
      </c>
      <c r="C790" s="915">
        <f>'House Count'!B790</f>
        <v>0</v>
      </c>
      <c r="D790" s="915">
        <f>'House Count'!C790</f>
        <v>0</v>
      </c>
      <c r="E790" s="915">
        <f>'House Count'!D790</f>
        <v>0</v>
      </c>
      <c r="F790" s="915" t="str">
        <f t="shared" si="12"/>
        <v/>
      </c>
      <c r="G790" s="915">
        <f>'House Count'!F790</f>
        <v>0</v>
      </c>
      <c r="H790" s="915">
        <f>'House Count'!H790</f>
        <v>0</v>
      </c>
    </row>
    <row r="791" spans="1:8" x14ac:dyDescent="0.25">
      <c r="A791" s="914">
        <f>'House Count'!A791</f>
        <v>0</v>
      </c>
      <c r="B791" s="915">
        <f>'House Count'!E791</f>
        <v>0</v>
      </c>
      <c r="C791" s="915">
        <f>'House Count'!B791</f>
        <v>0</v>
      </c>
      <c r="D791" s="915">
        <f>'House Count'!C791</f>
        <v>0</v>
      </c>
      <c r="E791" s="915">
        <f>'House Count'!D791</f>
        <v>0</v>
      </c>
      <c r="F791" s="915" t="str">
        <f t="shared" si="12"/>
        <v/>
      </c>
      <c r="G791" s="915">
        <f>'House Count'!F791</f>
        <v>0</v>
      </c>
      <c r="H791" s="915">
        <f>'House Count'!H791</f>
        <v>0</v>
      </c>
    </row>
    <row r="792" spans="1:8" x14ac:dyDescent="0.25">
      <c r="A792" s="914">
        <f>'House Count'!A792</f>
        <v>0</v>
      </c>
      <c r="B792" s="915">
        <f>'House Count'!E792</f>
        <v>0</v>
      </c>
      <c r="C792" s="915">
        <f>'House Count'!B792</f>
        <v>0</v>
      </c>
      <c r="D792" s="915">
        <f>'House Count'!C792</f>
        <v>0</v>
      </c>
      <c r="E792" s="915">
        <f>'House Count'!D792</f>
        <v>0</v>
      </c>
      <c r="F792" s="915" t="str">
        <f t="shared" si="12"/>
        <v/>
      </c>
      <c r="G792" s="915">
        <f>'House Count'!F792</f>
        <v>0</v>
      </c>
      <c r="H792" s="915">
        <f>'House Count'!H792</f>
        <v>0</v>
      </c>
    </row>
    <row r="793" spans="1:8" x14ac:dyDescent="0.25">
      <c r="A793" s="914">
        <f>'House Count'!A793</f>
        <v>0</v>
      </c>
      <c r="B793" s="915">
        <f>'House Count'!E793</f>
        <v>0</v>
      </c>
      <c r="C793" s="915">
        <f>'House Count'!B793</f>
        <v>0</v>
      </c>
      <c r="D793" s="915">
        <f>'House Count'!C793</f>
        <v>0</v>
      </c>
      <c r="E793" s="915">
        <f>'House Count'!D793</f>
        <v>0</v>
      </c>
      <c r="F793" s="915" t="str">
        <f t="shared" si="12"/>
        <v/>
      </c>
      <c r="G793" s="915">
        <f>'House Count'!F793</f>
        <v>0</v>
      </c>
      <c r="H793" s="915">
        <f>'House Count'!H793</f>
        <v>0</v>
      </c>
    </row>
    <row r="794" spans="1:8" x14ac:dyDescent="0.25">
      <c r="A794" s="914">
        <f>'House Count'!A794</f>
        <v>0</v>
      </c>
      <c r="B794" s="915">
        <f>'House Count'!E794</f>
        <v>0</v>
      </c>
      <c r="C794" s="915">
        <f>'House Count'!B794</f>
        <v>0</v>
      </c>
      <c r="D794" s="915">
        <f>'House Count'!C794</f>
        <v>0</v>
      </c>
      <c r="E794" s="915">
        <f>'House Count'!D794</f>
        <v>0</v>
      </c>
      <c r="F794" s="915" t="str">
        <f t="shared" si="12"/>
        <v/>
      </c>
      <c r="G794" s="915">
        <f>'House Count'!F794</f>
        <v>0</v>
      </c>
      <c r="H794" s="915">
        <f>'House Count'!H794</f>
        <v>0</v>
      </c>
    </row>
    <row r="795" spans="1:8" x14ac:dyDescent="0.25">
      <c r="A795" s="914">
        <f>'House Count'!A795</f>
        <v>0</v>
      </c>
      <c r="B795" s="915">
        <f>'House Count'!E795</f>
        <v>0</v>
      </c>
      <c r="C795" s="915">
        <f>'House Count'!B795</f>
        <v>0</v>
      </c>
      <c r="D795" s="915">
        <f>'House Count'!C795</f>
        <v>0</v>
      </c>
      <c r="E795" s="915">
        <f>'House Count'!D795</f>
        <v>0</v>
      </c>
      <c r="F795" s="915" t="str">
        <f t="shared" si="12"/>
        <v/>
      </c>
      <c r="G795" s="915">
        <f>'House Count'!F795</f>
        <v>0</v>
      </c>
      <c r="H795" s="915">
        <f>'House Count'!H795</f>
        <v>0</v>
      </c>
    </row>
    <row r="796" spans="1:8" x14ac:dyDescent="0.25">
      <c r="A796" s="914">
        <f>'House Count'!A796</f>
        <v>0</v>
      </c>
      <c r="B796" s="915">
        <f>'House Count'!E796</f>
        <v>0</v>
      </c>
      <c r="C796" s="915">
        <f>'House Count'!B796</f>
        <v>0</v>
      </c>
      <c r="D796" s="915">
        <f>'House Count'!C796</f>
        <v>0</v>
      </c>
      <c r="E796" s="915">
        <f>'House Count'!D796</f>
        <v>0</v>
      </c>
      <c r="F796" s="915" t="str">
        <f t="shared" si="12"/>
        <v/>
      </c>
      <c r="G796" s="915">
        <f>'House Count'!F796</f>
        <v>0</v>
      </c>
      <c r="H796" s="915">
        <f>'House Count'!H796</f>
        <v>0</v>
      </c>
    </row>
    <row r="797" spans="1:8" x14ac:dyDescent="0.25">
      <c r="A797" s="914">
        <f>'House Count'!A797</f>
        <v>0</v>
      </c>
      <c r="B797" s="915">
        <f>'House Count'!E797</f>
        <v>0</v>
      </c>
      <c r="C797" s="915">
        <f>'House Count'!B797</f>
        <v>0</v>
      </c>
      <c r="D797" s="915">
        <f>'House Count'!C797</f>
        <v>0</v>
      </c>
      <c r="E797" s="915">
        <f>'House Count'!D797</f>
        <v>0</v>
      </c>
      <c r="F797" s="915" t="str">
        <f t="shared" si="12"/>
        <v/>
      </c>
      <c r="G797" s="915">
        <f>'House Count'!F797</f>
        <v>0</v>
      </c>
      <c r="H797" s="915">
        <f>'House Count'!H797</f>
        <v>0</v>
      </c>
    </row>
    <row r="798" spans="1:8" x14ac:dyDescent="0.25">
      <c r="A798" s="914">
        <f>'House Count'!A798</f>
        <v>0</v>
      </c>
      <c r="B798" s="915">
        <f>'House Count'!E798</f>
        <v>0</v>
      </c>
      <c r="C798" s="915">
        <f>'House Count'!B798</f>
        <v>0</v>
      </c>
      <c r="D798" s="915">
        <f>'House Count'!C798</f>
        <v>0</v>
      </c>
      <c r="E798" s="915">
        <f>'House Count'!D798</f>
        <v>0</v>
      </c>
      <c r="F798" s="915" t="str">
        <f t="shared" si="12"/>
        <v/>
      </c>
      <c r="G798" s="915">
        <f>'House Count'!F798</f>
        <v>0</v>
      </c>
      <c r="H798" s="915">
        <f>'House Count'!H798</f>
        <v>0</v>
      </c>
    </row>
    <row r="799" spans="1:8" x14ac:dyDescent="0.25">
      <c r="A799" s="914">
        <f>'House Count'!A799</f>
        <v>0</v>
      </c>
      <c r="B799" s="915">
        <f>'House Count'!E799</f>
        <v>0</v>
      </c>
      <c r="C799" s="915">
        <f>'House Count'!B799</f>
        <v>0</v>
      </c>
      <c r="D799" s="915">
        <f>'House Count'!C799</f>
        <v>0</v>
      </c>
      <c r="E799" s="915">
        <f>'House Count'!D799</f>
        <v>0</v>
      </c>
      <c r="F799" s="915" t="str">
        <f t="shared" si="12"/>
        <v/>
      </c>
      <c r="G799" s="915">
        <f>'House Count'!F799</f>
        <v>0</v>
      </c>
      <c r="H799" s="915">
        <f>'House Count'!H799</f>
        <v>0</v>
      </c>
    </row>
    <row r="800" spans="1:8" x14ac:dyDescent="0.25">
      <c r="A800" s="914">
        <f>'House Count'!A800</f>
        <v>0</v>
      </c>
      <c r="B800" s="915">
        <f>'House Count'!E800</f>
        <v>0</v>
      </c>
      <c r="C800" s="915">
        <f>'House Count'!B800</f>
        <v>0</v>
      </c>
      <c r="D800" s="915">
        <f>'House Count'!C800</f>
        <v>0</v>
      </c>
      <c r="E800" s="915">
        <f>'House Count'!D800</f>
        <v>0</v>
      </c>
      <c r="F800" s="915" t="str">
        <f t="shared" si="12"/>
        <v/>
      </c>
      <c r="G800" s="915">
        <f>'House Count'!F800</f>
        <v>0</v>
      </c>
      <c r="H800" s="915">
        <f>'House Count'!H800</f>
        <v>0</v>
      </c>
    </row>
    <row r="801" spans="1:8" x14ac:dyDescent="0.25">
      <c r="A801" s="914">
        <f>'House Count'!A801</f>
        <v>0</v>
      </c>
      <c r="B801" s="915">
        <f>'House Count'!E801</f>
        <v>0</v>
      </c>
      <c r="C801" s="915">
        <f>'House Count'!B801</f>
        <v>0</v>
      </c>
      <c r="D801" s="915">
        <f>'House Count'!C801</f>
        <v>0</v>
      </c>
      <c r="E801" s="915">
        <f>'House Count'!D801</f>
        <v>0</v>
      </c>
      <c r="F801" s="915" t="str">
        <f t="shared" si="12"/>
        <v/>
      </c>
      <c r="G801" s="915">
        <f>'House Count'!F801</f>
        <v>0</v>
      </c>
      <c r="H801" s="915">
        <f>'House Count'!H801</f>
        <v>0</v>
      </c>
    </row>
    <row r="802" spans="1:8" x14ac:dyDescent="0.25">
      <c r="A802" s="914">
        <f>'House Count'!A802</f>
        <v>0</v>
      </c>
      <c r="B802" s="915">
        <f>'House Count'!E802</f>
        <v>0</v>
      </c>
      <c r="C802" s="915">
        <f>'House Count'!B802</f>
        <v>0</v>
      </c>
      <c r="D802" s="915">
        <f>'House Count'!C802</f>
        <v>0</v>
      </c>
      <c r="E802" s="915">
        <f>'House Count'!D802</f>
        <v>0</v>
      </c>
      <c r="F802" s="915" t="str">
        <f t="shared" si="12"/>
        <v/>
      </c>
      <c r="G802" s="915">
        <f>'House Count'!F802</f>
        <v>0</v>
      </c>
      <c r="H802" s="915">
        <f>'House Count'!H802</f>
        <v>0</v>
      </c>
    </row>
    <row r="803" spans="1:8" x14ac:dyDescent="0.25">
      <c r="A803" s="914">
        <f>'House Count'!A803</f>
        <v>0</v>
      </c>
      <c r="B803" s="915">
        <f>'House Count'!E803</f>
        <v>0</v>
      </c>
      <c r="C803" s="915">
        <f>'House Count'!B803</f>
        <v>0</v>
      </c>
      <c r="D803" s="915">
        <f>'House Count'!C803</f>
        <v>0</v>
      </c>
      <c r="E803" s="915">
        <f>'House Count'!D803</f>
        <v>0</v>
      </c>
      <c r="F803" s="915" t="str">
        <f t="shared" si="12"/>
        <v/>
      </c>
      <c r="G803" s="915">
        <f>'House Count'!F803</f>
        <v>0</v>
      </c>
      <c r="H803" s="915">
        <f>'House Count'!H803</f>
        <v>0</v>
      </c>
    </row>
    <row r="804" spans="1:8" x14ac:dyDescent="0.25">
      <c r="A804" s="914">
        <f>'House Count'!A804</f>
        <v>0</v>
      </c>
      <c r="B804" s="915">
        <f>'House Count'!E804</f>
        <v>0</v>
      </c>
      <c r="C804" s="915">
        <f>'House Count'!B804</f>
        <v>0</v>
      </c>
      <c r="D804" s="915">
        <f>'House Count'!C804</f>
        <v>0</v>
      </c>
      <c r="E804" s="915">
        <f>'House Count'!D804</f>
        <v>0</v>
      </c>
      <c r="F804" s="915" t="str">
        <f t="shared" si="12"/>
        <v/>
      </c>
      <c r="G804" s="915">
        <f>'House Count'!F804</f>
        <v>0</v>
      </c>
      <c r="H804" s="915">
        <f>'House Count'!H804</f>
        <v>0</v>
      </c>
    </row>
    <row r="805" spans="1:8" x14ac:dyDescent="0.25">
      <c r="A805" s="914">
        <f>'House Count'!A805</f>
        <v>0</v>
      </c>
      <c r="B805" s="915">
        <f>'House Count'!E805</f>
        <v>0</v>
      </c>
      <c r="C805" s="915">
        <f>'House Count'!B805</f>
        <v>0</v>
      </c>
      <c r="D805" s="915">
        <f>'House Count'!C805</f>
        <v>0</v>
      </c>
      <c r="E805" s="915">
        <f>'House Count'!D805</f>
        <v>0</v>
      </c>
      <c r="F805" s="915" t="str">
        <f t="shared" si="12"/>
        <v/>
      </c>
      <c r="G805" s="915">
        <f>'House Count'!F805</f>
        <v>0</v>
      </c>
      <c r="H805" s="915">
        <f>'House Count'!H805</f>
        <v>0</v>
      </c>
    </row>
    <row r="806" spans="1:8" x14ac:dyDescent="0.25">
      <c r="A806" s="914">
        <f>'House Count'!A806</f>
        <v>0</v>
      </c>
      <c r="B806" s="915">
        <f>'House Count'!E806</f>
        <v>0</v>
      </c>
      <c r="C806" s="915">
        <f>'House Count'!B806</f>
        <v>0</v>
      </c>
      <c r="D806" s="915">
        <f>'House Count'!C806</f>
        <v>0</v>
      </c>
      <c r="E806" s="915">
        <f>'House Count'!D806</f>
        <v>0</v>
      </c>
      <c r="F806" s="915" t="str">
        <f t="shared" si="12"/>
        <v/>
      </c>
      <c r="G806" s="915">
        <f>'House Count'!F806</f>
        <v>0</v>
      </c>
      <c r="H806" s="915">
        <f>'House Count'!H806</f>
        <v>0</v>
      </c>
    </row>
    <row r="807" spans="1:8" x14ac:dyDescent="0.25">
      <c r="A807" s="914">
        <f>'House Count'!A807</f>
        <v>0</v>
      </c>
      <c r="B807" s="915">
        <f>'House Count'!E807</f>
        <v>0</v>
      </c>
      <c r="C807" s="915">
        <f>'House Count'!B807</f>
        <v>0</v>
      </c>
      <c r="D807" s="915">
        <f>'House Count'!C807</f>
        <v>0</v>
      </c>
      <c r="E807" s="915">
        <f>'House Count'!D807</f>
        <v>0</v>
      </c>
      <c r="F807" s="915" t="str">
        <f t="shared" si="12"/>
        <v/>
      </c>
      <c r="G807" s="915">
        <f>'House Count'!F807</f>
        <v>0</v>
      </c>
      <c r="H807" s="915">
        <f>'House Count'!H807</f>
        <v>0</v>
      </c>
    </row>
    <row r="808" spans="1:8" x14ac:dyDescent="0.25">
      <c r="A808" s="914">
        <f>'House Count'!A808</f>
        <v>0</v>
      </c>
      <c r="B808" s="915">
        <f>'House Count'!E808</f>
        <v>0</v>
      </c>
      <c r="C808" s="915">
        <f>'House Count'!B808</f>
        <v>0</v>
      </c>
      <c r="D808" s="915">
        <f>'House Count'!C808</f>
        <v>0</v>
      </c>
      <c r="E808" s="915">
        <f>'House Count'!D808</f>
        <v>0</v>
      </c>
      <c r="F808" s="915" t="str">
        <f t="shared" si="12"/>
        <v/>
      </c>
      <c r="G808" s="915">
        <f>'House Count'!F808</f>
        <v>0</v>
      </c>
      <c r="H808" s="915">
        <f>'House Count'!H808</f>
        <v>0</v>
      </c>
    </row>
    <row r="809" spans="1:8" x14ac:dyDescent="0.25">
      <c r="A809" s="914">
        <f>'House Count'!A809</f>
        <v>0</v>
      </c>
      <c r="B809" s="915">
        <f>'House Count'!E809</f>
        <v>0</v>
      </c>
      <c r="C809" s="915">
        <f>'House Count'!B809</f>
        <v>0</v>
      </c>
      <c r="D809" s="915">
        <f>'House Count'!C809</f>
        <v>0</v>
      </c>
      <c r="E809" s="915">
        <f>'House Count'!D809</f>
        <v>0</v>
      </c>
      <c r="F809" s="915" t="str">
        <f t="shared" si="12"/>
        <v/>
      </c>
      <c r="G809" s="915">
        <f>'House Count'!F809</f>
        <v>0</v>
      </c>
      <c r="H809" s="915">
        <f>'House Count'!H809</f>
        <v>0</v>
      </c>
    </row>
    <row r="810" spans="1:8" x14ac:dyDescent="0.25">
      <c r="A810" s="914">
        <f>'House Count'!A810</f>
        <v>0</v>
      </c>
      <c r="B810" s="915">
        <f>'House Count'!E810</f>
        <v>0</v>
      </c>
      <c r="C810" s="915">
        <f>'House Count'!B810</f>
        <v>0</v>
      </c>
      <c r="D810" s="915">
        <f>'House Count'!C810</f>
        <v>0</v>
      </c>
      <c r="E810" s="915">
        <f>'House Count'!D810</f>
        <v>0</v>
      </c>
      <c r="F810" s="915" t="str">
        <f t="shared" si="12"/>
        <v/>
      </c>
      <c r="G810" s="915">
        <f>'House Count'!F810</f>
        <v>0</v>
      </c>
      <c r="H810" s="915">
        <f>'House Count'!H810</f>
        <v>0</v>
      </c>
    </row>
    <row r="811" spans="1:8" x14ac:dyDescent="0.25">
      <c r="A811" s="914">
        <f>'House Count'!A811</f>
        <v>0</v>
      </c>
      <c r="B811" s="915">
        <f>'House Count'!E811</f>
        <v>0</v>
      </c>
      <c r="C811" s="915">
        <f>'House Count'!B811</f>
        <v>0</v>
      </c>
      <c r="D811" s="915">
        <f>'House Count'!C811</f>
        <v>0</v>
      </c>
      <c r="E811" s="915">
        <f>'House Count'!D811</f>
        <v>0</v>
      </c>
      <c r="F811" s="915" t="str">
        <f t="shared" si="12"/>
        <v/>
      </c>
      <c r="G811" s="915">
        <f>'House Count'!F811</f>
        <v>0</v>
      </c>
      <c r="H811" s="915">
        <f>'House Count'!H811</f>
        <v>0</v>
      </c>
    </row>
    <row r="812" spans="1:8" x14ac:dyDescent="0.25">
      <c r="A812" s="914">
        <f>'House Count'!A812</f>
        <v>0</v>
      </c>
      <c r="B812" s="915">
        <f>'House Count'!E812</f>
        <v>0</v>
      </c>
      <c r="C812" s="915">
        <f>'House Count'!B812</f>
        <v>0</v>
      </c>
      <c r="D812" s="915">
        <f>'House Count'!C812</f>
        <v>0</v>
      </c>
      <c r="E812" s="915">
        <f>'House Count'!D812</f>
        <v>0</v>
      </c>
      <c r="F812" s="915" t="str">
        <f t="shared" si="12"/>
        <v/>
      </c>
      <c r="G812" s="915">
        <f>'House Count'!F812</f>
        <v>0</v>
      </c>
      <c r="H812" s="915">
        <f>'House Count'!H812</f>
        <v>0</v>
      </c>
    </row>
    <row r="813" spans="1:8" x14ac:dyDescent="0.25">
      <c r="A813" s="914">
        <f>'House Count'!A813</f>
        <v>0</v>
      </c>
      <c r="B813" s="915">
        <f>'House Count'!E813</f>
        <v>0</v>
      </c>
      <c r="C813" s="915">
        <f>'House Count'!B813</f>
        <v>0</v>
      </c>
      <c r="D813" s="915">
        <f>'House Count'!C813</f>
        <v>0</v>
      </c>
      <c r="E813" s="915">
        <f>'House Count'!D813</f>
        <v>0</v>
      </c>
      <c r="F813" s="915" t="str">
        <f t="shared" si="12"/>
        <v/>
      </c>
      <c r="G813" s="915">
        <f>'House Count'!F813</f>
        <v>0</v>
      </c>
      <c r="H813" s="915">
        <f>'House Count'!H813</f>
        <v>0</v>
      </c>
    </row>
    <row r="814" spans="1:8" x14ac:dyDescent="0.25">
      <c r="A814" s="914">
        <f>'House Count'!A814</f>
        <v>0</v>
      </c>
      <c r="B814" s="915">
        <f>'House Count'!E814</f>
        <v>0</v>
      </c>
      <c r="C814" s="915">
        <f>'House Count'!B814</f>
        <v>0</v>
      </c>
      <c r="D814" s="915">
        <f>'House Count'!C814</f>
        <v>0</v>
      </c>
      <c r="E814" s="915">
        <f>'House Count'!D814</f>
        <v>0</v>
      </c>
      <c r="F814" s="915" t="str">
        <f t="shared" si="12"/>
        <v/>
      </c>
      <c r="G814" s="915">
        <f>'House Count'!F814</f>
        <v>0</v>
      </c>
      <c r="H814" s="915">
        <f>'House Count'!H814</f>
        <v>0</v>
      </c>
    </row>
    <row r="815" spans="1:8" x14ac:dyDescent="0.25">
      <c r="A815" s="914">
        <f>'House Count'!A815</f>
        <v>0</v>
      </c>
      <c r="B815" s="915">
        <f>'House Count'!E815</f>
        <v>0</v>
      </c>
      <c r="C815" s="915">
        <f>'House Count'!B815</f>
        <v>0</v>
      </c>
      <c r="D815" s="915">
        <f>'House Count'!C815</f>
        <v>0</v>
      </c>
      <c r="E815" s="915">
        <f>'House Count'!D815</f>
        <v>0</v>
      </c>
      <c r="F815" s="915" t="str">
        <f t="shared" si="12"/>
        <v/>
      </c>
      <c r="G815" s="915">
        <f>'House Count'!F815</f>
        <v>0</v>
      </c>
      <c r="H815" s="915">
        <f>'House Count'!H815</f>
        <v>0</v>
      </c>
    </row>
    <row r="816" spans="1:8" x14ac:dyDescent="0.25">
      <c r="A816" s="914">
        <f>'House Count'!A816</f>
        <v>0</v>
      </c>
      <c r="B816" s="915">
        <f>'House Count'!E816</f>
        <v>0</v>
      </c>
      <c r="C816" s="915">
        <f>'House Count'!B816</f>
        <v>0</v>
      </c>
      <c r="D816" s="915">
        <f>'House Count'!C816</f>
        <v>0</v>
      </c>
      <c r="E816" s="915">
        <f>'House Count'!D816</f>
        <v>0</v>
      </c>
      <c r="F816" s="915" t="str">
        <f t="shared" si="12"/>
        <v/>
      </c>
      <c r="G816" s="915">
        <f>'House Count'!F816</f>
        <v>0</v>
      </c>
      <c r="H816" s="915">
        <f>'House Count'!H816</f>
        <v>0</v>
      </c>
    </row>
    <row r="817" spans="1:8" x14ac:dyDescent="0.25">
      <c r="A817" s="914">
        <f>'House Count'!A817</f>
        <v>0</v>
      </c>
      <c r="B817" s="915">
        <f>'House Count'!E817</f>
        <v>0</v>
      </c>
      <c r="C817" s="915">
        <f>'House Count'!B817</f>
        <v>0</v>
      </c>
      <c r="D817" s="915">
        <f>'House Count'!C817</f>
        <v>0</v>
      </c>
      <c r="E817" s="915">
        <f>'House Count'!D817</f>
        <v>0</v>
      </c>
      <c r="F817" s="915" t="str">
        <f t="shared" si="12"/>
        <v/>
      </c>
      <c r="G817" s="915">
        <f>'House Count'!F817</f>
        <v>0</v>
      </c>
      <c r="H817" s="915">
        <f>'House Count'!H817</f>
        <v>0</v>
      </c>
    </row>
    <row r="818" spans="1:8" x14ac:dyDescent="0.25">
      <c r="A818" s="914">
        <f>'House Count'!A818</f>
        <v>0</v>
      </c>
      <c r="B818" s="915">
        <f>'House Count'!E818</f>
        <v>0</v>
      </c>
      <c r="C818" s="915">
        <f>'House Count'!B818</f>
        <v>0</v>
      </c>
      <c r="D818" s="915">
        <f>'House Count'!C818</f>
        <v>0</v>
      </c>
      <c r="E818" s="915">
        <f>'House Count'!D818</f>
        <v>0</v>
      </c>
      <c r="F818" s="915" t="str">
        <f t="shared" si="12"/>
        <v/>
      </c>
      <c r="G818" s="915">
        <f>'House Count'!F818</f>
        <v>0</v>
      </c>
      <c r="H818" s="915">
        <f>'House Count'!H818</f>
        <v>0</v>
      </c>
    </row>
    <row r="819" spans="1:8" x14ac:dyDescent="0.25">
      <c r="A819" s="914">
        <f>'House Count'!A819</f>
        <v>0</v>
      </c>
      <c r="B819" s="915">
        <f>'House Count'!E819</f>
        <v>0</v>
      </c>
      <c r="C819" s="915">
        <f>'House Count'!B819</f>
        <v>0</v>
      </c>
      <c r="D819" s="915">
        <f>'House Count'!C819</f>
        <v>0</v>
      </c>
      <c r="E819" s="915">
        <f>'House Count'!D819</f>
        <v>0</v>
      </c>
      <c r="F819" s="915" t="str">
        <f t="shared" si="12"/>
        <v/>
      </c>
      <c r="G819" s="915">
        <f>'House Count'!F819</f>
        <v>0</v>
      </c>
      <c r="H819" s="915">
        <f>'House Count'!H819</f>
        <v>0</v>
      </c>
    </row>
    <row r="820" spans="1:8" x14ac:dyDescent="0.25">
      <c r="A820" s="914">
        <f>'House Count'!A820</f>
        <v>0</v>
      </c>
      <c r="B820" s="915">
        <f>'House Count'!E820</f>
        <v>0</v>
      </c>
      <c r="C820" s="915">
        <f>'House Count'!B820</f>
        <v>0</v>
      </c>
      <c r="D820" s="915">
        <f>'House Count'!C820</f>
        <v>0</v>
      </c>
      <c r="E820" s="915">
        <f>'House Count'!D820</f>
        <v>0</v>
      </c>
      <c r="F820" s="915" t="str">
        <f t="shared" si="12"/>
        <v/>
      </c>
      <c r="G820" s="915">
        <f>'House Count'!F820</f>
        <v>0</v>
      </c>
      <c r="H820" s="915">
        <f>'House Count'!H820</f>
        <v>0</v>
      </c>
    </row>
    <row r="821" spans="1:8" x14ac:dyDescent="0.25">
      <c r="A821" s="914">
        <f>'House Count'!A821</f>
        <v>0</v>
      </c>
      <c r="B821" s="915">
        <f>'House Count'!E821</f>
        <v>0</v>
      </c>
      <c r="C821" s="915">
        <f>'House Count'!B821</f>
        <v>0</v>
      </c>
      <c r="D821" s="915">
        <f>'House Count'!C821</f>
        <v>0</v>
      </c>
      <c r="E821" s="915">
        <f>'House Count'!D821</f>
        <v>0</v>
      </c>
      <c r="F821" s="915" t="str">
        <f t="shared" si="12"/>
        <v/>
      </c>
      <c r="G821" s="915">
        <f>'House Count'!F821</f>
        <v>0</v>
      </c>
      <c r="H821" s="915">
        <f>'House Count'!H821</f>
        <v>0</v>
      </c>
    </row>
    <row r="822" spans="1:8" x14ac:dyDescent="0.25">
      <c r="A822" s="914">
        <f>'House Count'!A822</f>
        <v>0</v>
      </c>
      <c r="B822" s="915">
        <f>'House Count'!E822</f>
        <v>0</v>
      </c>
      <c r="C822" s="915">
        <f>'House Count'!B822</f>
        <v>0</v>
      </c>
      <c r="D822" s="915">
        <f>'House Count'!C822</f>
        <v>0</v>
      </c>
      <c r="E822" s="915">
        <f>'House Count'!D822</f>
        <v>0</v>
      </c>
      <c r="F822" s="915" t="str">
        <f t="shared" si="12"/>
        <v/>
      </c>
      <c r="G822" s="915">
        <f>'House Count'!F822</f>
        <v>0</v>
      </c>
      <c r="H822" s="915">
        <f>'House Count'!H822</f>
        <v>0</v>
      </c>
    </row>
    <row r="823" spans="1:8" x14ac:dyDescent="0.25">
      <c r="A823" s="914">
        <f>'House Count'!A823</f>
        <v>0</v>
      </c>
      <c r="B823" s="915">
        <f>'House Count'!E823</f>
        <v>0</v>
      </c>
      <c r="C823" s="915">
        <f>'House Count'!B823</f>
        <v>0</v>
      </c>
      <c r="D823" s="915">
        <f>'House Count'!C823</f>
        <v>0</v>
      </c>
      <c r="E823" s="915">
        <f>'House Count'!D823</f>
        <v>0</v>
      </c>
      <c r="F823" s="915" t="str">
        <f t="shared" si="12"/>
        <v/>
      </c>
      <c r="G823" s="915">
        <f>'House Count'!F823</f>
        <v>0</v>
      </c>
      <c r="H823" s="915">
        <f>'House Count'!H823</f>
        <v>0</v>
      </c>
    </row>
    <row r="824" spans="1:8" x14ac:dyDescent="0.25">
      <c r="A824" s="914">
        <f>'House Count'!A824</f>
        <v>0</v>
      </c>
      <c r="B824" s="915">
        <f>'House Count'!E824</f>
        <v>0</v>
      </c>
      <c r="C824" s="915">
        <f>'House Count'!B824</f>
        <v>0</v>
      </c>
      <c r="D824" s="915">
        <f>'House Count'!C824</f>
        <v>0</v>
      </c>
      <c r="E824" s="915">
        <f>'House Count'!D824</f>
        <v>0</v>
      </c>
      <c r="F824" s="915" t="str">
        <f t="shared" si="12"/>
        <v/>
      </c>
      <c r="G824" s="915">
        <f>'House Count'!F824</f>
        <v>0</v>
      </c>
      <c r="H824" s="915">
        <f>'House Count'!H824</f>
        <v>0</v>
      </c>
    </row>
    <row r="825" spans="1:8" x14ac:dyDescent="0.25">
      <c r="A825" s="914">
        <f>'House Count'!A825</f>
        <v>0</v>
      </c>
      <c r="B825" s="915">
        <f>'House Count'!E825</f>
        <v>0</v>
      </c>
      <c r="C825" s="915">
        <f>'House Count'!B825</f>
        <v>0</v>
      </c>
      <c r="D825" s="915">
        <f>'House Count'!C825</f>
        <v>0</v>
      </c>
      <c r="E825" s="915">
        <f>'House Count'!D825</f>
        <v>0</v>
      </c>
      <c r="F825" s="915" t="str">
        <f t="shared" si="12"/>
        <v/>
      </c>
      <c r="G825" s="915">
        <f>'House Count'!F825</f>
        <v>0</v>
      </c>
      <c r="H825" s="915">
        <f>'House Count'!H825</f>
        <v>0</v>
      </c>
    </row>
    <row r="826" spans="1:8" x14ac:dyDescent="0.25">
      <c r="A826" s="914">
        <f>'House Count'!A826</f>
        <v>0</v>
      </c>
      <c r="B826" s="915">
        <f>'House Count'!E826</f>
        <v>0</v>
      </c>
      <c r="C826" s="915">
        <f>'House Count'!B826</f>
        <v>0</v>
      </c>
      <c r="D826" s="915">
        <f>'House Count'!C826</f>
        <v>0</v>
      </c>
      <c r="E826" s="915">
        <f>'House Count'!D826</f>
        <v>0</v>
      </c>
      <c r="F826" s="915" t="str">
        <f t="shared" si="12"/>
        <v/>
      </c>
      <c r="G826" s="915">
        <f>'House Count'!F826</f>
        <v>0</v>
      </c>
      <c r="H826" s="915">
        <f>'House Count'!H826</f>
        <v>0</v>
      </c>
    </row>
    <row r="827" spans="1:8" x14ac:dyDescent="0.25">
      <c r="A827" s="914">
        <f>'House Count'!A827</f>
        <v>0</v>
      </c>
      <c r="B827" s="915">
        <f>'House Count'!E827</f>
        <v>0</v>
      </c>
      <c r="C827" s="915">
        <f>'House Count'!B827</f>
        <v>0</v>
      </c>
      <c r="D827" s="915">
        <f>'House Count'!C827</f>
        <v>0</v>
      </c>
      <c r="E827" s="915">
        <f>'House Count'!D827</f>
        <v>0</v>
      </c>
      <c r="F827" s="915" t="str">
        <f t="shared" si="12"/>
        <v/>
      </c>
      <c r="G827" s="915">
        <f>'House Count'!F827</f>
        <v>0</v>
      </c>
      <c r="H827" s="915">
        <f>'House Count'!H827</f>
        <v>0</v>
      </c>
    </row>
    <row r="828" spans="1:8" x14ac:dyDescent="0.25">
      <c r="A828" s="914">
        <f>'House Count'!A828</f>
        <v>0</v>
      </c>
      <c r="B828" s="915">
        <f>'House Count'!E828</f>
        <v>0</v>
      </c>
      <c r="C828" s="915">
        <f>'House Count'!B828</f>
        <v>0</v>
      </c>
      <c r="D828" s="915">
        <f>'House Count'!C828</f>
        <v>0</v>
      </c>
      <c r="E828" s="915">
        <f>'House Count'!D828</f>
        <v>0</v>
      </c>
      <c r="F828" s="915" t="str">
        <f t="shared" si="12"/>
        <v/>
      </c>
      <c r="G828" s="915">
        <f>'House Count'!F828</f>
        <v>0</v>
      </c>
      <c r="H828" s="915">
        <f>'House Count'!H828</f>
        <v>0</v>
      </c>
    </row>
    <row r="829" spans="1:8" x14ac:dyDescent="0.25">
      <c r="A829" s="914">
        <f>'House Count'!A829</f>
        <v>0</v>
      </c>
      <c r="B829" s="915">
        <f>'House Count'!E829</f>
        <v>0</v>
      </c>
      <c r="C829" s="915">
        <f>'House Count'!B829</f>
        <v>0</v>
      </c>
      <c r="D829" s="915">
        <f>'House Count'!C829</f>
        <v>0</v>
      </c>
      <c r="E829" s="915">
        <f>'House Count'!D829</f>
        <v>0</v>
      </c>
      <c r="F829" s="915" t="str">
        <f t="shared" si="12"/>
        <v/>
      </c>
      <c r="G829" s="915">
        <f>'House Count'!F829</f>
        <v>0</v>
      </c>
      <c r="H829" s="915">
        <f>'House Count'!H829</f>
        <v>0</v>
      </c>
    </row>
    <row r="830" spans="1:8" x14ac:dyDescent="0.25">
      <c r="A830" s="914">
        <f>'House Count'!A830</f>
        <v>0</v>
      </c>
      <c r="B830" s="915">
        <f>'House Count'!E830</f>
        <v>0</v>
      </c>
      <c r="C830" s="915">
        <f>'House Count'!B830</f>
        <v>0</v>
      </c>
      <c r="D830" s="915">
        <f>'House Count'!C830</f>
        <v>0</v>
      </c>
      <c r="E830" s="915">
        <f>'House Count'!D830</f>
        <v>0</v>
      </c>
      <c r="F830" s="915" t="str">
        <f t="shared" si="12"/>
        <v/>
      </c>
      <c r="G830" s="915">
        <f>'House Count'!F830</f>
        <v>0</v>
      </c>
      <c r="H830" s="915">
        <f>'House Count'!H830</f>
        <v>0</v>
      </c>
    </row>
    <row r="831" spans="1:8" x14ac:dyDescent="0.25">
      <c r="A831" s="914">
        <f>'House Count'!A831</f>
        <v>0</v>
      </c>
      <c r="B831" s="915">
        <f>'House Count'!E831</f>
        <v>0</v>
      </c>
      <c r="C831" s="915">
        <f>'House Count'!B831</f>
        <v>0</v>
      </c>
      <c r="D831" s="915">
        <f>'House Count'!C831</f>
        <v>0</v>
      </c>
      <c r="E831" s="915">
        <f>'House Count'!D831</f>
        <v>0</v>
      </c>
      <c r="F831" s="915" t="str">
        <f t="shared" si="12"/>
        <v/>
      </c>
      <c r="G831" s="915">
        <f>'House Count'!F831</f>
        <v>0</v>
      </c>
      <c r="H831" s="915">
        <f>'House Count'!H831</f>
        <v>0</v>
      </c>
    </row>
    <row r="832" spans="1:8" x14ac:dyDescent="0.25">
      <c r="A832" s="914">
        <f>'House Count'!A832</f>
        <v>0</v>
      </c>
      <c r="B832" s="915">
        <f>'House Count'!E832</f>
        <v>0</v>
      </c>
      <c r="C832" s="915">
        <f>'House Count'!B832</f>
        <v>0</v>
      </c>
      <c r="D832" s="915">
        <f>'House Count'!C832</f>
        <v>0</v>
      </c>
      <c r="E832" s="915">
        <f>'House Count'!D832</f>
        <v>0</v>
      </c>
      <c r="F832" s="915" t="str">
        <f t="shared" si="12"/>
        <v/>
      </c>
      <c r="G832" s="915">
        <f>'House Count'!F832</f>
        <v>0</v>
      </c>
      <c r="H832" s="915">
        <f>'House Count'!H832</f>
        <v>0</v>
      </c>
    </row>
    <row r="833" spans="1:8" x14ac:dyDescent="0.25">
      <c r="A833" s="914">
        <f>'House Count'!A833</f>
        <v>0</v>
      </c>
      <c r="B833" s="915">
        <f>'House Count'!E833</f>
        <v>0</v>
      </c>
      <c r="C833" s="915">
        <f>'House Count'!B833</f>
        <v>0</v>
      </c>
      <c r="D833" s="915">
        <f>'House Count'!C833</f>
        <v>0</v>
      </c>
      <c r="E833" s="915">
        <f>'House Count'!D833</f>
        <v>0</v>
      </c>
      <c r="F833" s="915" t="str">
        <f t="shared" si="12"/>
        <v/>
      </c>
      <c r="G833" s="915">
        <f>'House Count'!F833</f>
        <v>0</v>
      </c>
      <c r="H833" s="915">
        <f>'House Count'!H833</f>
        <v>0</v>
      </c>
    </row>
    <row r="834" spans="1:8" x14ac:dyDescent="0.25">
      <c r="A834" s="914">
        <f>'House Count'!A834</f>
        <v>0</v>
      </c>
      <c r="B834" s="915">
        <f>'House Count'!E834</f>
        <v>0</v>
      </c>
      <c r="C834" s="915">
        <f>'House Count'!B834</f>
        <v>0</v>
      </c>
      <c r="D834" s="915">
        <f>'House Count'!C834</f>
        <v>0</v>
      </c>
      <c r="E834" s="915">
        <f>'House Count'!D834</f>
        <v>0</v>
      </c>
      <c r="F834" s="915" t="str">
        <f t="shared" si="12"/>
        <v/>
      </c>
      <c r="G834" s="915">
        <f>'House Count'!F834</f>
        <v>0</v>
      </c>
      <c r="H834" s="915">
        <f>'House Count'!H834</f>
        <v>0</v>
      </c>
    </row>
    <row r="835" spans="1:8" x14ac:dyDescent="0.25">
      <c r="A835" s="914">
        <f>'House Count'!A835</f>
        <v>0</v>
      </c>
      <c r="B835" s="915">
        <f>'House Count'!E835</f>
        <v>0</v>
      </c>
      <c r="C835" s="915">
        <f>'House Count'!B835</f>
        <v>0</v>
      </c>
      <c r="D835" s="915">
        <f>'House Count'!C835</f>
        <v>0</v>
      </c>
      <c r="E835" s="915">
        <f>'House Count'!D835</f>
        <v>0</v>
      </c>
      <c r="F835" s="915" t="str">
        <f t="shared" ref="F835:F898" si="13">IF(G835="RES-SFU","RESIDENTIAL",IF(G835="RES-HOA","RESIDENTIAL",IF(G835="RES-MDU","RESIDENTIAL",IF(G835="COMM-SU","BUSINESS",IF(G835="COM-MTU","BUSINESS",IF(G835="ENT","BUSINESS",""))))))</f>
        <v/>
      </c>
      <c r="G835" s="915">
        <f>'House Count'!F835</f>
        <v>0</v>
      </c>
      <c r="H835" s="915">
        <f>'House Count'!H835</f>
        <v>0</v>
      </c>
    </row>
    <row r="836" spans="1:8" x14ac:dyDescent="0.25">
      <c r="A836" s="914">
        <f>'House Count'!A836</f>
        <v>0</v>
      </c>
      <c r="B836" s="915">
        <f>'House Count'!E836</f>
        <v>0</v>
      </c>
      <c r="C836" s="915">
        <f>'House Count'!B836</f>
        <v>0</v>
      </c>
      <c r="D836" s="915">
        <f>'House Count'!C836</f>
        <v>0</v>
      </c>
      <c r="E836" s="915">
        <f>'House Count'!D836</f>
        <v>0</v>
      </c>
      <c r="F836" s="915" t="str">
        <f t="shared" si="13"/>
        <v/>
      </c>
      <c r="G836" s="915">
        <f>'House Count'!F836</f>
        <v>0</v>
      </c>
      <c r="H836" s="915">
        <f>'House Count'!H836</f>
        <v>0</v>
      </c>
    </row>
    <row r="837" spans="1:8" x14ac:dyDescent="0.25">
      <c r="A837" s="914">
        <f>'House Count'!A837</f>
        <v>0</v>
      </c>
      <c r="B837" s="915">
        <f>'House Count'!E837</f>
        <v>0</v>
      </c>
      <c r="C837" s="915">
        <f>'House Count'!B837</f>
        <v>0</v>
      </c>
      <c r="D837" s="915">
        <f>'House Count'!C837</f>
        <v>0</v>
      </c>
      <c r="E837" s="915">
        <f>'House Count'!D837</f>
        <v>0</v>
      </c>
      <c r="F837" s="915" t="str">
        <f t="shared" si="13"/>
        <v/>
      </c>
      <c r="G837" s="915">
        <f>'House Count'!F837</f>
        <v>0</v>
      </c>
      <c r="H837" s="915">
        <f>'House Count'!H837</f>
        <v>0</v>
      </c>
    </row>
    <row r="838" spans="1:8" x14ac:dyDescent="0.25">
      <c r="A838" s="914">
        <f>'House Count'!A838</f>
        <v>0</v>
      </c>
      <c r="B838" s="915">
        <f>'House Count'!E838</f>
        <v>0</v>
      </c>
      <c r="C838" s="915">
        <f>'House Count'!B838</f>
        <v>0</v>
      </c>
      <c r="D838" s="915">
        <f>'House Count'!C838</f>
        <v>0</v>
      </c>
      <c r="E838" s="915">
        <f>'House Count'!D838</f>
        <v>0</v>
      </c>
      <c r="F838" s="915" t="str">
        <f t="shared" si="13"/>
        <v/>
      </c>
      <c r="G838" s="915">
        <f>'House Count'!F838</f>
        <v>0</v>
      </c>
      <c r="H838" s="915">
        <f>'House Count'!H838</f>
        <v>0</v>
      </c>
    </row>
    <row r="839" spans="1:8" x14ac:dyDescent="0.25">
      <c r="A839" s="914">
        <f>'House Count'!A839</f>
        <v>0</v>
      </c>
      <c r="B839" s="915">
        <f>'House Count'!E839</f>
        <v>0</v>
      </c>
      <c r="C839" s="915">
        <f>'House Count'!B839</f>
        <v>0</v>
      </c>
      <c r="D839" s="915">
        <f>'House Count'!C839</f>
        <v>0</v>
      </c>
      <c r="E839" s="915">
        <f>'House Count'!D839</f>
        <v>0</v>
      </c>
      <c r="F839" s="915" t="str">
        <f t="shared" si="13"/>
        <v/>
      </c>
      <c r="G839" s="915">
        <f>'House Count'!F839</f>
        <v>0</v>
      </c>
      <c r="H839" s="915">
        <f>'House Count'!H839</f>
        <v>0</v>
      </c>
    </row>
    <row r="840" spans="1:8" x14ac:dyDescent="0.25">
      <c r="A840" s="914">
        <f>'House Count'!A840</f>
        <v>0</v>
      </c>
      <c r="B840" s="915">
        <f>'House Count'!E840</f>
        <v>0</v>
      </c>
      <c r="C840" s="915">
        <f>'House Count'!B840</f>
        <v>0</v>
      </c>
      <c r="D840" s="915">
        <f>'House Count'!C840</f>
        <v>0</v>
      </c>
      <c r="E840" s="915">
        <f>'House Count'!D840</f>
        <v>0</v>
      </c>
      <c r="F840" s="915" t="str">
        <f t="shared" si="13"/>
        <v/>
      </c>
      <c r="G840" s="915">
        <f>'House Count'!F840</f>
        <v>0</v>
      </c>
      <c r="H840" s="915">
        <f>'House Count'!H840</f>
        <v>0</v>
      </c>
    </row>
    <row r="841" spans="1:8" x14ac:dyDescent="0.25">
      <c r="A841" s="914">
        <f>'House Count'!A841</f>
        <v>0</v>
      </c>
      <c r="B841" s="915">
        <f>'House Count'!E841</f>
        <v>0</v>
      </c>
      <c r="C841" s="915">
        <f>'House Count'!B841</f>
        <v>0</v>
      </c>
      <c r="D841" s="915">
        <f>'House Count'!C841</f>
        <v>0</v>
      </c>
      <c r="E841" s="915">
        <f>'House Count'!D841</f>
        <v>0</v>
      </c>
      <c r="F841" s="915" t="str">
        <f t="shared" si="13"/>
        <v/>
      </c>
      <c r="G841" s="915">
        <f>'House Count'!F841</f>
        <v>0</v>
      </c>
      <c r="H841" s="915">
        <f>'House Count'!H841</f>
        <v>0</v>
      </c>
    </row>
    <row r="842" spans="1:8" x14ac:dyDescent="0.25">
      <c r="A842" s="914">
        <f>'House Count'!A842</f>
        <v>0</v>
      </c>
      <c r="B842" s="915">
        <f>'House Count'!E842</f>
        <v>0</v>
      </c>
      <c r="C842" s="915">
        <f>'House Count'!B842</f>
        <v>0</v>
      </c>
      <c r="D842" s="915">
        <f>'House Count'!C842</f>
        <v>0</v>
      </c>
      <c r="E842" s="915">
        <f>'House Count'!D842</f>
        <v>0</v>
      </c>
      <c r="F842" s="915" t="str">
        <f t="shared" si="13"/>
        <v/>
      </c>
      <c r="G842" s="915">
        <f>'House Count'!F842</f>
        <v>0</v>
      </c>
      <c r="H842" s="915">
        <f>'House Count'!H842</f>
        <v>0</v>
      </c>
    </row>
    <row r="843" spans="1:8" x14ac:dyDescent="0.25">
      <c r="A843" s="914">
        <f>'House Count'!A843</f>
        <v>0</v>
      </c>
      <c r="B843" s="915">
        <f>'House Count'!E843</f>
        <v>0</v>
      </c>
      <c r="C843" s="915">
        <f>'House Count'!B843</f>
        <v>0</v>
      </c>
      <c r="D843" s="915">
        <f>'House Count'!C843</f>
        <v>0</v>
      </c>
      <c r="E843" s="915">
        <f>'House Count'!D843</f>
        <v>0</v>
      </c>
      <c r="F843" s="915" t="str">
        <f t="shared" si="13"/>
        <v/>
      </c>
      <c r="G843" s="915">
        <f>'House Count'!F843</f>
        <v>0</v>
      </c>
      <c r="H843" s="915">
        <f>'House Count'!H843</f>
        <v>0</v>
      </c>
    </row>
    <row r="844" spans="1:8" x14ac:dyDescent="0.25">
      <c r="A844" s="914">
        <f>'House Count'!A844</f>
        <v>0</v>
      </c>
      <c r="B844" s="915">
        <f>'House Count'!E844</f>
        <v>0</v>
      </c>
      <c r="C844" s="915">
        <f>'House Count'!B844</f>
        <v>0</v>
      </c>
      <c r="D844" s="915">
        <f>'House Count'!C844</f>
        <v>0</v>
      </c>
      <c r="E844" s="915">
        <f>'House Count'!D844</f>
        <v>0</v>
      </c>
      <c r="F844" s="915" t="str">
        <f t="shared" si="13"/>
        <v/>
      </c>
      <c r="G844" s="915">
        <f>'House Count'!F844</f>
        <v>0</v>
      </c>
      <c r="H844" s="915">
        <f>'House Count'!H844</f>
        <v>0</v>
      </c>
    </row>
    <row r="845" spans="1:8" x14ac:dyDescent="0.25">
      <c r="A845" s="914">
        <f>'House Count'!A845</f>
        <v>0</v>
      </c>
      <c r="B845" s="915">
        <f>'House Count'!E845</f>
        <v>0</v>
      </c>
      <c r="C845" s="915">
        <f>'House Count'!B845</f>
        <v>0</v>
      </c>
      <c r="D845" s="915">
        <f>'House Count'!C845</f>
        <v>0</v>
      </c>
      <c r="E845" s="915">
        <f>'House Count'!D845</f>
        <v>0</v>
      </c>
      <c r="F845" s="915" t="str">
        <f t="shared" si="13"/>
        <v/>
      </c>
      <c r="G845" s="915">
        <f>'House Count'!F845</f>
        <v>0</v>
      </c>
      <c r="H845" s="915">
        <f>'House Count'!H845</f>
        <v>0</v>
      </c>
    </row>
    <row r="846" spans="1:8" x14ac:dyDescent="0.25">
      <c r="A846" s="914">
        <f>'House Count'!A846</f>
        <v>0</v>
      </c>
      <c r="B846" s="915">
        <f>'House Count'!E846</f>
        <v>0</v>
      </c>
      <c r="C846" s="915">
        <f>'House Count'!B846</f>
        <v>0</v>
      </c>
      <c r="D846" s="915">
        <f>'House Count'!C846</f>
        <v>0</v>
      </c>
      <c r="E846" s="915">
        <f>'House Count'!D846</f>
        <v>0</v>
      </c>
      <c r="F846" s="915" t="str">
        <f t="shared" si="13"/>
        <v/>
      </c>
      <c r="G846" s="915">
        <f>'House Count'!F846</f>
        <v>0</v>
      </c>
      <c r="H846" s="915">
        <f>'House Count'!H846</f>
        <v>0</v>
      </c>
    </row>
    <row r="847" spans="1:8" x14ac:dyDescent="0.25">
      <c r="A847" s="914">
        <f>'House Count'!A847</f>
        <v>0</v>
      </c>
      <c r="B847" s="915">
        <f>'House Count'!E847</f>
        <v>0</v>
      </c>
      <c r="C847" s="915">
        <f>'House Count'!B847</f>
        <v>0</v>
      </c>
      <c r="D847" s="915">
        <f>'House Count'!C847</f>
        <v>0</v>
      </c>
      <c r="E847" s="915">
        <f>'House Count'!D847</f>
        <v>0</v>
      </c>
      <c r="F847" s="915" t="str">
        <f t="shared" si="13"/>
        <v/>
      </c>
      <c r="G847" s="915">
        <f>'House Count'!F847</f>
        <v>0</v>
      </c>
      <c r="H847" s="915">
        <f>'House Count'!H847</f>
        <v>0</v>
      </c>
    </row>
    <row r="848" spans="1:8" x14ac:dyDescent="0.25">
      <c r="A848" s="914">
        <f>'House Count'!A848</f>
        <v>0</v>
      </c>
      <c r="B848" s="915">
        <f>'House Count'!E848</f>
        <v>0</v>
      </c>
      <c r="C848" s="915">
        <f>'House Count'!B848</f>
        <v>0</v>
      </c>
      <c r="D848" s="915">
        <f>'House Count'!C848</f>
        <v>0</v>
      </c>
      <c r="E848" s="915">
        <f>'House Count'!D848</f>
        <v>0</v>
      </c>
      <c r="F848" s="915" t="str">
        <f t="shared" si="13"/>
        <v/>
      </c>
      <c r="G848" s="915">
        <f>'House Count'!F848</f>
        <v>0</v>
      </c>
      <c r="H848" s="915">
        <f>'House Count'!H848</f>
        <v>0</v>
      </c>
    </row>
    <row r="849" spans="1:8" x14ac:dyDescent="0.25">
      <c r="A849" s="914">
        <f>'House Count'!A849</f>
        <v>0</v>
      </c>
      <c r="B849" s="915">
        <f>'House Count'!E849</f>
        <v>0</v>
      </c>
      <c r="C849" s="915">
        <f>'House Count'!B849</f>
        <v>0</v>
      </c>
      <c r="D849" s="915">
        <f>'House Count'!C849</f>
        <v>0</v>
      </c>
      <c r="E849" s="915">
        <f>'House Count'!D849</f>
        <v>0</v>
      </c>
      <c r="F849" s="915" t="str">
        <f t="shared" si="13"/>
        <v/>
      </c>
      <c r="G849" s="915">
        <f>'House Count'!F849</f>
        <v>0</v>
      </c>
      <c r="H849" s="915">
        <f>'House Count'!H849</f>
        <v>0</v>
      </c>
    </row>
    <row r="850" spans="1:8" x14ac:dyDescent="0.25">
      <c r="A850" s="914">
        <f>'House Count'!A850</f>
        <v>0</v>
      </c>
      <c r="B850" s="915">
        <f>'House Count'!E850</f>
        <v>0</v>
      </c>
      <c r="C850" s="915">
        <f>'House Count'!B850</f>
        <v>0</v>
      </c>
      <c r="D850" s="915">
        <f>'House Count'!C850</f>
        <v>0</v>
      </c>
      <c r="E850" s="915">
        <f>'House Count'!D850</f>
        <v>0</v>
      </c>
      <c r="F850" s="915" t="str">
        <f t="shared" si="13"/>
        <v/>
      </c>
      <c r="G850" s="915">
        <f>'House Count'!F850</f>
        <v>0</v>
      </c>
      <c r="H850" s="915">
        <f>'House Count'!H850</f>
        <v>0</v>
      </c>
    </row>
    <row r="851" spans="1:8" x14ac:dyDescent="0.25">
      <c r="A851" s="914">
        <f>'House Count'!A851</f>
        <v>0</v>
      </c>
      <c r="B851" s="915">
        <f>'House Count'!E851</f>
        <v>0</v>
      </c>
      <c r="C851" s="915">
        <f>'House Count'!B851</f>
        <v>0</v>
      </c>
      <c r="D851" s="915">
        <f>'House Count'!C851</f>
        <v>0</v>
      </c>
      <c r="E851" s="915">
        <f>'House Count'!D851</f>
        <v>0</v>
      </c>
      <c r="F851" s="915" t="str">
        <f t="shared" si="13"/>
        <v/>
      </c>
      <c r="G851" s="915">
        <f>'House Count'!F851</f>
        <v>0</v>
      </c>
      <c r="H851" s="915">
        <f>'House Count'!H851</f>
        <v>0</v>
      </c>
    </row>
    <row r="852" spans="1:8" x14ac:dyDescent="0.25">
      <c r="A852" s="914">
        <f>'House Count'!A852</f>
        <v>0</v>
      </c>
      <c r="B852" s="915">
        <f>'House Count'!E852</f>
        <v>0</v>
      </c>
      <c r="C852" s="915">
        <f>'House Count'!B852</f>
        <v>0</v>
      </c>
      <c r="D852" s="915">
        <f>'House Count'!C852</f>
        <v>0</v>
      </c>
      <c r="E852" s="915">
        <f>'House Count'!D852</f>
        <v>0</v>
      </c>
      <c r="F852" s="915" t="str">
        <f t="shared" si="13"/>
        <v/>
      </c>
      <c r="G852" s="915">
        <f>'House Count'!F852</f>
        <v>0</v>
      </c>
      <c r="H852" s="915">
        <f>'House Count'!H852</f>
        <v>0</v>
      </c>
    </row>
    <row r="853" spans="1:8" x14ac:dyDescent="0.25">
      <c r="A853" s="914">
        <f>'House Count'!A853</f>
        <v>0</v>
      </c>
      <c r="B853" s="915">
        <f>'House Count'!E853</f>
        <v>0</v>
      </c>
      <c r="C853" s="915">
        <f>'House Count'!B853</f>
        <v>0</v>
      </c>
      <c r="D853" s="915">
        <f>'House Count'!C853</f>
        <v>0</v>
      </c>
      <c r="E853" s="915">
        <f>'House Count'!D853</f>
        <v>0</v>
      </c>
      <c r="F853" s="915" t="str">
        <f t="shared" si="13"/>
        <v/>
      </c>
      <c r="G853" s="915">
        <f>'House Count'!F853</f>
        <v>0</v>
      </c>
      <c r="H853" s="915">
        <f>'House Count'!H853</f>
        <v>0</v>
      </c>
    </row>
    <row r="854" spans="1:8" x14ac:dyDescent="0.25">
      <c r="A854" s="914">
        <f>'House Count'!A854</f>
        <v>0</v>
      </c>
      <c r="B854" s="915">
        <f>'House Count'!E854</f>
        <v>0</v>
      </c>
      <c r="C854" s="915">
        <f>'House Count'!B854</f>
        <v>0</v>
      </c>
      <c r="D854" s="915">
        <f>'House Count'!C854</f>
        <v>0</v>
      </c>
      <c r="E854" s="915">
        <f>'House Count'!D854</f>
        <v>0</v>
      </c>
      <c r="F854" s="915" t="str">
        <f t="shared" si="13"/>
        <v/>
      </c>
      <c r="G854" s="915">
        <f>'House Count'!F854</f>
        <v>0</v>
      </c>
      <c r="H854" s="915">
        <f>'House Count'!H854</f>
        <v>0</v>
      </c>
    </row>
    <row r="855" spans="1:8" x14ac:dyDescent="0.25">
      <c r="A855" s="914">
        <f>'House Count'!A855</f>
        <v>0</v>
      </c>
      <c r="B855" s="915">
        <f>'House Count'!E855</f>
        <v>0</v>
      </c>
      <c r="C855" s="915">
        <f>'House Count'!B855</f>
        <v>0</v>
      </c>
      <c r="D855" s="915">
        <f>'House Count'!C855</f>
        <v>0</v>
      </c>
      <c r="E855" s="915">
        <f>'House Count'!D855</f>
        <v>0</v>
      </c>
      <c r="F855" s="915" t="str">
        <f t="shared" si="13"/>
        <v/>
      </c>
      <c r="G855" s="915">
        <f>'House Count'!F855</f>
        <v>0</v>
      </c>
      <c r="H855" s="915">
        <f>'House Count'!H855</f>
        <v>0</v>
      </c>
    </row>
    <row r="856" spans="1:8" x14ac:dyDescent="0.25">
      <c r="A856" s="914">
        <f>'House Count'!A856</f>
        <v>0</v>
      </c>
      <c r="B856" s="915">
        <f>'House Count'!E856</f>
        <v>0</v>
      </c>
      <c r="C856" s="915">
        <f>'House Count'!B856</f>
        <v>0</v>
      </c>
      <c r="D856" s="915">
        <f>'House Count'!C856</f>
        <v>0</v>
      </c>
      <c r="E856" s="915">
        <f>'House Count'!D856</f>
        <v>0</v>
      </c>
      <c r="F856" s="915" t="str">
        <f t="shared" si="13"/>
        <v/>
      </c>
      <c r="G856" s="915">
        <f>'House Count'!F856</f>
        <v>0</v>
      </c>
      <c r="H856" s="915">
        <f>'House Count'!H856</f>
        <v>0</v>
      </c>
    </row>
    <row r="857" spans="1:8" x14ac:dyDescent="0.25">
      <c r="A857" s="914">
        <f>'House Count'!A857</f>
        <v>0</v>
      </c>
      <c r="B857" s="915">
        <f>'House Count'!E857</f>
        <v>0</v>
      </c>
      <c r="C857" s="915">
        <f>'House Count'!B857</f>
        <v>0</v>
      </c>
      <c r="D857" s="915">
        <f>'House Count'!C857</f>
        <v>0</v>
      </c>
      <c r="E857" s="915">
        <f>'House Count'!D857</f>
        <v>0</v>
      </c>
      <c r="F857" s="915" t="str">
        <f t="shared" si="13"/>
        <v/>
      </c>
      <c r="G857" s="915">
        <f>'House Count'!F857</f>
        <v>0</v>
      </c>
      <c r="H857" s="915">
        <f>'House Count'!H857</f>
        <v>0</v>
      </c>
    </row>
    <row r="858" spans="1:8" x14ac:dyDescent="0.25">
      <c r="A858" s="914">
        <f>'House Count'!A858</f>
        <v>0</v>
      </c>
      <c r="B858" s="915">
        <f>'House Count'!E858</f>
        <v>0</v>
      </c>
      <c r="C858" s="915">
        <f>'House Count'!B858</f>
        <v>0</v>
      </c>
      <c r="D858" s="915">
        <f>'House Count'!C858</f>
        <v>0</v>
      </c>
      <c r="E858" s="915">
        <f>'House Count'!D858</f>
        <v>0</v>
      </c>
      <c r="F858" s="915" t="str">
        <f t="shared" si="13"/>
        <v/>
      </c>
      <c r="G858" s="915">
        <f>'House Count'!F858</f>
        <v>0</v>
      </c>
      <c r="H858" s="915">
        <f>'House Count'!H858</f>
        <v>0</v>
      </c>
    </row>
    <row r="859" spans="1:8" x14ac:dyDescent="0.25">
      <c r="A859" s="914">
        <f>'House Count'!A859</f>
        <v>0</v>
      </c>
      <c r="B859" s="915">
        <f>'House Count'!E859</f>
        <v>0</v>
      </c>
      <c r="C859" s="915">
        <f>'House Count'!B859</f>
        <v>0</v>
      </c>
      <c r="D859" s="915">
        <f>'House Count'!C859</f>
        <v>0</v>
      </c>
      <c r="E859" s="915">
        <f>'House Count'!D859</f>
        <v>0</v>
      </c>
      <c r="F859" s="915" t="str">
        <f t="shared" si="13"/>
        <v/>
      </c>
      <c r="G859" s="915">
        <f>'House Count'!F859</f>
        <v>0</v>
      </c>
      <c r="H859" s="915">
        <f>'House Count'!H859</f>
        <v>0</v>
      </c>
    </row>
    <row r="860" spans="1:8" x14ac:dyDescent="0.25">
      <c r="A860" s="914">
        <f>'House Count'!A860</f>
        <v>0</v>
      </c>
      <c r="B860" s="915">
        <f>'House Count'!E860</f>
        <v>0</v>
      </c>
      <c r="C860" s="915">
        <f>'House Count'!B860</f>
        <v>0</v>
      </c>
      <c r="D860" s="915">
        <f>'House Count'!C860</f>
        <v>0</v>
      </c>
      <c r="E860" s="915">
        <f>'House Count'!D860</f>
        <v>0</v>
      </c>
      <c r="F860" s="915" t="str">
        <f t="shared" si="13"/>
        <v/>
      </c>
      <c r="G860" s="915">
        <f>'House Count'!F860</f>
        <v>0</v>
      </c>
      <c r="H860" s="915">
        <f>'House Count'!H860</f>
        <v>0</v>
      </c>
    </row>
    <row r="861" spans="1:8" x14ac:dyDescent="0.25">
      <c r="A861" s="914">
        <f>'House Count'!A861</f>
        <v>0</v>
      </c>
      <c r="B861" s="915">
        <f>'House Count'!E861</f>
        <v>0</v>
      </c>
      <c r="C861" s="915">
        <f>'House Count'!B861</f>
        <v>0</v>
      </c>
      <c r="D861" s="915">
        <f>'House Count'!C861</f>
        <v>0</v>
      </c>
      <c r="E861" s="915">
        <f>'House Count'!D861</f>
        <v>0</v>
      </c>
      <c r="F861" s="915" t="str">
        <f t="shared" si="13"/>
        <v/>
      </c>
      <c r="G861" s="915">
        <f>'House Count'!F861</f>
        <v>0</v>
      </c>
      <c r="H861" s="915">
        <f>'House Count'!H861</f>
        <v>0</v>
      </c>
    </row>
    <row r="862" spans="1:8" x14ac:dyDescent="0.25">
      <c r="A862" s="914">
        <f>'House Count'!A862</f>
        <v>0</v>
      </c>
      <c r="B862" s="915">
        <f>'House Count'!E862</f>
        <v>0</v>
      </c>
      <c r="C862" s="915">
        <f>'House Count'!B862</f>
        <v>0</v>
      </c>
      <c r="D862" s="915">
        <f>'House Count'!C862</f>
        <v>0</v>
      </c>
      <c r="E862" s="915">
        <f>'House Count'!D862</f>
        <v>0</v>
      </c>
      <c r="F862" s="915" t="str">
        <f t="shared" si="13"/>
        <v/>
      </c>
      <c r="G862" s="915">
        <f>'House Count'!F862</f>
        <v>0</v>
      </c>
      <c r="H862" s="915">
        <f>'House Count'!H862</f>
        <v>0</v>
      </c>
    </row>
    <row r="863" spans="1:8" x14ac:dyDescent="0.25">
      <c r="A863" s="914">
        <f>'House Count'!A863</f>
        <v>0</v>
      </c>
      <c r="B863" s="915">
        <f>'House Count'!E863</f>
        <v>0</v>
      </c>
      <c r="C863" s="915">
        <f>'House Count'!B863</f>
        <v>0</v>
      </c>
      <c r="D863" s="915">
        <f>'House Count'!C863</f>
        <v>0</v>
      </c>
      <c r="E863" s="915">
        <f>'House Count'!D863</f>
        <v>0</v>
      </c>
      <c r="F863" s="915" t="str">
        <f t="shared" si="13"/>
        <v/>
      </c>
      <c r="G863" s="915">
        <f>'House Count'!F863</f>
        <v>0</v>
      </c>
      <c r="H863" s="915">
        <f>'House Count'!H863</f>
        <v>0</v>
      </c>
    </row>
    <row r="864" spans="1:8" x14ac:dyDescent="0.25">
      <c r="A864" s="914">
        <f>'House Count'!A864</f>
        <v>0</v>
      </c>
      <c r="B864" s="915">
        <f>'House Count'!E864</f>
        <v>0</v>
      </c>
      <c r="C864" s="915">
        <f>'House Count'!B864</f>
        <v>0</v>
      </c>
      <c r="D864" s="915">
        <f>'House Count'!C864</f>
        <v>0</v>
      </c>
      <c r="E864" s="915">
        <f>'House Count'!D864</f>
        <v>0</v>
      </c>
      <c r="F864" s="915" t="str">
        <f t="shared" si="13"/>
        <v/>
      </c>
      <c r="G864" s="915">
        <f>'House Count'!F864</f>
        <v>0</v>
      </c>
      <c r="H864" s="915">
        <f>'House Count'!H864</f>
        <v>0</v>
      </c>
    </row>
    <row r="865" spans="1:8" x14ac:dyDescent="0.25">
      <c r="A865" s="914">
        <f>'House Count'!A865</f>
        <v>0</v>
      </c>
      <c r="B865" s="915">
        <f>'House Count'!E865</f>
        <v>0</v>
      </c>
      <c r="C865" s="915">
        <f>'House Count'!B865</f>
        <v>0</v>
      </c>
      <c r="D865" s="915">
        <f>'House Count'!C865</f>
        <v>0</v>
      </c>
      <c r="E865" s="915">
        <f>'House Count'!D865</f>
        <v>0</v>
      </c>
      <c r="F865" s="915" t="str">
        <f t="shared" si="13"/>
        <v/>
      </c>
      <c r="G865" s="915">
        <f>'House Count'!F865</f>
        <v>0</v>
      </c>
      <c r="H865" s="915">
        <f>'House Count'!H865</f>
        <v>0</v>
      </c>
    </row>
    <row r="866" spans="1:8" x14ac:dyDescent="0.25">
      <c r="A866" s="914">
        <f>'House Count'!A866</f>
        <v>0</v>
      </c>
      <c r="B866" s="915">
        <f>'House Count'!E866</f>
        <v>0</v>
      </c>
      <c r="C866" s="915">
        <f>'House Count'!B866</f>
        <v>0</v>
      </c>
      <c r="D866" s="915">
        <f>'House Count'!C866</f>
        <v>0</v>
      </c>
      <c r="E866" s="915">
        <f>'House Count'!D866</f>
        <v>0</v>
      </c>
      <c r="F866" s="915" t="str">
        <f t="shared" si="13"/>
        <v/>
      </c>
      <c r="G866" s="915">
        <f>'House Count'!F866</f>
        <v>0</v>
      </c>
      <c r="H866" s="915">
        <f>'House Count'!H866</f>
        <v>0</v>
      </c>
    </row>
    <row r="867" spans="1:8" x14ac:dyDescent="0.25">
      <c r="A867" s="914">
        <f>'House Count'!A867</f>
        <v>0</v>
      </c>
      <c r="B867" s="915">
        <f>'House Count'!E867</f>
        <v>0</v>
      </c>
      <c r="C867" s="915">
        <f>'House Count'!B867</f>
        <v>0</v>
      </c>
      <c r="D867" s="915">
        <f>'House Count'!C867</f>
        <v>0</v>
      </c>
      <c r="E867" s="915">
        <f>'House Count'!D867</f>
        <v>0</v>
      </c>
      <c r="F867" s="915" t="str">
        <f t="shared" si="13"/>
        <v/>
      </c>
      <c r="G867" s="915">
        <f>'House Count'!F867</f>
        <v>0</v>
      </c>
      <c r="H867" s="915">
        <f>'House Count'!H867</f>
        <v>0</v>
      </c>
    </row>
    <row r="868" spans="1:8" x14ac:dyDescent="0.25">
      <c r="A868" s="914">
        <f>'House Count'!A868</f>
        <v>0</v>
      </c>
      <c r="B868" s="915">
        <f>'House Count'!E868</f>
        <v>0</v>
      </c>
      <c r="C868" s="915">
        <f>'House Count'!B868</f>
        <v>0</v>
      </c>
      <c r="D868" s="915">
        <f>'House Count'!C868</f>
        <v>0</v>
      </c>
      <c r="E868" s="915">
        <f>'House Count'!D868</f>
        <v>0</v>
      </c>
      <c r="F868" s="915" t="str">
        <f t="shared" si="13"/>
        <v/>
      </c>
      <c r="G868" s="915">
        <f>'House Count'!F868</f>
        <v>0</v>
      </c>
      <c r="H868" s="915">
        <f>'House Count'!H868</f>
        <v>0</v>
      </c>
    </row>
    <row r="869" spans="1:8" x14ac:dyDescent="0.25">
      <c r="A869" s="914">
        <f>'House Count'!A869</f>
        <v>0</v>
      </c>
      <c r="B869" s="915">
        <f>'House Count'!E869</f>
        <v>0</v>
      </c>
      <c r="C869" s="915">
        <f>'House Count'!B869</f>
        <v>0</v>
      </c>
      <c r="D869" s="915">
        <f>'House Count'!C869</f>
        <v>0</v>
      </c>
      <c r="E869" s="915">
        <f>'House Count'!D869</f>
        <v>0</v>
      </c>
      <c r="F869" s="915" t="str">
        <f t="shared" si="13"/>
        <v/>
      </c>
      <c r="G869" s="915">
        <f>'House Count'!F869</f>
        <v>0</v>
      </c>
      <c r="H869" s="915">
        <f>'House Count'!H869</f>
        <v>0</v>
      </c>
    </row>
    <row r="870" spans="1:8" x14ac:dyDescent="0.25">
      <c r="A870" s="914">
        <f>'House Count'!A870</f>
        <v>0</v>
      </c>
      <c r="B870" s="915">
        <f>'House Count'!E870</f>
        <v>0</v>
      </c>
      <c r="C870" s="915">
        <f>'House Count'!B870</f>
        <v>0</v>
      </c>
      <c r="D870" s="915">
        <f>'House Count'!C870</f>
        <v>0</v>
      </c>
      <c r="E870" s="915">
        <f>'House Count'!D870</f>
        <v>0</v>
      </c>
      <c r="F870" s="915" t="str">
        <f t="shared" si="13"/>
        <v/>
      </c>
      <c r="G870" s="915">
        <f>'House Count'!F870</f>
        <v>0</v>
      </c>
      <c r="H870" s="915">
        <f>'House Count'!H870</f>
        <v>0</v>
      </c>
    </row>
    <row r="871" spans="1:8" x14ac:dyDescent="0.25">
      <c r="A871" s="914">
        <f>'House Count'!A871</f>
        <v>0</v>
      </c>
      <c r="B871" s="915">
        <f>'House Count'!E871</f>
        <v>0</v>
      </c>
      <c r="C871" s="915">
        <f>'House Count'!B871</f>
        <v>0</v>
      </c>
      <c r="D871" s="915">
        <f>'House Count'!C871</f>
        <v>0</v>
      </c>
      <c r="E871" s="915">
        <f>'House Count'!D871</f>
        <v>0</v>
      </c>
      <c r="F871" s="915" t="str">
        <f t="shared" si="13"/>
        <v/>
      </c>
      <c r="G871" s="915">
        <f>'House Count'!F871</f>
        <v>0</v>
      </c>
      <c r="H871" s="915">
        <f>'House Count'!H871</f>
        <v>0</v>
      </c>
    </row>
    <row r="872" spans="1:8" x14ac:dyDescent="0.25">
      <c r="A872" s="914">
        <f>'House Count'!A872</f>
        <v>0</v>
      </c>
      <c r="B872" s="915">
        <f>'House Count'!E872</f>
        <v>0</v>
      </c>
      <c r="C872" s="915">
        <f>'House Count'!B872</f>
        <v>0</v>
      </c>
      <c r="D872" s="915">
        <f>'House Count'!C872</f>
        <v>0</v>
      </c>
      <c r="E872" s="915">
        <f>'House Count'!D872</f>
        <v>0</v>
      </c>
      <c r="F872" s="915" t="str">
        <f t="shared" si="13"/>
        <v/>
      </c>
      <c r="G872" s="915">
        <f>'House Count'!F872</f>
        <v>0</v>
      </c>
      <c r="H872" s="915">
        <f>'House Count'!H872</f>
        <v>0</v>
      </c>
    </row>
    <row r="873" spans="1:8" x14ac:dyDescent="0.25">
      <c r="A873" s="914">
        <f>'House Count'!A873</f>
        <v>0</v>
      </c>
      <c r="B873" s="915">
        <f>'House Count'!E873</f>
        <v>0</v>
      </c>
      <c r="C873" s="915">
        <f>'House Count'!B873</f>
        <v>0</v>
      </c>
      <c r="D873" s="915">
        <f>'House Count'!C873</f>
        <v>0</v>
      </c>
      <c r="E873" s="915">
        <f>'House Count'!D873</f>
        <v>0</v>
      </c>
      <c r="F873" s="915" t="str">
        <f t="shared" si="13"/>
        <v/>
      </c>
      <c r="G873" s="915">
        <f>'House Count'!F873</f>
        <v>0</v>
      </c>
      <c r="H873" s="915">
        <f>'House Count'!H873</f>
        <v>0</v>
      </c>
    </row>
    <row r="874" spans="1:8" x14ac:dyDescent="0.25">
      <c r="A874" s="914">
        <f>'House Count'!A874</f>
        <v>0</v>
      </c>
      <c r="B874" s="915">
        <f>'House Count'!E874</f>
        <v>0</v>
      </c>
      <c r="C874" s="915">
        <f>'House Count'!B874</f>
        <v>0</v>
      </c>
      <c r="D874" s="915">
        <f>'House Count'!C874</f>
        <v>0</v>
      </c>
      <c r="E874" s="915">
        <f>'House Count'!D874</f>
        <v>0</v>
      </c>
      <c r="F874" s="915" t="str">
        <f t="shared" si="13"/>
        <v/>
      </c>
      <c r="G874" s="915">
        <f>'House Count'!F874</f>
        <v>0</v>
      </c>
      <c r="H874" s="915">
        <f>'House Count'!H874</f>
        <v>0</v>
      </c>
    </row>
    <row r="875" spans="1:8" x14ac:dyDescent="0.25">
      <c r="A875" s="914">
        <f>'House Count'!A875</f>
        <v>0</v>
      </c>
      <c r="B875" s="915">
        <f>'House Count'!E875</f>
        <v>0</v>
      </c>
      <c r="C875" s="915">
        <f>'House Count'!B875</f>
        <v>0</v>
      </c>
      <c r="D875" s="915">
        <f>'House Count'!C875</f>
        <v>0</v>
      </c>
      <c r="E875" s="915">
        <f>'House Count'!D875</f>
        <v>0</v>
      </c>
      <c r="F875" s="915" t="str">
        <f t="shared" si="13"/>
        <v/>
      </c>
      <c r="G875" s="915">
        <f>'House Count'!F875</f>
        <v>0</v>
      </c>
      <c r="H875" s="915">
        <f>'House Count'!H875</f>
        <v>0</v>
      </c>
    </row>
    <row r="876" spans="1:8" x14ac:dyDescent="0.25">
      <c r="A876" s="914">
        <f>'House Count'!A876</f>
        <v>0</v>
      </c>
      <c r="B876" s="915">
        <f>'House Count'!E876</f>
        <v>0</v>
      </c>
      <c r="C876" s="915">
        <f>'House Count'!B876</f>
        <v>0</v>
      </c>
      <c r="D876" s="915">
        <f>'House Count'!C876</f>
        <v>0</v>
      </c>
      <c r="E876" s="915">
        <f>'House Count'!D876</f>
        <v>0</v>
      </c>
      <c r="F876" s="915" t="str">
        <f t="shared" si="13"/>
        <v/>
      </c>
      <c r="G876" s="915">
        <f>'House Count'!F876</f>
        <v>0</v>
      </c>
      <c r="H876" s="915">
        <f>'House Count'!H876</f>
        <v>0</v>
      </c>
    </row>
    <row r="877" spans="1:8" x14ac:dyDescent="0.25">
      <c r="A877" s="914">
        <f>'House Count'!A877</f>
        <v>0</v>
      </c>
      <c r="B877" s="915">
        <f>'House Count'!E877</f>
        <v>0</v>
      </c>
      <c r="C877" s="915">
        <f>'House Count'!B877</f>
        <v>0</v>
      </c>
      <c r="D877" s="915">
        <f>'House Count'!C877</f>
        <v>0</v>
      </c>
      <c r="E877" s="915">
        <f>'House Count'!D877</f>
        <v>0</v>
      </c>
      <c r="F877" s="915" t="str">
        <f t="shared" si="13"/>
        <v/>
      </c>
      <c r="G877" s="915">
        <f>'House Count'!F877</f>
        <v>0</v>
      </c>
      <c r="H877" s="915">
        <f>'House Count'!H877</f>
        <v>0</v>
      </c>
    </row>
    <row r="878" spans="1:8" x14ac:dyDescent="0.25">
      <c r="A878" s="914">
        <f>'House Count'!A878</f>
        <v>0</v>
      </c>
      <c r="B878" s="915">
        <f>'House Count'!E878</f>
        <v>0</v>
      </c>
      <c r="C878" s="915">
        <f>'House Count'!B878</f>
        <v>0</v>
      </c>
      <c r="D878" s="915">
        <f>'House Count'!C878</f>
        <v>0</v>
      </c>
      <c r="E878" s="915">
        <f>'House Count'!D878</f>
        <v>0</v>
      </c>
      <c r="F878" s="915" t="str">
        <f t="shared" si="13"/>
        <v/>
      </c>
      <c r="G878" s="915">
        <f>'House Count'!F878</f>
        <v>0</v>
      </c>
      <c r="H878" s="915">
        <f>'House Count'!H878</f>
        <v>0</v>
      </c>
    </row>
    <row r="879" spans="1:8" x14ac:dyDescent="0.25">
      <c r="A879" s="914">
        <f>'House Count'!A879</f>
        <v>0</v>
      </c>
      <c r="B879" s="915">
        <f>'House Count'!E879</f>
        <v>0</v>
      </c>
      <c r="C879" s="915">
        <f>'House Count'!B879</f>
        <v>0</v>
      </c>
      <c r="D879" s="915">
        <f>'House Count'!C879</f>
        <v>0</v>
      </c>
      <c r="E879" s="915">
        <f>'House Count'!D879</f>
        <v>0</v>
      </c>
      <c r="F879" s="915" t="str">
        <f t="shared" si="13"/>
        <v/>
      </c>
      <c r="G879" s="915">
        <f>'House Count'!F879</f>
        <v>0</v>
      </c>
      <c r="H879" s="915">
        <f>'House Count'!H879</f>
        <v>0</v>
      </c>
    </row>
    <row r="880" spans="1:8" x14ac:dyDescent="0.25">
      <c r="A880" s="914">
        <f>'House Count'!A880</f>
        <v>0</v>
      </c>
      <c r="B880" s="915">
        <f>'House Count'!E880</f>
        <v>0</v>
      </c>
      <c r="C880" s="915">
        <f>'House Count'!B880</f>
        <v>0</v>
      </c>
      <c r="D880" s="915">
        <f>'House Count'!C880</f>
        <v>0</v>
      </c>
      <c r="E880" s="915">
        <f>'House Count'!D880</f>
        <v>0</v>
      </c>
      <c r="F880" s="915" t="str">
        <f t="shared" si="13"/>
        <v/>
      </c>
      <c r="G880" s="915">
        <f>'House Count'!F880</f>
        <v>0</v>
      </c>
      <c r="H880" s="915">
        <f>'House Count'!H880</f>
        <v>0</v>
      </c>
    </row>
    <row r="881" spans="1:8" x14ac:dyDescent="0.25">
      <c r="A881" s="914">
        <f>'House Count'!A881</f>
        <v>0</v>
      </c>
      <c r="B881" s="915">
        <f>'House Count'!E881</f>
        <v>0</v>
      </c>
      <c r="C881" s="915">
        <f>'House Count'!B881</f>
        <v>0</v>
      </c>
      <c r="D881" s="915">
        <f>'House Count'!C881</f>
        <v>0</v>
      </c>
      <c r="E881" s="915">
        <f>'House Count'!D881</f>
        <v>0</v>
      </c>
      <c r="F881" s="915" t="str">
        <f t="shared" si="13"/>
        <v/>
      </c>
      <c r="G881" s="915">
        <f>'House Count'!F881</f>
        <v>0</v>
      </c>
      <c r="H881" s="915">
        <f>'House Count'!H881</f>
        <v>0</v>
      </c>
    </row>
    <row r="882" spans="1:8" x14ac:dyDescent="0.25">
      <c r="A882" s="914">
        <f>'House Count'!A882</f>
        <v>0</v>
      </c>
      <c r="B882" s="915">
        <f>'House Count'!E882</f>
        <v>0</v>
      </c>
      <c r="C882" s="915">
        <f>'House Count'!B882</f>
        <v>0</v>
      </c>
      <c r="D882" s="915">
        <f>'House Count'!C882</f>
        <v>0</v>
      </c>
      <c r="E882" s="915">
        <f>'House Count'!D882</f>
        <v>0</v>
      </c>
      <c r="F882" s="915" t="str">
        <f t="shared" si="13"/>
        <v/>
      </c>
      <c r="G882" s="915">
        <f>'House Count'!F882</f>
        <v>0</v>
      </c>
      <c r="H882" s="915">
        <f>'House Count'!H882</f>
        <v>0</v>
      </c>
    </row>
    <row r="883" spans="1:8" x14ac:dyDescent="0.25">
      <c r="A883" s="914">
        <f>'House Count'!A883</f>
        <v>0</v>
      </c>
      <c r="B883" s="915">
        <f>'House Count'!E883</f>
        <v>0</v>
      </c>
      <c r="C883" s="915">
        <f>'House Count'!B883</f>
        <v>0</v>
      </c>
      <c r="D883" s="915">
        <f>'House Count'!C883</f>
        <v>0</v>
      </c>
      <c r="E883" s="915">
        <f>'House Count'!D883</f>
        <v>0</v>
      </c>
      <c r="F883" s="915" t="str">
        <f t="shared" si="13"/>
        <v/>
      </c>
      <c r="G883" s="915">
        <f>'House Count'!F883</f>
        <v>0</v>
      </c>
      <c r="H883" s="915">
        <f>'House Count'!H883</f>
        <v>0</v>
      </c>
    </row>
    <row r="884" spans="1:8" x14ac:dyDescent="0.25">
      <c r="A884" s="914">
        <f>'House Count'!A884</f>
        <v>0</v>
      </c>
      <c r="B884" s="915">
        <f>'House Count'!E884</f>
        <v>0</v>
      </c>
      <c r="C884" s="915">
        <f>'House Count'!B884</f>
        <v>0</v>
      </c>
      <c r="D884" s="915">
        <f>'House Count'!C884</f>
        <v>0</v>
      </c>
      <c r="E884" s="915">
        <f>'House Count'!D884</f>
        <v>0</v>
      </c>
      <c r="F884" s="915" t="str">
        <f t="shared" si="13"/>
        <v/>
      </c>
      <c r="G884" s="915">
        <f>'House Count'!F884</f>
        <v>0</v>
      </c>
      <c r="H884" s="915">
        <f>'House Count'!H884</f>
        <v>0</v>
      </c>
    </row>
    <row r="885" spans="1:8" x14ac:dyDescent="0.25">
      <c r="A885" s="914">
        <f>'House Count'!A885</f>
        <v>0</v>
      </c>
      <c r="B885" s="915">
        <f>'House Count'!E885</f>
        <v>0</v>
      </c>
      <c r="C885" s="915">
        <f>'House Count'!B885</f>
        <v>0</v>
      </c>
      <c r="D885" s="915">
        <f>'House Count'!C885</f>
        <v>0</v>
      </c>
      <c r="E885" s="915">
        <f>'House Count'!D885</f>
        <v>0</v>
      </c>
      <c r="F885" s="915" t="str">
        <f t="shared" si="13"/>
        <v/>
      </c>
      <c r="G885" s="915">
        <f>'House Count'!F885</f>
        <v>0</v>
      </c>
      <c r="H885" s="915">
        <f>'House Count'!H885</f>
        <v>0</v>
      </c>
    </row>
    <row r="886" spans="1:8" x14ac:dyDescent="0.25">
      <c r="A886" s="914">
        <f>'House Count'!A886</f>
        <v>0</v>
      </c>
      <c r="B886" s="915">
        <f>'House Count'!E886</f>
        <v>0</v>
      </c>
      <c r="C886" s="915">
        <f>'House Count'!B886</f>
        <v>0</v>
      </c>
      <c r="D886" s="915">
        <f>'House Count'!C886</f>
        <v>0</v>
      </c>
      <c r="E886" s="915">
        <f>'House Count'!D886</f>
        <v>0</v>
      </c>
      <c r="F886" s="915" t="str">
        <f t="shared" si="13"/>
        <v/>
      </c>
      <c r="G886" s="915">
        <f>'House Count'!F886</f>
        <v>0</v>
      </c>
      <c r="H886" s="915">
        <f>'House Count'!H886</f>
        <v>0</v>
      </c>
    </row>
    <row r="887" spans="1:8" x14ac:dyDescent="0.25">
      <c r="A887" s="914">
        <f>'House Count'!A887</f>
        <v>0</v>
      </c>
      <c r="B887" s="915">
        <f>'House Count'!E887</f>
        <v>0</v>
      </c>
      <c r="C887" s="915">
        <f>'House Count'!B887</f>
        <v>0</v>
      </c>
      <c r="D887" s="915">
        <f>'House Count'!C887</f>
        <v>0</v>
      </c>
      <c r="E887" s="915">
        <f>'House Count'!D887</f>
        <v>0</v>
      </c>
      <c r="F887" s="915" t="str">
        <f t="shared" si="13"/>
        <v/>
      </c>
      <c r="G887" s="915">
        <f>'House Count'!F887</f>
        <v>0</v>
      </c>
      <c r="H887" s="915">
        <f>'House Count'!H887</f>
        <v>0</v>
      </c>
    </row>
    <row r="888" spans="1:8" x14ac:dyDescent="0.25">
      <c r="A888" s="914">
        <f>'House Count'!A888</f>
        <v>0</v>
      </c>
      <c r="B888" s="915">
        <f>'House Count'!E888</f>
        <v>0</v>
      </c>
      <c r="C888" s="915">
        <f>'House Count'!B888</f>
        <v>0</v>
      </c>
      <c r="D888" s="915">
        <f>'House Count'!C888</f>
        <v>0</v>
      </c>
      <c r="E888" s="915">
        <f>'House Count'!D888</f>
        <v>0</v>
      </c>
      <c r="F888" s="915" t="str">
        <f t="shared" si="13"/>
        <v/>
      </c>
      <c r="G888" s="915">
        <f>'House Count'!F888</f>
        <v>0</v>
      </c>
      <c r="H888" s="915">
        <f>'House Count'!H888</f>
        <v>0</v>
      </c>
    </row>
    <row r="889" spans="1:8" x14ac:dyDescent="0.25">
      <c r="A889" s="914">
        <f>'House Count'!A889</f>
        <v>0</v>
      </c>
      <c r="B889" s="915">
        <f>'House Count'!E889</f>
        <v>0</v>
      </c>
      <c r="C889" s="915">
        <f>'House Count'!B889</f>
        <v>0</v>
      </c>
      <c r="D889" s="915">
        <f>'House Count'!C889</f>
        <v>0</v>
      </c>
      <c r="E889" s="915">
        <f>'House Count'!D889</f>
        <v>0</v>
      </c>
      <c r="F889" s="915" t="str">
        <f t="shared" si="13"/>
        <v/>
      </c>
      <c r="G889" s="915">
        <f>'House Count'!F889</f>
        <v>0</v>
      </c>
      <c r="H889" s="915">
        <f>'House Count'!H889</f>
        <v>0</v>
      </c>
    </row>
    <row r="890" spans="1:8" x14ac:dyDescent="0.25">
      <c r="A890" s="914">
        <f>'House Count'!A890</f>
        <v>0</v>
      </c>
      <c r="B890" s="915">
        <f>'House Count'!E890</f>
        <v>0</v>
      </c>
      <c r="C890" s="915">
        <f>'House Count'!B890</f>
        <v>0</v>
      </c>
      <c r="D890" s="915">
        <f>'House Count'!C890</f>
        <v>0</v>
      </c>
      <c r="E890" s="915">
        <f>'House Count'!D890</f>
        <v>0</v>
      </c>
      <c r="F890" s="915" t="str">
        <f t="shared" si="13"/>
        <v/>
      </c>
      <c r="G890" s="915">
        <f>'House Count'!F890</f>
        <v>0</v>
      </c>
      <c r="H890" s="915">
        <f>'House Count'!H890</f>
        <v>0</v>
      </c>
    </row>
    <row r="891" spans="1:8" x14ac:dyDescent="0.25">
      <c r="A891" s="914">
        <f>'House Count'!A891</f>
        <v>0</v>
      </c>
      <c r="B891" s="915">
        <f>'House Count'!E891</f>
        <v>0</v>
      </c>
      <c r="C891" s="915">
        <f>'House Count'!B891</f>
        <v>0</v>
      </c>
      <c r="D891" s="915">
        <f>'House Count'!C891</f>
        <v>0</v>
      </c>
      <c r="E891" s="915">
        <f>'House Count'!D891</f>
        <v>0</v>
      </c>
      <c r="F891" s="915" t="str">
        <f t="shared" si="13"/>
        <v/>
      </c>
      <c r="G891" s="915">
        <f>'House Count'!F891</f>
        <v>0</v>
      </c>
      <c r="H891" s="915">
        <f>'House Count'!H891</f>
        <v>0</v>
      </c>
    </row>
    <row r="892" spans="1:8" x14ac:dyDescent="0.25">
      <c r="A892" s="914">
        <f>'House Count'!A892</f>
        <v>0</v>
      </c>
      <c r="B892" s="915">
        <f>'House Count'!E892</f>
        <v>0</v>
      </c>
      <c r="C892" s="915">
        <f>'House Count'!B892</f>
        <v>0</v>
      </c>
      <c r="D892" s="915">
        <f>'House Count'!C892</f>
        <v>0</v>
      </c>
      <c r="E892" s="915">
        <f>'House Count'!D892</f>
        <v>0</v>
      </c>
      <c r="F892" s="915" t="str">
        <f t="shared" si="13"/>
        <v/>
      </c>
      <c r="G892" s="915">
        <f>'House Count'!F892</f>
        <v>0</v>
      </c>
      <c r="H892" s="915">
        <f>'House Count'!H892</f>
        <v>0</v>
      </c>
    </row>
    <row r="893" spans="1:8" x14ac:dyDescent="0.25">
      <c r="A893" s="914">
        <f>'House Count'!A893</f>
        <v>0</v>
      </c>
      <c r="B893" s="915">
        <f>'House Count'!E893</f>
        <v>0</v>
      </c>
      <c r="C893" s="915">
        <f>'House Count'!B893</f>
        <v>0</v>
      </c>
      <c r="D893" s="915">
        <f>'House Count'!C893</f>
        <v>0</v>
      </c>
      <c r="E893" s="915">
        <f>'House Count'!D893</f>
        <v>0</v>
      </c>
      <c r="F893" s="915" t="str">
        <f t="shared" si="13"/>
        <v/>
      </c>
      <c r="G893" s="915">
        <f>'House Count'!F893</f>
        <v>0</v>
      </c>
      <c r="H893" s="915">
        <f>'House Count'!H893</f>
        <v>0</v>
      </c>
    </row>
    <row r="894" spans="1:8" x14ac:dyDescent="0.25">
      <c r="A894" s="914">
        <f>'House Count'!A894</f>
        <v>0</v>
      </c>
      <c r="B894" s="915">
        <f>'House Count'!E894</f>
        <v>0</v>
      </c>
      <c r="C894" s="915">
        <f>'House Count'!B894</f>
        <v>0</v>
      </c>
      <c r="D894" s="915">
        <f>'House Count'!C894</f>
        <v>0</v>
      </c>
      <c r="E894" s="915">
        <f>'House Count'!D894</f>
        <v>0</v>
      </c>
      <c r="F894" s="915" t="str">
        <f t="shared" si="13"/>
        <v/>
      </c>
      <c r="G894" s="915">
        <f>'House Count'!F894</f>
        <v>0</v>
      </c>
      <c r="H894" s="915">
        <f>'House Count'!H894</f>
        <v>0</v>
      </c>
    </row>
    <row r="895" spans="1:8" x14ac:dyDescent="0.25">
      <c r="A895" s="914">
        <f>'House Count'!A895</f>
        <v>0</v>
      </c>
      <c r="B895" s="915">
        <f>'House Count'!E895</f>
        <v>0</v>
      </c>
      <c r="C895" s="915">
        <f>'House Count'!B895</f>
        <v>0</v>
      </c>
      <c r="D895" s="915">
        <f>'House Count'!C895</f>
        <v>0</v>
      </c>
      <c r="E895" s="915">
        <f>'House Count'!D895</f>
        <v>0</v>
      </c>
      <c r="F895" s="915" t="str">
        <f t="shared" si="13"/>
        <v/>
      </c>
      <c r="G895" s="915">
        <f>'House Count'!F895</f>
        <v>0</v>
      </c>
      <c r="H895" s="915">
        <f>'House Count'!H895</f>
        <v>0</v>
      </c>
    </row>
    <row r="896" spans="1:8" x14ac:dyDescent="0.25">
      <c r="A896" s="914">
        <f>'House Count'!A896</f>
        <v>0</v>
      </c>
      <c r="B896" s="915">
        <f>'House Count'!E896</f>
        <v>0</v>
      </c>
      <c r="C896" s="915">
        <f>'House Count'!B896</f>
        <v>0</v>
      </c>
      <c r="D896" s="915">
        <f>'House Count'!C896</f>
        <v>0</v>
      </c>
      <c r="E896" s="915">
        <f>'House Count'!D896</f>
        <v>0</v>
      </c>
      <c r="F896" s="915" t="str">
        <f t="shared" si="13"/>
        <v/>
      </c>
      <c r="G896" s="915">
        <f>'House Count'!F896</f>
        <v>0</v>
      </c>
      <c r="H896" s="915">
        <f>'House Count'!H896</f>
        <v>0</v>
      </c>
    </row>
    <row r="897" spans="1:8" x14ac:dyDescent="0.25">
      <c r="A897" s="914">
        <f>'House Count'!A897</f>
        <v>0</v>
      </c>
      <c r="B897" s="915">
        <f>'House Count'!E897</f>
        <v>0</v>
      </c>
      <c r="C897" s="915">
        <f>'House Count'!B897</f>
        <v>0</v>
      </c>
      <c r="D897" s="915">
        <f>'House Count'!C897</f>
        <v>0</v>
      </c>
      <c r="E897" s="915">
        <f>'House Count'!D897</f>
        <v>0</v>
      </c>
      <c r="F897" s="915" t="str">
        <f t="shared" si="13"/>
        <v/>
      </c>
      <c r="G897" s="915">
        <f>'House Count'!F897</f>
        <v>0</v>
      </c>
      <c r="H897" s="915">
        <f>'House Count'!H897</f>
        <v>0</v>
      </c>
    </row>
    <row r="898" spans="1:8" x14ac:dyDescent="0.25">
      <c r="A898" s="914">
        <f>'House Count'!A898</f>
        <v>0</v>
      </c>
      <c r="B898" s="915">
        <f>'House Count'!E898</f>
        <v>0</v>
      </c>
      <c r="C898" s="915">
        <f>'House Count'!B898</f>
        <v>0</v>
      </c>
      <c r="D898" s="915">
        <f>'House Count'!C898</f>
        <v>0</v>
      </c>
      <c r="E898" s="915">
        <f>'House Count'!D898</f>
        <v>0</v>
      </c>
      <c r="F898" s="915" t="str">
        <f t="shared" si="13"/>
        <v/>
      </c>
      <c r="G898" s="915">
        <f>'House Count'!F898</f>
        <v>0</v>
      </c>
      <c r="H898" s="915">
        <f>'House Count'!H898</f>
        <v>0</v>
      </c>
    </row>
    <row r="899" spans="1:8" x14ac:dyDescent="0.25">
      <c r="A899" s="914">
        <f>'House Count'!A899</f>
        <v>0</v>
      </c>
      <c r="B899" s="915">
        <f>'House Count'!E899</f>
        <v>0</v>
      </c>
      <c r="C899" s="915">
        <f>'House Count'!B899</f>
        <v>0</v>
      </c>
      <c r="D899" s="915">
        <f>'House Count'!C899</f>
        <v>0</v>
      </c>
      <c r="E899" s="915">
        <f>'House Count'!D899</f>
        <v>0</v>
      </c>
      <c r="F899" s="915" t="str">
        <f t="shared" ref="F899:F962" si="14">IF(G899="RES-SFU","RESIDENTIAL",IF(G899="RES-HOA","RESIDENTIAL",IF(G899="RES-MDU","RESIDENTIAL",IF(G899="COMM-SU","BUSINESS",IF(G899="COM-MTU","BUSINESS",IF(G899="ENT","BUSINESS",""))))))</f>
        <v/>
      </c>
      <c r="G899" s="915">
        <f>'House Count'!F899</f>
        <v>0</v>
      </c>
      <c r="H899" s="915">
        <f>'House Count'!H899</f>
        <v>0</v>
      </c>
    </row>
    <row r="900" spans="1:8" x14ac:dyDescent="0.25">
      <c r="A900" s="914">
        <f>'House Count'!A900</f>
        <v>0</v>
      </c>
      <c r="B900" s="915">
        <f>'House Count'!E900</f>
        <v>0</v>
      </c>
      <c r="C900" s="915">
        <f>'House Count'!B900</f>
        <v>0</v>
      </c>
      <c r="D900" s="915">
        <f>'House Count'!C900</f>
        <v>0</v>
      </c>
      <c r="E900" s="915">
        <f>'House Count'!D900</f>
        <v>0</v>
      </c>
      <c r="F900" s="915" t="str">
        <f t="shared" si="14"/>
        <v/>
      </c>
      <c r="G900" s="915">
        <f>'House Count'!F900</f>
        <v>0</v>
      </c>
      <c r="H900" s="915">
        <f>'House Count'!H900</f>
        <v>0</v>
      </c>
    </row>
    <row r="901" spans="1:8" x14ac:dyDescent="0.25">
      <c r="A901" s="914">
        <f>'House Count'!A901</f>
        <v>0</v>
      </c>
      <c r="B901" s="915">
        <f>'House Count'!E901</f>
        <v>0</v>
      </c>
      <c r="C901" s="915">
        <f>'House Count'!B901</f>
        <v>0</v>
      </c>
      <c r="D901" s="915">
        <f>'House Count'!C901</f>
        <v>0</v>
      </c>
      <c r="E901" s="915">
        <f>'House Count'!D901</f>
        <v>0</v>
      </c>
      <c r="F901" s="915" t="str">
        <f t="shared" si="14"/>
        <v/>
      </c>
      <c r="G901" s="915">
        <f>'House Count'!F901</f>
        <v>0</v>
      </c>
      <c r="H901" s="915">
        <f>'House Count'!H901</f>
        <v>0</v>
      </c>
    </row>
    <row r="902" spans="1:8" x14ac:dyDescent="0.25">
      <c r="A902" s="914">
        <f>'House Count'!A902</f>
        <v>0</v>
      </c>
      <c r="B902" s="915">
        <f>'House Count'!E902</f>
        <v>0</v>
      </c>
      <c r="C902" s="915">
        <f>'House Count'!B902</f>
        <v>0</v>
      </c>
      <c r="D902" s="915">
        <f>'House Count'!C902</f>
        <v>0</v>
      </c>
      <c r="E902" s="915">
        <f>'House Count'!D902</f>
        <v>0</v>
      </c>
      <c r="F902" s="915" t="str">
        <f t="shared" si="14"/>
        <v/>
      </c>
      <c r="G902" s="915">
        <f>'House Count'!F902</f>
        <v>0</v>
      </c>
      <c r="H902" s="915">
        <f>'House Count'!H902</f>
        <v>0</v>
      </c>
    </row>
    <row r="903" spans="1:8" x14ac:dyDescent="0.25">
      <c r="A903" s="914">
        <f>'House Count'!A903</f>
        <v>0</v>
      </c>
      <c r="B903" s="915">
        <f>'House Count'!E903</f>
        <v>0</v>
      </c>
      <c r="C903" s="915">
        <f>'House Count'!B903</f>
        <v>0</v>
      </c>
      <c r="D903" s="915">
        <f>'House Count'!C903</f>
        <v>0</v>
      </c>
      <c r="E903" s="915">
        <f>'House Count'!D903</f>
        <v>0</v>
      </c>
      <c r="F903" s="915" t="str">
        <f t="shared" si="14"/>
        <v/>
      </c>
      <c r="G903" s="915">
        <f>'House Count'!F903</f>
        <v>0</v>
      </c>
      <c r="H903" s="915">
        <f>'House Count'!H903</f>
        <v>0</v>
      </c>
    </row>
    <row r="904" spans="1:8" x14ac:dyDescent="0.25">
      <c r="A904" s="914">
        <f>'House Count'!A904</f>
        <v>0</v>
      </c>
      <c r="B904" s="915">
        <f>'House Count'!E904</f>
        <v>0</v>
      </c>
      <c r="C904" s="915">
        <f>'House Count'!B904</f>
        <v>0</v>
      </c>
      <c r="D904" s="915">
        <f>'House Count'!C904</f>
        <v>0</v>
      </c>
      <c r="E904" s="915">
        <f>'House Count'!D904</f>
        <v>0</v>
      </c>
      <c r="F904" s="915" t="str">
        <f t="shared" si="14"/>
        <v/>
      </c>
      <c r="G904" s="915">
        <f>'House Count'!F904</f>
        <v>0</v>
      </c>
      <c r="H904" s="915">
        <f>'House Count'!H904</f>
        <v>0</v>
      </c>
    </row>
    <row r="905" spans="1:8" x14ac:dyDescent="0.25">
      <c r="A905" s="914">
        <f>'House Count'!A905</f>
        <v>0</v>
      </c>
      <c r="B905" s="915">
        <f>'House Count'!E905</f>
        <v>0</v>
      </c>
      <c r="C905" s="915">
        <f>'House Count'!B905</f>
        <v>0</v>
      </c>
      <c r="D905" s="915">
        <f>'House Count'!C905</f>
        <v>0</v>
      </c>
      <c r="E905" s="915">
        <f>'House Count'!D905</f>
        <v>0</v>
      </c>
      <c r="F905" s="915" t="str">
        <f t="shared" si="14"/>
        <v/>
      </c>
      <c r="G905" s="915">
        <f>'House Count'!F905</f>
        <v>0</v>
      </c>
      <c r="H905" s="915">
        <f>'House Count'!H905</f>
        <v>0</v>
      </c>
    </row>
    <row r="906" spans="1:8" x14ac:dyDescent="0.25">
      <c r="A906" s="914">
        <f>'House Count'!A906</f>
        <v>0</v>
      </c>
      <c r="B906" s="915">
        <f>'House Count'!E906</f>
        <v>0</v>
      </c>
      <c r="C906" s="915">
        <f>'House Count'!B906</f>
        <v>0</v>
      </c>
      <c r="D906" s="915">
        <f>'House Count'!C906</f>
        <v>0</v>
      </c>
      <c r="E906" s="915">
        <f>'House Count'!D906</f>
        <v>0</v>
      </c>
      <c r="F906" s="915" t="str">
        <f t="shared" si="14"/>
        <v/>
      </c>
      <c r="G906" s="915">
        <f>'House Count'!F906</f>
        <v>0</v>
      </c>
      <c r="H906" s="915">
        <f>'House Count'!H906</f>
        <v>0</v>
      </c>
    </row>
    <row r="907" spans="1:8" x14ac:dyDescent="0.25">
      <c r="A907" s="914">
        <f>'House Count'!A907</f>
        <v>0</v>
      </c>
      <c r="B907" s="915">
        <f>'House Count'!E907</f>
        <v>0</v>
      </c>
      <c r="C907" s="915">
        <f>'House Count'!B907</f>
        <v>0</v>
      </c>
      <c r="D907" s="915">
        <f>'House Count'!C907</f>
        <v>0</v>
      </c>
      <c r="E907" s="915">
        <f>'House Count'!D907</f>
        <v>0</v>
      </c>
      <c r="F907" s="915" t="str">
        <f t="shared" si="14"/>
        <v/>
      </c>
      <c r="G907" s="915">
        <f>'House Count'!F907</f>
        <v>0</v>
      </c>
      <c r="H907" s="915">
        <f>'House Count'!H907</f>
        <v>0</v>
      </c>
    </row>
    <row r="908" spans="1:8" x14ac:dyDescent="0.25">
      <c r="A908" s="914">
        <f>'House Count'!A908</f>
        <v>0</v>
      </c>
      <c r="B908" s="915">
        <f>'House Count'!E908</f>
        <v>0</v>
      </c>
      <c r="C908" s="915">
        <f>'House Count'!B908</f>
        <v>0</v>
      </c>
      <c r="D908" s="915">
        <f>'House Count'!C908</f>
        <v>0</v>
      </c>
      <c r="E908" s="915">
        <f>'House Count'!D908</f>
        <v>0</v>
      </c>
      <c r="F908" s="915" t="str">
        <f t="shared" si="14"/>
        <v/>
      </c>
      <c r="G908" s="915">
        <f>'House Count'!F908</f>
        <v>0</v>
      </c>
      <c r="H908" s="915">
        <f>'House Count'!H908</f>
        <v>0</v>
      </c>
    </row>
    <row r="909" spans="1:8" x14ac:dyDescent="0.25">
      <c r="A909" s="914">
        <f>'House Count'!A909</f>
        <v>0</v>
      </c>
      <c r="B909" s="915">
        <f>'House Count'!E909</f>
        <v>0</v>
      </c>
      <c r="C909" s="915">
        <f>'House Count'!B909</f>
        <v>0</v>
      </c>
      <c r="D909" s="915">
        <f>'House Count'!C909</f>
        <v>0</v>
      </c>
      <c r="E909" s="915">
        <f>'House Count'!D909</f>
        <v>0</v>
      </c>
      <c r="F909" s="915" t="str">
        <f t="shared" si="14"/>
        <v/>
      </c>
      <c r="G909" s="915">
        <f>'House Count'!F909</f>
        <v>0</v>
      </c>
      <c r="H909" s="915">
        <f>'House Count'!H909</f>
        <v>0</v>
      </c>
    </row>
    <row r="910" spans="1:8" x14ac:dyDescent="0.25">
      <c r="A910" s="914">
        <f>'House Count'!A910</f>
        <v>0</v>
      </c>
      <c r="B910" s="915">
        <f>'House Count'!E910</f>
        <v>0</v>
      </c>
      <c r="C910" s="915">
        <f>'House Count'!B910</f>
        <v>0</v>
      </c>
      <c r="D910" s="915">
        <f>'House Count'!C910</f>
        <v>0</v>
      </c>
      <c r="E910" s="915">
        <f>'House Count'!D910</f>
        <v>0</v>
      </c>
      <c r="F910" s="915" t="str">
        <f t="shared" si="14"/>
        <v/>
      </c>
      <c r="G910" s="915">
        <f>'House Count'!F910</f>
        <v>0</v>
      </c>
      <c r="H910" s="915">
        <f>'House Count'!H910</f>
        <v>0</v>
      </c>
    </row>
    <row r="911" spans="1:8" x14ac:dyDescent="0.25">
      <c r="A911" s="914">
        <f>'House Count'!A911</f>
        <v>0</v>
      </c>
      <c r="B911" s="915">
        <f>'House Count'!E911</f>
        <v>0</v>
      </c>
      <c r="C911" s="915">
        <f>'House Count'!B911</f>
        <v>0</v>
      </c>
      <c r="D911" s="915">
        <f>'House Count'!C911</f>
        <v>0</v>
      </c>
      <c r="E911" s="915">
        <f>'House Count'!D911</f>
        <v>0</v>
      </c>
      <c r="F911" s="915" t="str">
        <f t="shared" si="14"/>
        <v/>
      </c>
      <c r="G911" s="915">
        <f>'House Count'!F911</f>
        <v>0</v>
      </c>
      <c r="H911" s="915">
        <f>'House Count'!H911</f>
        <v>0</v>
      </c>
    </row>
    <row r="912" spans="1:8" x14ac:dyDescent="0.25">
      <c r="A912" s="914">
        <f>'House Count'!A912</f>
        <v>0</v>
      </c>
      <c r="B912" s="915">
        <f>'House Count'!E912</f>
        <v>0</v>
      </c>
      <c r="C912" s="915">
        <f>'House Count'!B912</f>
        <v>0</v>
      </c>
      <c r="D912" s="915">
        <f>'House Count'!C912</f>
        <v>0</v>
      </c>
      <c r="E912" s="915">
        <f>'House Count'!D912</f>
        <v>0</v>
      </c>
      <c r="F912" s="915" t="str">
        <f t="shared" si="14"/>
        <v/>
      </c>
      <c r="G912" s="915">
        <f>'House Count'!F912</f>
        <v>0</v>
      </c>
      <c r="H912" s="915">
        <f>'House Count'!H912</f>
        <v>0</v>
      </c>
    </row>
    <row r="913" spans="1:8" x14ac:dyDescent="0.25">
      <c r="A913" s="914">
        <f>'House Count'!A913</f>
        <v>0</v>
      </c>
      <c r="B913" s="915">
        <f>'House Count'!E913</f>
        <v>0</v>
      </c>
      <c r="C913" s="915">
        <f>'House Count'!B913</f>
        <v>0</v>
      </c>
      <c r="D913" s="915">
        <f>'House Count'!C913</f>
        <v>0</v>
      </c>
      <c r="E913" s="915">
        <f>'House Count'!D913</f>
        <v>0</v>
      </c>
      <c r="F913" s="915" t="str">
        <f t="shared" si="14"/>
        <v/>
      </c>
      <c r="G913" s="915">
        <f>'House Count'!F913</f>
        <v>0</v>
      </c>
      <c r="H913" s="915">
        <f>'House Count'!H913</f>
        <v>0</v>
      </c>
    </row>
    <row r="914" spans="1:8" x14ac:dyDescent="0.25">
      <c r="A914" s="914">
        <f>'House Count'!A914</f>
        <v>0</v>
      </c>
      <c r="B914" s="915">
        <f>'House Count'!E914</f>
        <v>0</v>
      </c>
      <c r="C914" s="915">
        <f>'House Count'!B914</f>
        <v>0</v>
      </c>
      <c r="D914" s="915">
        <f>'House Count'!C914</f>
        <v>0</v>
      </c>
      <c r="E914" s="915">
        <f>'House Count'!D914</f>
        <v>0</v>
      </c>
      <c r="F914" s="915" t="str">
        <f t="shared" si="14"/>
        <v/>
      </c>
      <c r="G914" s="915">
        <f>'House Count'!F914</f>
        <v>0</v>
      </c>
      <c r="H914" s="915">
        <f>'House Count'!H914</f>
        <v>0</v>
      </c>
    </row>
    <row r="915" spans="1:8" x14ac:dyDescent="0.25">
      <c r="A915" s="914">
        <f>'House Count'!A915</f>
        <v>0</v>
      </c>
      <c r="B915" s="915">
        <f>'House Count'!E915</f>
        <v>0</v>
      </c>
      <c r="C915" s="915">
        <f>'House Count'!B915</f>
        <v>0</v>
      </c>
      <c r="D915" s="915">
        <f>'House Count'!C915</f>
        <v>0</v>
      </c>
      <c r="E915" s="915">
        <f>'House Count'!D915</f>
        <v>0</v>
      </c>
      <c r="F915" s="915" t="str">
        <f t="shared" si="14"/>
        <v/>
      </c>
      <c r="G915" s="915">
        <f>'House Count'!F915</f>
        <v>0</v>
      </c>
      <c r="H915" s="915">
        <f>'House Count'!H915</f>
        <v>0</v>
      </c>
    </row>
    <row r="916" spans="1:8" x14ac:dyDescent="0.25">
      <c r="A916" s="914">
        <f>'House Count'!A916</f>
        <v>0</v>
      </c>
      <c r="B916" s="915">
        <f>'House Count'!E916</f>
        <v>0</v>
      </c>
      <c r="C916" s="915">
        <f>'House Count'!B916</f>
        <v>0</v>
      </c>
      <c r="D916" s="915">
        <f>'House Count'!C916</f>
        <v>0</v>
      </c>
      <c r="E916" s="915">
        <f>'House Count'!D916</f>
        <v>0</v>
      </c>
      <c r="F916" s="915" t="str">
        <f t="shared" si="14"/>
        <v/>
      </c>
      <c r="G916" s="915">
        <f>'House Count'!F916</f>
        <v>0</v>
      </c>
      <c r="H916" s="915">
        <f>'House Count'!H916</f>
        <v>0</v>
      </c>
    </row>
    <row r="917" spans="1:8" x14ac:dyDescent="0.25">
      <c r="A917" s="914">
        <f>'House Count'!A917</f>
        <v>0</v>
      </c>
      <c r="B917" s="915">
        <f>'House Count'!E917</f>
        <v>0</v>
      </c>
      <c r="C917" s="915">
        <f>'House Count'!B917</f>
        <v>0</v>
      </c>
      <c r="D917" s="915">
        <f>'House Count'!C917</f>
        <v>0</v>
      </c>
      <c r="E917" s="915">
        <f>'House Count'!D917</f>
        <v>0</v>
      </c>
      <c r="F917" s="915" t="str">
        <f t="shared" si="14"/>
        <v/>
      </c>
      <c r="G917" s="915">
        <f>'House Count'!F917</f>
        <v>0</v>
      </c>
      <c r="H917" s="915">
        <f>'House Count'!H917</f>
        <v>0</v>
      </c>
    </row>
    <row r="918" spans="1:8" x14ac:dyDescent="0.25">
      <c r="A918" s="914">
        <f>'House Count'!A918</f>
        <v>0</v>
      </c>
      <c r="B918" s="915">
        <f>'House Count'!E918</f>
        <v>0</v>
      </c>
      <c r="C918" s="915">
        <f>'House Count'!B918</f>
        <v>0</v>
      </c>
      <c r="D918" s="915">
        <f>'House Count'!C918</f>
        <v>0</v>
      </c>
      <c r="E918" s="915">
        <f>'House Count'!D918</f>
        <v>0</v>
      </c>
      <c r="F918" s="915" t="str">
        <f t="shared" si="14"/>
        <v/>
      </c>
      <c r="G918" s="915">
        <f>'House Count'!F918</f>
        <v>0</v>
      </c>
      <c r="H918" s="915">
        <f>'House Count'!H918</f>
        <v>0</v>
      </c>
    </row>
    <row r="919" spans="1:8" x14ac:dyDescent="0.25">
      <c r="A919" s="914">
        <f>'House Count'!A919</f>
        <v>0</v>
      </c>
      <c r="B919" s="915">
        <f>'House Count'!E919</f>
        <v>0</v>
      </c>
      <c r="C919" s="915">
        <f>'House Count'!B919</f>
        <v>0</v>
      </c>
      <c r="D919" s="915">
        <f>'House Count'!C919</f>
        <v>0</v>
      </c>
      <c r="E919" s="915">
        <f>'House Count'!D919</f>
        <v>0</v>
      </c>
      <c r="F919" s="915" t="str">
        <f t="shared" si="14"/>
        <v/>
      </c>
      <c r="G919" s="915">
        <f>'House Count'!F919</f>
        <v>0</v>
      </c>
      <c r="H919" s="915">
        <f>'House Count'!H919</f>
        <v>0</v>
      </c>
    </row>
    <row r="920" spans="1:8" x14ac:dyDescent="0.25">
      <c r="A920" s="914">
        <f>'House Count'!A920</f>
        <v>0</v>
      </c>
      <c r="B920" s="915">
        <f>'House Count'!E920</f>
        <v>0</v>
      </c>
      <c r="C920" s="915">
        <f>'House Count'!B920</f>
        <v>0</v>
      </c>
      <c r="D920" s="915">
        <f>'House Count'!C920</f>
        <v>0</v>
      </c>
      <c r="E920" s="915">
        <f>'House Count'!D920</f>
        <v>0</v>
      </c>
      <c r="F920" s="915" t="str">
        <f t="shared" si="14"/>
        <v/>
      </c>
      <c r="G920" s="915">
        <f>'House Count'!F920</f>
        <v>0</v>
      </c>
      <c r="H920" s="915">
        <f>'House Count'!H920</f>
        <v>0</v>
      </c>
    </row>
    <row r="921" spans="1:8" x14ac:dyDescent="0.25">
      <c r="A921" s="914">
        <f>'House Count'!A921</f>
        <v>0</v>
      </c>
      <c r="B921" s="915">
        <f>'House Count'!E921</f>
        <v>0</v>
      </c>
      <c r="C921" s="915">
        <f>'House Count'!B921</f>
        <v>0</v>
      </c>
      <c r="D921" s="915">
        <f>'House Count'!C921</f>
        <v>0</v>
      </c>
      <c r="E921" s="915">
        <f>'House Count'!D921</f>
        <v>0</v>
      </c>
      <c r="F921" s="915" t="str">
        <f t="shared" si="14"/>
        <v/>
      </c>
      <c r="G921" s="915">
        <f>'House Count'!F921</f>
        <v>0</v>
      </c>
      <c r="H921" s="915">
        <f>'House Count'!H921</f>
        <v>0</v>
      </c>
    </row>
    <row r="922" spans="1:8" x14ac:dyDescent="0.25">
      <c r="A922" s="914">
        <f>'House Count'!A922</f>
        <v>0</v>
      </c>
      <c r="B922" s="915">
        <f>'House Count'!E922</f>
        <v>0</v>
      </c>
      <c r="C922" s="915">
        <f>'House Count'!B922</f>
        <v>0</v>
      </c>
      <c r="D922" s="915">
        <f>'House Count'!C922</f>
        <v>0</v>
      </c>
      <c r="E922" s="915">
        <f>'House Count'!D922</f>
        <v>0</v>
      </c>
      <c r="F922" s="915" t="str">
        <f t="shared" si="14"/>
        <v/>
      </c>
      <c r="G922" s="915">
        <f>'House Count'!F922</f>
        <v>0</v>
      </c>
      <c r="H922" s="915">
        <f>'House Count'!H922</f>
        <v>0</v>
      </c>
    </row>
    <row r="923" spans="1:8" x14ac:dyDescent="0.25">
      <c r="A923" s="914">
        <f>'House Count'!A923</f>
        <v>0</v>
      </c>
      <c r="B923" s="915">
        <f>'House Count'!E923</f>
        <v>0</v>
      </c>
      <c r="C923" s="915">
        <f>'House Count'!B923</f>
        <v>0</v>
      </c>
      <c r="D923" s="915">
        <f>'House Count'!C923</f>
        <v>0</v>
      </c>
      <c r="E923" s="915">
        <f>'House Count'!D923</f>
        <v>0</v>
      </c>
      <c r="F923" s="915" t="str">
        <f t="shared" si="14"/>
        <v/>
      </c>
      <c r="G923" s="915">
        <f>'House Count'!F923</f>
        <v>0</v>
      </c>
      <c r="H923" s="915">
        <f>'House Count'!H923</f>
        <v>0</v>
      </c>
    </row>
    <row r="924" spans="1:8" x14ac:dyDescent="0.25">
      <c r="A924" s="914">
        <f>'House Count'!A924</f>
        <v>0</v>
      </c>
      <c r="B924" s="915">
        <f>'House Count'!E924</f>
        <v>0</v>
      </c>
      <c r="C924" s="915">
        <f>'House Count'!B924</f>
        <v>0</v>
      </c>
      <c r="D924" s="915">
        <f>'House Count'!C924</f>
        <v>0</v>
      </c>
      <c r="E924" s="915">
        <f>'House Count'!D924</f>
        <v>0</v>
      </c>
      <c r="F924" s="915" t="str">
        <f t="shared" si="14"/>
        <v/>
      </c>
      <c r="G924" s="915">
        <f>'House Count'!F924</f>
        <v>0</v>
      </c>
      <c r="H924" s="915">
        <f>'House Count'!H924</f>
        <v>0</v>
      </c>
    </row>
    <row r="925" spans="1:8" x14ac:dyDescent="0.25">
      <c r="A925" s="914">
        <f>'House Count'!A925</f>
        <v>0</v>
      </c>
      <c r="B925" s="915">
        <f>'House Count'!E925</f>
        <v>0</v>
      </c>
      <c r="C925" s="915">
        <f>'House Count'!B925</f>
        <v>0</v>
      </c>
      <c r="D925" s="915">
        <f>'House Count'!C925</f>
        <v>0</v>
      </c>
      <c r="E925" s="915">
        <f>'House Count'!D925</f>
        <v>0</v>
      </c>
      <c r="F925" s="915" t="str">
        <f t="shared" si="14"/>
        <v/>
      </c>
      <c r="G925" s="915">
        <f>'House Count'!F925</f>
        <v>0</v>
      </c>
      <c r="H925" s="915">
        <f>'House Count'!H925</f>
        <v>0</v>
      </c>
    </row>
    <row r="926" spans="1:8" x14ac:dyDescent="0.25">
      <c r="A926" s="914">
        <f>'House Count'!A926</f>
        <v>0</v>
      </c>
      <c r="B926" s="915">
        <f>'House Count'!E926</f>
        <v>0</v>
      </c>
      <c r="C926" s="915">
        <f>'House Count'!B926</f>
        <v>0</v>
      </c>
      <c r="D926" s="915">
        <f>'House Count'!C926</f>
        <v>0</v>
      </c>
      <c r="E926" s="915">
        <f>'House Count'!D926</f>
        <v>0</v>
      </c>
      <c r="F926" s="915" t="str">
        <f t="shared" si="14"/>
        <v/>
      </c>
      <c r="G926" s="915">
        <f>'House Count'!F926</f>
        <v>0</v>
      </c>
      <c r="H926" s="915">
        <f>'House Count'!H926</f>
        <v>0</v>
      </c>
    </row>
    <row r="927" spans="1:8" x14ac:dyDescent="0.25">
      <c r="A927" s="914">
        <f>'House Count'!A927</f>
        <v>0</v>
      </c>
      <c r="B927" s="915">
        <f>'House Count'!E927</f>
        <v>0</v>
      </c>
      <c r="C927" s="915">
        <f>'House Count'!B927</f>
        <v>0</v>
      </c>
      <c r="D927" s="915">
        <f>'House Count'!C927</f>
        <v>0</v>
      </c>
      <c r="E927" s="915">
        <f>'House Count'!D927</f>
        <v>0</v>
      </c>
      <c r="F927" s="915" t="str">
        <f t="shared" si="14"/>
        <v/>
      </c>
      <c r="G927" s="915">
        <f>'House Count'!F927</f>
        <v>0</v>
      </c>
      <c r="H927" s="915">
        <f>'House Count'!H927</f>
        <v>0</v>
      </c>
    </row>
    <row r="928" spans="1:8" x14ac:dyDescent="0.25">
      <c r="A928" s="914">
        <f>'House Count'!A928</f>
        <v>0</v>
      </c>
      <c r="B928" s="915">
        <f>'House Count'!E928</f>
        <v>0</v>
      </c>
      <c r="C928" s="915">
        <f>'House Count'!B928</f>
        <v>0</v>
      </c>
      <c r="D928" s="915">
        <f>'House Count'!C928</f>
        <v>0</v>
      </c>
      <c r="E928" s="915">
        <f>'House Count'!D928</f>
        <v>0</v>
      </c>
      <c r="F928" s="915" t="str">
        <f t="shared" si="14"/>
        <v/>
      </c>
      <c r="G928" s="915">
        <f>'House Count'!F928</f>
        <v>0</v>
      </c>
      <c r="H928" s="915">
        <f>'House Count'!H928</f>
        <v>0</v>
      </c>
    </row>
    <row r="929" spans="1:8" x14ac:dyDescent="0.25">
      <c r="A929" s="914">
        <f>'House Count'!A929</f>
        <v>0</v>
      </c>
      <c r="B929" s="915">
        <f>'House Count'!E929</f>
        <v>0</v>
      </c>
      <c r="C929" s="915">
        <f>'House Count'!B929</f>
        <v>0</v>
      </c>
      <c r="D929" s="915">
        <f>'House Count'!C929</f>
        <v>0</v>
      </c>
      <c r="E929" s="915">
        <f>'House Count'!D929</f>
        <v>0</v>
      </c>
      <c r="F929" s="915" t="str">
        <f t="shared" si="14"/>
        <v/>
      </c>
      <c r="G929" s="915">
        <f>'House Count'!F929</f>
        <v>0</v>
      </c>
      <c r="H929" s="915">
        <f>'House Count'!H929</f>
        <v>0</v>
      </c>
    </row>
    <row r="930" spans="1:8" x14ac:dyDescent="0.25">
      <c r="A930" s="914">
        <f>'House Count'!A930</f>
        <v>0</v>
      </c>
      <c r="B930" s="915">
        <f>'House Count'!E930</f>
        <v>0</v>
      </c>
      <c r="C930" s="915">
        <f>'House Count'!B930</f>
        <v>0</v>
      </c>
      <c r="D930" s="915">
        <f>'House Count'!C930</f>
        <v>0</v>
      </c>
      <c r="E930" s="915">
        <f>'House Count'!D930</f>
        <v>0</v>
      </c>
      <c r="F930" s="915" t="str">
        <f t="shared" si="14"/>
        <v/>
      </c>
      <c r="G930" s="915">
        <f>'House Count'!F930</f>
        <v>0</v>
      </c>
      <c r="H930" s="915">
        <f>'House Count'!H930</f>
        <v>0</v>
      </c>
    </row>
    <row r="931" spans="1:8" x14ac:dyDescent="0.25">
      <c r="A931" s="914">
        <f>'House Count'!A931</f>
        <v>0</v>
      </c>
      <c r="B931" s="915">
        <f>'House Count'!E931</f>
        <v>0</v>
      </c>
      <c r="C931" s="915">
        <f>'House Count'!B931</f>
        <v>0</v>
      </c>
      <c r="D931" s="915">
        <f>'House Count'!C931</f>
        <v>0</v>
      </c>
      <c r="E931" s="915">
        <f>'House Count'!D931</f>
        <v>0</v>
      </c>
      <c r="F931" s="915" t="str">
        <f t="shared" si="14"/>
        <v/>
      </c>
      <c r="G931" s="915">
        <f>'House Count'!F931</f>
        <v>0</v>
      </c>
      <c r="H931" s="915">
        <f>'House Count'!H931</f>
        <v>0</v>
      </c>
    </row>
    <row r="932" spans="1:8" x14ac:dyDescent="0.25">
      <c r="A932" s="914">
        <f>'House Count'!A932</f>
        <v>0</v>
      </c>
      <c r="B932" s="915">
        <f>'House Count'!E932</f>
        <v>0</v>
      </c>
      <c r="C932" s="915">
        <f>'House Count'!B932</f>
        <v>0</v>
      </c>
      <c r="D932" s="915">
        <f>'House Count'!C932</f>
        <v>0</v>
      </c>
      <c r="E932" s="915">
        <f>'House Count'!D932</f>
        <v>0</v>
      </c>
      <c r="F932" s="915" t="str">
        <f t="shared" si="14"/>
        <v/>
      </c>
      <c r="G932" s="915">
        <f>'House Count'!F932</f>
        <v>0</v>
      </c>
      <c r="H932" s="915">
        <f>'House Count'!H932</f>
        <v>0</v>
      </c>
    </row>
    <row r="933" spans="1:8" x14ac:dyDescent="0.25">
      <c r="A933" s="914">
        <f>'House Count'!A933</f>
        <v>0</v>
      </c>
      <c r="B933" s="915">
        <f>'House Count'!E933</f>
        <v>0</v>
      </c>
      <c r="C933" s="915">
        <f>'House Count'!B933</f>
        <v>0</v>
      </c>
      <c r="D933" s="915">
        <f>'House Count'!C933</f>
        <v>0</v>
      </c>
      <c r="E933" s="915">
        <f>'House Count'!D933</f>
        <v>0</v>
      </c>
      <c r="F933" s="915" t="str">
        <f t="shared" si="14"/>
        <v/>
      </c>
      <c r="G933" s="915">
        <f>'House Count'!F933</f>
        <v>0</v>
      </c>
      <c r="H933" s="915">
        <f>'House Count'!H933</f>
        <v>0</v>
      </c>
    </row>
    <row r="934" spans="1:8" x14ac:dyDescent="0.25">
      <c r="A934" s="914">
        <f>'House Count'!A934</f>
        <v>0</v>
      </c>
      <c r="B934" s="915">
        <f>'House Count'!E934</f>
        <v>0</v>
      </c>
      <c r="C934" s="915">
        <f>'House Count'!B934</f>
        <v>0</v>
      </c>
      <c r="D934" s="915">
        <f>'House Count'!C934</f>
        <v>0</v>
      </c>
      <c r="E934" s="915">
        <f>'House Count'!D934</f>
        <v>0</v>
      </c>
      <c r="F934" s="915" t="str">
        <f t="shared" si="14"/>
        <v/>
      </c>
      <c r="G934" s="915">
        <f>'House Count'!F934</f>
        <v>0</v>
      </c>
      <c r="H934" s="915">
        <f>'House Count'!H934</f>
        <v>0</v>
      </c>
    </row>
    <row r="935" spans="1:8" x14ac:dyDescent="0.25">
      <c r="A935" s="914">
        <f>'House Count'!A935</f>
        <v>0</v>
      </c>
      <c r="B935" s="915">
        <f>'House Count'!E935</f>
        <v>0</v>
      </c>
      <c r="C935" s="915">
        <f>'House Count'!B935</f>
        <v>0</v>
      </c>
      <c r="D935" s="915">
        <f>'House Count'!C935</f>
        <v>0</v>
      </c>
      <c r="E935" s="915">
        <f>'House Count'!D935</f>
        <v>0</v>
      </c>
      <c r="F935" s="915" t="str">
        <f t="shared" si="14"/>
        <v/>
      </c>
      <c r="G935" s="915">
        <f>'House Count'!F935</f>
        <v>0</v>
      </c>
      <c r="H935" s="915">
        <f>'House Count'!H935</f>
        <v>0</v>
      </c>
    </row>
    <row r="936" spans="1:8" x14ac:dyDescent="0.25">
      <c r="A936" s="914">
        <f>'House Count'!A936</f>
        <v>0</v>
      </c>
      <c r="B936" s="915">
        <f>'House Count'!E936</f>
        <v>0</v>
      </c>
      <c r="C936" s="915">
        <f>'House Count'!B936</f>
        <v>0</v>
      </c>
      <c r="D936" s="915">
        <f>'House Count'!C936</f>
        <v>0</v>
      </c>
      <c r="E936" s="915">
        <f>'House Count'!D936</f>
        <v>0</v>
      </c>
      <c r="F936" s="915" t="str">
        <f t="shared" si="14"/>
        <v/>
      </c>
      <c r="G936" s="915">
        <f>'House Count'!F936</f>
        <v>0</v>
      </c>
      <c r="H936" s="915">
        <f>'House Count'!H936</f>
        <v>0</v>
      </c>
    </row>
    <row r="937" spans="1:8" x14ac:dyDescent="0.25">
      <c r="A937" s="914">
        <f>'House Count'!A937</f>
        <v>0</v>
      </c>
      <c r="B937" s="915">
        <f>'House Count'!E937</f>
        <v>0</v>
      </c>
      <c r="C937" s="915">
        <f>'House Count'!B937</f>
        <v>0</v>
      </c>
      <c r="D937" s="915">
        <f>'House Count'!C937</f>
        <v>0</v>
      </c>
      <c r="E937" s="915">
        <f>'House Count'!D937</f>
        <v>0</v>
      </c>
      <c r="F937" s="915" t="str">
        <f t="shared" si="14"/>
        <v/>
      </c>
      <c r="G937" s="915">
        <f>'House Count'!F937</f>
        <v>0</v>
      </c>
      <c r="H937" s="915">
        <f>'House Count'!H937</f>
        <v>0</v>
      </c>
    </row>
    <row r="938" spans="1:8" x14ac:dyDescent="0.25">
      <c r="A938" s="914">
        <f>'House Count'!A938</f>
        <v>0</v>
      </c>
      <c r="B938" s="915">
        <f>'House Count'!E938</f>
        <v>0</v>
      </c>
      <c r="C938" s="915">
        <f>'House Count'!B938</f>
        <v>0</v>
      </c>
      <c r="D938" s="915">
        <f>'House Count'!C938</f>
        <v>0</v>
      </c>
      <c r="E938" s="915">
        <f>'House Count'!D938</f>
        <v>0</v>
      </c>
      <c r="F938" s="915" t="str">
        <f t="shared" si="14"/>
        <v/>
      </c>
      <c r="G938" s="915">
        <f>'House Count'!F938</f>
        <v>0</v>
      </c>
      <c r="H938" s="915">
        <f>'House Count'!H938</f>
        <v>0</v>
      </c>
    </row>
    <row r="939" spans="1:8" x14ac:dyDescent="0.25">
      <c r="A939" s="914">
        <f>'House Count'!A939</f>
        <v>0</v>
      </c>
      <c r="B939" s="915">
        <f>'House Count'!E939</f>
        <v>0</v>
      </c>
      <c r="C939" s="915">
        <f>'House Count'!B939</f>
        <v>0</v>
      </c>
      <c r="D939" s="915">
        <f>'House Count'!C939</f>
        <v>0</v>
      </c>
      <c r="E939" s="915">
        <f>'House Count'!D939</f>
        <v>0</v>
      </c>
      <c r="F939" s="915" t="str">
        <f t="shared" si="14"/>
        <v/>
      </c>
      <c r="G939" s="915">
        <f>'House Count'!F939</f>
        <v>0</v>
      </c>
      <c r="H939" s="915">
        <f>'House Count'!H939</f>
        <v>0</v>
      </c>
    </row>
    <row r="940" spans="1:8" x14ac:dyDescent="0.25">
      <c r="A940" s="914">
        <f>'House Count'!A940</f>
        <v>0</v>
      </c>
      <c r="B940" s="915">
        <f>'House Count'!E940</f>
        <v>0</v>
      </c>
      <c r="C940" s="915">
        <f>'House Count'!B940</f>
        <v>0</v>
      </c>
      <c r="D940" s="915">
        <f>'House Count'!C940</f>
        <v>0</v>
      </c>
      <c r="E940" s="915">
        <f>'House Count'!D940</f>
        <v>0</v>
      </c>
      <c r="F940" s="915" t="str">
        <f t="shared" si="14"/>
        <v/>
      </c>
      <c r="G940" s="915">
        <f>'House Count'!F940</f>
        <v>0</v>
      </c>
      <c r="H940" s="915">
        <f>'House Count'!H940</f>
        <v>0</v>
      </c>
    </row>
    <row r="941" spans="1:8" x14ac:dyDescent="0.25">
      <c r="A941" s="914">
        <f>'House Count'!A941</f>
        <v>0</v>
      </c>
      <c r="B941" s="915">
        <f>'House Count'!E941</f>
        <v>0</v>
      </c>
      <c r="C941" s="915">
        <f>'House Count'!B941</f>
        <v>0</v>
      </c>
      <c r="D941" s="915">
        <f>'House Count'!C941</f>
        <v>0</v>
      </c>
      <c r="E941" s="915">
        <f>'House Count'!D941</f>
        <v>0</v>
      </c>
      <c r="F941" s="915" t="str">
        <f t="shared" si="14"/>
        <v/>
      </c>
      <c r="G941" s="915">
        <f>'House Count'!F941</f>
        <v>0</v>
      </c>
      <c r="H941" s="915">
        <f>'House Count'!H941</f>
        <v>0</v>
      </c>
    </row>
    <row r="942" spans="1:8" x14ac:dyDescent="0.25">
      <c r="A942" s="914">
        <f>'House Count'!A942</f>
        <v>0</v>
      </c>
      <c r="B942" s="915">
        <f>'House Count'!E942</f>
        <v>0</v>
      </c>
      <c r="C942" s="915">
        <f>'House Count'!B942</f>
        <v>0</v>
      </c>
      <c r="D942" s="915">
        <f>'House Count'!C942</f>
        <v>0</v>
      </c>
      <c r="E942" s="915">
        <f>'House Count'!D942</f>
        <v>0</v>
      </c>
      <c r="F942" s="915" t="str">
        <f t="shared" si="14"/>
        <v/>
      </c>
      <c r="G942" s="915">
        <f>'House Count'!F942</f>
        <v>0</v>
      </c>
      <c r="H942" s="915">
        <f>'House Count'!H942</f>
        <v>0</v>
      </c>
    </row>
    <row r="943" spans="1:8" x14ac:dyDescent="0.25">
      <c r="A943" s="914">
        <f>'House Count'!A943</f>
        <v>0</v>
      </c>
      <c r="B943" s="915">
        <f>'House Count'!E943</f>
        <v>0</v>
      </c>
      <c r="C943" s="915">
        <f>'House Count'!B943</f>
        <v>0</v>
      </c>
      <c r="D943" s="915">
        <f>'House Count'!C943</f>
        <v>0</v>
      </c>
      <c r="E943" s="915">
        <f>'House Count'!D943</f>
        <v>0</v>
      </c>
      <c r="F943" s="915" t="str">
        <f t="shared" si="14"/>
        <v/>
      </c>
      <c r="G943" s="915">
        <f>'House Count'!F943</f>
        <v>0</v>
      </c>
      <c r="H943" s="915">
        <f>'House Count'!H943</f>
        <v>0</v>
      </c>
    </row>
    <row r="944" spans="1:8" x14ac:dyDescent="0.25">
      <c r="A944" s="914">
        <f>'House Count'!A944</f>
        <v>0</v>
      </c>
      <c r="B944" s="915">
        <f>'House Count'!E944</f>
        <v>0</v>
      </c>
      <c r="C944" s="915">
        <f>'House Count'!B944</f>
        <v>0</v>
      </c>
      <c r="D944" s="915">
        <f>'House Count'!C944</f>
        <v>0</v>
      </c>
      <c r="E944" s="915">
        <f>'House Count'!D944</f>
        <v>0</v>
      </c>
      <c r="F944" s="915" t="str">
        <f t="shared" si="14"/>
        <v/>
      </c>
      <c r="G944" s="915">
        <f>'House Count'!F944</f>
        <v>0</v>
      </c>
      <c r="H944" s="915">
        <f>'House Count'!H944</f>
        <v>0</v>
      </c>
    </row>
    <row r="945" spans="1:8" x14ac:dyDescent="0.25">
      <c r="A945" s="914">
        <f>'House Count'!A945</f>
        <v>0</v>
      </c>
      <c r="B945" s="915">
        <f>'House Count'!E945</f>
        <v>0</v>
      </c>
      <c r="C945" s="915">
        <f>'House Count'!B945</f>
        <v>0</v>
      </c>
      <c r="D945" s="915">
        <f>'House Count'!C945</f>
        <v>0</v>
      </c>
      <c r="E945" s="915">
        <f>'House Count'!D945</f>
        <v>0</v>
      </c>
      <c r="F945" s="915" t="str">
        <f t="shared" si="14"/>
        <v/>
      </c>
      <c r="G945" s="915">
        <f>'House Count'!F945</f>
        <v>0</v>
      </c>
      <c r="H945" s="915">
        <f>'House Count'!H945</f>
        <v>0</v>
      </c>
    </row>
    <row r="946" spans="1:8" x14ac:dyDescent="0.25">
      <c r="A946" s="914">
        <f>'House Count'!A946</f>
        <v>0</v>
      </c>
      <c r="B946" s="915">
        <f>'House Count'!E946</f>
        <v>0</v>
      </c>
      <c r="C946" s="915">
        <f>'House Count'!B946</f>
        <v>0</v>
      </c>
      <c r="D946" s="915">
        <f>'House Count'!C946</f>
        <v>0</v>
      </c>
      <c r="E946" s="915">
        <f>'House Count'!D946</f>
        <v>0</v>
      </c>
      <c r="F946" s="915" t="str">
        <f t="shared" si="14"/>
        <v/>
      </c>
      <c r="G946" s="915">
        <f>'House Count'!F946</f>
        <v>0</v>
      </c>
      <c r="H946" s="915">
        <f>'House Count'!H946</f>
        <v>0</v>
      </c>
    </row>
    <row r="947" spans="1:8" x14ac:dyDescent="0.25">
      <c r="A947" s="914">
        <f>'House Count'!A947</f>
        <v>0</v>
      </c>
      <c r="B947" s="915">
        <f>'House Count'!E947</f>
        <v>0</v>
      </c>
      <c r="C947" s="915">
        <f>'House Count'!B947</f>
        <v>0</v>
      </c>
      <c r="D947" s="915">
        <f>'House Count'!C947</f>
        <v>0</v>
      </c>
      <c r="E947" s="915">
        <f>'House Count'!D947</f>
        <v>0</v>
      </c>
      <c r="F947" s="915" t="str">
        <f t="shared" si="14"/>
        <v/>
      </c>
      <c r="G947" s="915">
        <f>'House Count'!F947</f>
        <v>0</v>
      </c>
      <c r="H947" s="915">
        <f>'House Count'!H947</f>
        <v>0</v>
      </c>
    </row>
    <row r="948" spans="1:8" x14ac:dyDescent="0.25">
      <c r="A948" s="914">
        <f>'House Count'!A948</f>
        <v>0</v>
      </c>
      <c r="B948" s="915">
        <f>'House Count'!E948</f>
        <v>0</v>
      </c>
      <c r="C948" s="915">
        <f>'House Count'!B948</f>
        <v>0</v>
      </c>
      <c r="D948" s="915">
        <f>'House Count'!C948</f>
        <v>0</v>
      </c>
      <c r="E948" s="915">
        <f>'House Count'!D948</f>
        <v>0</v>
      </c>
      <c r="F948" s="915" t="str">
        <f t="shared" si="14"/>
        <v/>
      </c>
      <c r="G948" s="915">
        <f>'House Count'!F948</f>
        <v>0</v>
      </c>
      <c r="H948" s="915">
        <f>'House Count'!H948</f>
        <v>0</v>
      </c>
    </row>
    <row r="949" spans="1:8" x14ac:dyDescent="0.25">
      <c r="A949" s="914">
        <f>'House Count'!A949</f>
        <v>0</v>
      </c>
      <c r="B949" s="915">
        <f>'House Count'!E949</f>
        <v>0</v>
      </c>
      <c r="C949" s="915">
        <f>'House Count'!B949</f>
        <v>0</v>
      </c>
      <c r="D949" s="915">
        <f>'House Count'!C949</f>
        <v>0</v>
      </c>
      <c r="E949" s="915">
        <f>'House Count'!D949</f>
        <v>0</v>
      </c>
      <c r="F949" s="915" t="str">
        <f t="shared" si="14"/>
        <v/>
      </c>
      <c r="G949" s="915">
        <f>'House Count'!F949</f>
        <v>0</v>
      </c>
      <c r="H949" s="915">
        <f>'House Count'!H949</f>
        <v>0</v>
      </c>
    </row>
    <row r="950" spans="1:8" x14ac:dyDescent="0.25">
      <c r="A950" s="914">
        <f>'House Count'!A950</f>
        <v>0</v>
      </c>
      <c r="B950" s="915">
        <f>'House Count'!E950</f>
        <v>0</v>
      </c>
      <c r="C950" s="915">
        <f>'House Count'!B950</f>
        <v>0</v>
      </c>
      <c r="D950" s="915">
        <f>'House Count'!C950</f>
        <v>0</v>
      </c>
      <c r="E950" s="915">
        <f>'House Count'!D950</f>
        <v>0</v>
      </c>
      <c r="F950" s="915" t="str">
        <f t="shared" si="14"/>
        <v/>
      </c>
      <c r="G950" s="915">
        <f>'House Count'!F950</f>
        <v>0</v>
      </c>
      <c r="H950" s="915">
        <f>'House Count'!H950</f>
        <v>0</v>
      </c>
    </row>
    <row r="951" spans="1:8" x14ac:dyDescent="0.25">
      <c r="A951" s="914">
        <f>'House Count'!A951</f>
        <v>0</v>
      </c>
      <c r="B951" s="915">
        <f>'House Count'!E951</f>
        <v>0</v>
      </c>
      <c r="C951" s="915">
        <f>'House Count'!B951</f>
        <v>0</v>
      </c>
      <c r="D951" s="915">
        <f>'House Count'!C951</f>
        <v>0</v>
      </c>
      <c r="E951" s="915">
        <f>'House Count'!D951</f>
        <v>0</v>
      </c>
      <c r="F951" s="915" t="str">
        <f t="shared" si="14"/>
        <v/>
      </c>
      <c r="G951" s="915">
        <f>'House Count'!F951</f>
        <v>0</v>
      </c>
      <c r="H951" s="915">
        <f>'House Count'!H951</f>
        <v>0</v>
      </c>
    </row>
    <row r="952" spans="1:8" x14ac:dyDescent="0.25">
      <c r="A952" s="914">
        <f>'House Count'!A952</f>
        <v>0</v>
      </c>
      <c r="B952" s="915">
        <f>'House Count'!E952</f>
        <v>0</v>
      </c>
      <c r="C952" s="915">
        <f>'House Count'!B952</f>
        <v>0</v>
      </c>
      <c r="D952" s="915">
        <f>'House Count'!C952</f>
        <v>0</v>
      </c>
      <c r="E952" s="915">
        <f>'House Count'!D952</f>
        <v>0</v>
      </c>
      <c r="F952" s="915" t="str">
        <f t="shared" si="14"/>
        <v/>
      </c>
      <c r="G952" s="915">
        <f>'House Count'!F952</f>
        <v>0</v>
      </c>
      <c r="H952" s="915">
        <f>'House Count'!H952</f>
        <v>0</v>
      </c>
    </row>
    <row r="953" spans="1:8" x14ac:dyDescent="0.25">
      <c r="A953" s="914">
        <f>'House Count'!A953</f>
        <v>0</v>
      </c>
      <c r="B953" s="915">
        <f>'House Count'!E953</f>
        <v>0</v>
      </c>
      <c r="C953" s="915">
        <f>'House Count'!B953</f>
        <v>0</v>
      </c>
      <c r="D953" s="915">
        <f>'House Count'!C953</f>
        <v>0</v>
      </c>
      <c r="E953" s="915">
        <f>'House Count'!D953</f>
        <v>0</v>
      </c>
      <c r="F953" s="915" t="str">
        <f t="shared" si="14"/>
        <v/>
      </c>
      <c r="G953" s="915">
        <f>'House Count'!F953</f>
        <v>0</v>
      </c>
      <c r="H953" s="915">
        <f>'House Count'!H953</f>
        <v>0</v>
      </c>
    </row>
    <row r="954" spans="1:8" x14ac:dyDescent="0.25">
      <c r="A954" s="914">
        <f>'House Count'!A954</f>
        <v>0</v>
      </c>
      <c r="B954" s="915">
        <f>'House Count'!E954</f>
        <v>0</v>
      </c>
      <c r="C954" s="915">
        <f>'House Count'!B954</f>
        <v>0</v>
      </c>
      <c r="D954" s="915">
        <f>'House Count'!C954</f>
        <v>0</v>
      </c>
      <c r="E954" s="915">
        <f>'House Count'!D954</f>
        <v>0</v>
      </c>
      <c r="F954" s="915" t="str">
        <f t="shared" si="14"/>
        <v/>
      </c>
      <c r="G954" s="915">
        <f>'House Count'!F954</f>
        <v>0</v>
      </c>
      <c r="H954" s="915">
        <f>'House Count'!H954</f>
        <v>0</v>
      </c>
    </row>
    <row r="955" spans="1:8" x14ac:dyDescent="0.25">
      <c r="A955" s="914">
        <f>'House Count'!A955</f>
        <v>0</v>
      </c>
      <c r="B955" s="915">
        <f>'House Count'!E955</f>
        <v>0</v>
      </c>
      <c r="C955" s="915">
        <f>'House Count'!B955</f>
        <v>0</v>
      </c>
      <c r="D955" s="915">
        <f>'House Count'!C955</f>
        <v>0</v>
      </c>
      <c r="E955" s="915">
        <f>'House Count'!D955</f>
        <v>0</v>
      </c>
      <c r="F955" s="915" t="str">
        <f t="shared" si="14"/>
        <v/>
      </c>
      <c r="G955" s="915">
        <f>'House Count'!F955</f>
        <v>0</v>
      </c>
      <c r="H955" s="915">
        <f>'House Count'!H955</f>
        <v>0</v>
      </c>
    </row>
    <row r="956" spans="1:8" x14ac:dyDescent="0.25">
      <c r="A956" s="914">
        <f>'House Count'!A956</f>
        <v>0</v>
      </c>
      <c r="B956" s="915">
        <f>'House Count'!E956</f>
        <v>0</v>
      </c>
      <c r="C956" s="915">
        <f>'House Count'!B956</f>
        <v>0</v>
      </c>
      <c r="D956" s="915">
        <f>'House Count'!C956</f>
        <v>0</v>
      </c>
      <c r="E956" s="915">
        <f>'House Count'!D956</f>
        <v>0</v>
      </c>
      <c r="F956" s="915" t="str">
        <f t="shared" si="14"/>
        <v/>
      </c>
      <c r="G956" s="915">
        <f>'House Count'!F956</f>
        <v>0</v>
      </c>
      <c r="H956" s="915">
        <f>'House Count'!H956</f>
        <v>0</v>
      </c>
    </row>
    <row r="957" spans="1:8" x14ac:dyDescent="0.25">
      <c r="A957" s="914">
        <f>'House Count'!A957</f>
        <v>0</v>
      </c>
      <c r="B957" s="915">
        <f>'House Count'!E957</f>
        <v>0</v>
      </c>
      <c r="C957" s="915">
        <f>'House Count'!B957</f>
        <v>0</v>
      </c>
      <c r="D957" s="915">
        <f>'House Count'!C957</f>
        <v>0</v>
      </c>
      <c r="E957" s="915">
        <f>'House Count'!D957</f>
        <v>0</v>
      </c>
      <c r="F957" s="915" t="str">
        <f t="shared" si="14"/>
        <v/>
      </c>
      <c r="G957" s="915">
        <f>'House Count'!F957</f>
        <v>0</v>
      </c>
      <c r="H957" s="915">
        <f>'House Count'!H957</f>
        <v>0</v>
      </c>
    </row>
    <row r="958" spans="1:8" x14ac:dyDescent="0.25">
      <c r="A958" s="914">
        <f>'House Count'!A958</f>
        <v>0</v>
      </c>
      <c r="B958" s="915">
        <f>'House Count'!E958</f>
        <v>0</v>
      </c>
      <c r="C958" s="915">
        <f>'House Count'!B958</f>
        <v>0</v>
      </c>
      <c r="D958" s="915">
        <f>'House Count'!C958</f>
        <v>0</v>
      </c>
      <c r="E958" s="915">
        <f>'House Count'!D958</f>
        <v>0</v>
      </c>
      <c r="F958" s="915" t="str">
        <f t="shared" si="14"/>
        <v/>
      </c>
      <c r="G958" s="915">
        <f>'House Count'!F958</f>
        <v>0</v>
      </c>
      <c r="H958" s="915">
        <f>'House Count'!H958</f>
        <v>0</v>
      </c>
    </row>
    <row r="959" spans="1:8" x14ac:dyDescent="0.25">
      <c r="A959" s="914">
        <f>'House Count'!A959</f>
        <v>0</v>
      </c>
      <c r="B959" s="915">
        <f>'House Count'!E959</f>
        <v>0</v>
      </c>
      <c r="C959" s="915">
        <f>'House Count'!B959</f>
        <v>0</v>
      </c>
      <c r="D959" s="915">
        <f>'House Count'!C959</f>
        <v>0</v>
      </c>
      <c r="E959" s="915">
        <f>'House Count'!D959</f>
        <v>0</v>
      </c>
      <c r="F959" s="915" t="str">
        <f t="shared" si="14"/>
        <v/>
      </c>
      <c r="G959" s="915">
        <f>'House Count'!F959</f>
        <v>0</v>
      </c>
      <c r="H959" s="915">
        <f>'House Count'!H959</f>
        <v>0</v>
      </c>
    </row>
    <row r="960" spans="1:8" x14ac:dyDescent="0.25">
      <c r="A960" s="914">
        <f>'House Count'!A960</f>
        <v>0</v>
      </c>
      <c r="B960" s="915">
        <f>'House Count'!E960</f>
        <v>0</v>
      </c>
      <c r="C960" s="915">
        <f>'House Count'!B960</f>
        <v>0</v>
      </c>
      <c r="D960" s="915">
        <f>'House Count'!C960</f>
        <v>0</v>
      </c>
      <c r="E960" s="915">
        <f>'House Count'!D960</f>
        <v>0</v>
      </c>
      <c r="F960" s="915" t="str">
        <f t="shared" si="14"/>
        <v/>
      </c>
      <c r="G960" s="915">
        <f>'House Count'!F960</f>
        <v>0</v>
      </c>
      <c r="H960" s="915">
        <f>'House Count'!H960</f>
        <v>0</v>
      </c>
    </row>
    <row r="961" spans="1:8" x14ac:dyDescent="0.25">
      <c r="A961" s="914">
        <f>'House Count'!A961</f>
        <v>0</v>
      </c>
      <c r="B961" s="915">
        <f>'House Count'!E961</f>
        <v>0</v>
      </c>
      <c r="C961" s="915">
        <f>'House Count'!B961</f>
        <v>0</v>
      </c>
      <c r="D961" s="915">
        <f>'House Count'!C961</f>
        <v>0</v>
      </c>
      <c r="E961" s="915">
        <f>'House Count'!D961</f>
        <v>0</v>
      </c>
      <c r="F961" s="915" t="str">
        <f t="shared" si="14"/>
        <v/>
      </c>
      <c r="G961" s="915">
        <f>'House Count'!F961</f>
        <v>0</v>
      </c>
      <c r="H961" s="915">
        <f>'House Count'!H961</f>
        <v>0</v>
      </c>
    </row>
    <row r="962" spans="1:8" x14ac:dyDescent="0.25">
      <c r="A962" s="914">
        <f>'House Count'!A962</f>
        <v>0</v>
      </c>
      <c r="B962" s="915">
        <f>'House Count'!E962</f>
        <v>0</v>
      </c>
      <c r="C962" s="915">
        <f>'House Count'!B962</f>
        <v>0</v>
      </c>
      <c r="D962" s="915">
        <f>'House Count'!C962</f>
        <v>0</v>
      </c>
      <c r="E962" s="915">
        <f>'House Count'!D962</f>
        <v>0</v>
      </c>
      <c r="F962" s="915" t="str">
        <f t="shared" si="14"/>
        <v/>
      </c>
      <c r="G962" s="915">
        <f>'House Count'!F962</f>
        <v>0</v>
      </c>
      <c r="H962" s="915">
        <f>'House Count'!H962</f>
        <v>0</v>
      </c>
    </row>
    <row r="963" spans="1:8" x14ac:dyDescent="0.25">
      <c r="A963" s="914">
        <f>'House Count'!A963</f>
        <v>0</v>
      </c>
      <c r="B963" s="915">
        <f>'House Count'!E963</f>
        <v>0</v>
      </c>
      <c r="C963" s="915">
        <f>'House Count'!B963</f>
        <v>0</v>
      </c>
      <c r="D963" s="915">
        <f>'House Count'!C963</f>
        <v>0</v>
      </c>
      <c r="E963" s="915">
        <f>'House Count'!D963</f>
        <v>0</v>
      </c>
      <c r="F963" s="915" t="str">
        <f t="shared" ref="F963:F1026" si="15">IF(G963="RES-SFU","RESIDENTIAL",IF(G963="RES-HOA","RESIDENTIAL",IF(G963="RES-MDU","RESIDENTIAL",IF(G963="COMM-SU","BUSINESS",IF(G963="COM-MTU","BUSINESS",IF(G963="ENT","BUSINESS",""))))))</f>
        <v/>
      </c>
      <c r="G963" s="915">
        <f>'House Count'!F963</f>
        <v>0</v>
      </c>
      <c r="H963" s="915">
        <f>'House Count'!H963</f>
        <v>0</v>
      </c>
    </row>
    <row r="964" spans="1:8" x14ac:dyDescent="0.25">
      <c r="A964" s="914">
        <f>'House Count'!A964</f>
        <v>0</v>
      </c>
      <c r="B964" s="915">
        <f>'House Count'!E964</f>
        <v>0</v>
      </c>
      <c r="C964" s="915">
        <f>'House Count'!B964</f>
        <v>0</v>
      </c>
      <c r="D964" s="915">
        <f>'House Count'!C964</f>
        <v>0</v>
      </c>
      <c r="E964" s="915">
        <f>'House Count'!D964</f>
        <v>0</v>
      </c>
      <c r="F964" s="915" t="str">
        <f t="shared" si="15"/>
        <v/>
      </c>
      <c r="G964" s="915">
        <f>'House Count'!F964</f>
        <v>0</v>
      </c>
      <c r="H964" s="915">
        <f>'House Count'!H964</f>
        <v>0</v>
      </c>
    </row>
    <row r="965" spans="1:8" x14ac:dyDescent="0.25">
      <c r="A965" s="914">
        <f>'House Count'!A965</f>
        <v>0</v>
      </c>
      <c r="B965" s="915">
        <f>'House Count'!E965</f>
        <v>0</v>
      </c>
      <c r="C965" s="915">
        <f>'House Count'!B965</f>
        <v>0</v>
      </c>
      <c r="D965" s="915">
        <f>'House Count'!C965</f>
        <v>0</v>
      </c>
      <c r="E965" s="915">
        <f>'House Count'!D965</f>
        <v>0</v>
      </c>
      <c r="F965" s="915" t="str">
        <f t="shared" si="15"/>
        <v/>
      </c>
      <c r="G965" s="915">
        <f>'House Count'!F965</f>
        <v>0</v>
      </c>
      <c r="H965" s="915">
        <f>'House Count'!H965</f>
        <v>0</v>
      </c>
    </row>
    <row r="966" spans="1:8" x14ac:dyDescent="0.25">
      <c r="A966" s="914">
        <f>'House Count'!A966</f>
        <v>0</v>
      </c>
      <c r="B966" s="915">
        <f>'House Count'!E966</f>
        <v>0</v>
      </c>
      <c r="C966" s="915">
        <f>'House Count'!B966</f>
        <v>0</v>
      </c>
      <c r="D966" s="915">
        <f>'House Count'!C966</f>
        <v>0</v>
      </c>
      <c r="E966" s="915">
        <f>'House Count'!D966</f>
        <v>0</v>
      </c>
      <c r="F966" s="915" t="str">
        <f t="shared" si="15"/>
        <v/>
      </c>
      <c r="G966" s="915">
        <f>'House Count'!F966</f>
        <v>0</v>
      </c>
      <c r="H966" s="915">
        <f>'House Count'!H966</f>
        <v>0</v>
      </c>
    </row>
    <row r="967" spans="1:8" x14ac:dyDescent="0.25">
      <c r="A967" s="914">
        <f>'House Count'!A967</f>
        <v>0</v>
      </c>
      <c r="B967" s="915">
        <f>'House Count'!E967</f>
        <v>0</v>
      </c>
      <c r="C967" s="915">
        <f>'House Count'!B967</f>
        <v>0</v>
      </c>
      <c r="D967" s="915">
        <f>'House Count'!C967</f>
        <v>0</v>
      </c>
      <c r="E967" s="915">
        <f>'House Count'!D967</f>
        <v>0</v>
      </c>
      <c r="F967" s="915" t="str">
        <f t="shared" si="15"/>
        <v/>
      </c>
      <c r="G967" s="915">
        <f>'House Count'!F967</f>
        <v>0</v>
      </c>
      <c r="H967" s="915">
        <f>'House Count'!H967</f>
        <v>0</v>
      </c>
    </row>
    <row r="968" spans="1:8" x14ac:dyDescent="0.25">
      <c r="A968" s="914">
        <f>'House Count'!A968</f>
        <v>0</v>
      </c>
      <c r="B968" s="915">
        <f>'House Count'!E968</f>
        <v>0</v>
      </c>
      <c r="C968" s="915">
        <f>'House Count'!B968</f>
        <v>0</v>
      </c>
      <c r="D968" s="915">
        <f>'House Count'!C968</f>
        <v>0</v>
      </c>
      <c r="E968" s="915">
        <f>'House Count'!D968</f>
        <v>0</v>
      </c>
      <c r="F968" s="915" t="str">
        <f t="shared" si="15"/>
        <v/>
      </c>
      <c r="G968" s="915">
        <f>'House Count'!F968</f>
        <v>0</v>
      </c>
      <c r="H968" s="915">
        <f>'House Count'!H968</f>
        <v>0</v>
      </c>
    </row>
    <row r="969" spans="1:8" x14ac:dyDescent="0.25">
      <c r="A969" s="914">
        <f>'House Count'!A969</f>
        <v>0</v>
      </c>
      <c r="B969" s="915">
        <f>'House Count'!E969</f>
        <v>0</v>
      </c>
      <c r="C969" s="915">
        <f>'House Count'!B969</f>
        <v>0</v>
      </c>
      <c r="D969" s="915">
        <f>'House Count'!C969</f>
        <v>0</v>
      </c>
      <c r="E969" s="915">
        <f>'House Count'!D969</f>
        <v>0</v>
      </c>
      <c r="F969" s="915" t="str">
        <f t="shared" si="15"/>
        <v/>
      </c>
      <c r="G969" s="915">
        <f>'House Count'!F969</f>
        <v>0</v>
      </c>
      <c r="H969" s="915">
        <f>'House Count'!H969</f>
        <v>0</v>
      </c>
    </row>
    <row r="970" spans="1:8" x14ac:dyDescent="0.25">
      <c r="A970" s="914">
        <f>'House Count'!A970</f>
        <v>0</v>
      </c>
      <c r="B970" s="915">
        <f>'House Count'!E970</f>
        <v>0</v>
      </c>
      <c r="C970" s="915">
        <f>'House Count'!B970</f>
        <v>0</v>
      </c>
      <c r="D970" s="915">
        <f>'House Count'!C970</f>
        <v>0</v>
      </c>
      <c r="E970" s="915">
        <f>'House Count'!D970</f>
        <v>0</v>
      </c>
      <c r="F970" s="915" t="str">
        <f t="shared" si="15"/>
        <v/>
      </c>
      <c r="G970" s="915">
        <f>'House Count'!F970</f>
        <v>0</v>
      </c>
      <c r="H970" s="915">
        <f>'House Count'!H970</f>
        <v>0</v>
      </c>
    </row>
    <row r="971" spans="1:8" x14ac:dyDescent="0.25">
      <c r="A971" s="914">
        <f>'House Count'!A971</f>
        <v>0</v>
      </c>
      <c r="B971" s="915">
        <f>'House Count'!E971</f>
        <v>0</v>
      </c>
      <c r="C971" s="915">
        <f>'House Count'!B971</f>
        <v>0</v>
      </c>
      <c r="D971" s="915">
        <f>'House Count'!C971</f>
        <v>0</v>
      </c>
      <c r="E971" s="915">
        <f>'House Count'!D971</f>
        <v>0</v>
      </c>
      <c r="F971" s="915" t="str">
        <f t="shared" si="15"/>
        <v/>
      </c>
      <c r="G971" s="915">
        <f>'House Count'!F971</f>
        <v>0</v>
      </c>
      <c r="H971" s="915">
        <f>'House Count'!H971</f>
        <v>0</v>
      </c>
    </row>
    <row r="972" spans="1:8" x14ac:dyDescent="0.25">
      <c r="A972" s="914">
        <f>'House Count'!A972</f>
        <v>0</v>
      </c>
      <c r="B972" s="915">
        <f>'House Count'!E972</f>
        <v>0</v>
      </c>
      <c r="C972" s="915">
        <f>'House Count'!B972</f>
        <v>0</v>
      </c>
      <c r="D972" s="915">
        <f>'House Count'!C972</f>
        <v>0</v>
      </c>
      <c r="E972" s="915">
        <f>'House Count'!D972</f>
        <v>0</v>
      </c>
      <c r="F972" s="915" t="str">
        <f t="shared" si="15"/>
        <v/>
      </c>
      <c r="G972" s="915">
        <f>'House Count'!F972</f>
        <v>0</v>
      </c>
      <c r="H972" s="915">
        <f>'House Count'!H972</f>
        <v>0</v>
      </c>
    </row>
    <row r="973" spans="1:8" x14ac:dyDescent="0.25">
      <c r="A973" s="914">
        <f>'House Count'!A973</f>
        <v>0</v>
      </c>
      <c r="B973" s="915">
        <f>'House Count'!E973</f>
        <v>0</v>
      </c>
      <c r="C973" s="915">
        <f>'House Count'!B973</f>
        <v>0</v>
      </c>
      <c r="D973" s="915">
        <f>'House Count'!C973</f>
        <v>0</v>
      </c>
      <c r="E973" s="915">
        <f>'House Count'!D973</f>
        <v>0</v>
      </c>
      <c r="F973" s="915" t="str">
        <f t="shared" si="15"/>
        <v/>
      </c>
      <c r="G973" s="915">
        <f>'House Count'!F973</f>
        <v>0</v>
      </c>
      <c r="H973" s="915">
        <f>'House Count'!H973</f>
        <v>0</v>
      </c>
    </row>
    <row r="974" spans="1:8" x14ac:dyDescent="0.25">
      <c r="A974" s="914">
        <f>'House Count'!A974</f>
        <v>0</v>
      </c>
      <c r="B974" s="915">
        <f>'House Count'!E974</f>
        <v>0</v>
      </c>
      <c r="C974" s="915">
        <f>'House Count'!B974</f>
        <v>0</v>
      </c>
      <c r="D974" s="915">
        <f>'House Count'!C974</f>
        <v>0</v>
      </c>
      <c r="E974" s="915">
        <f>'House Count'!D974</f>
        <v>0</v>
      </c>
      <c r="F974" s="915" t="str">
        <f t="shared" si="15"/>
        <v/>
      </c>
      <c r="G974" s="915">
        <f>'House Count'!F974</f>
        <v>0</v>
      </c>
      <c r="H974" s="915">
        <f>'House Count'!H974</f>
        <v>0</v>
      </c>
    </row>
    <row r="975" spans="1:8" x14ac:dyDescent="0.25">
      <c r="A975" s="914">
        <f>'House Count'!A975</f>
        <v>0</v>
      </c>
      <c r="B975" s="915">
        <f>'House Count'!E975</f>
        <v>0</v>
      </c>
      <c r="C975" s="915">
        <f>'House Count'!B975</f>
        <v>0</v>
      </c>
      <c r="D975" s="915">
        <f>'House Count'!C975</f>
        <v>0</v>
      </c>
      <c r="E975" s="915">
        <f>'House Count'!D975</f>
        <v>0</v>
      </c>
      <c r="F975" s="915" t="str">
        <f t="shared" si="15"/>
        <v/>
      </c>
      <c r="G975" s="915">
        <f>'House Count'!F975</f>
        <v>0</v>
      </c>
      <c r="H975" s="915">
        <f>'House Count'!H975</f>
        <v>0</v>
      </c>
    </row>
    <row r="976" spans="1:8" x14ac:dyDescent="0.25">
      <c r="A976" s="914">
        <f>'House Count'!A976</f>
        <v>0</v>
      </c>
      <c r="B976" s="915">
        <f>'House Count'!E976</f>
        <v>0</v>
      </c>
      <c r="C976" s="915">
        <f>'House Count'!B976</f>
        <v>0</v>
      </c>
      <c r="D976" s="915">
        <f>'House Count'!C976</f>
        <v>0</v>
      </c>
      <c r="E976" s="915">
        <f>'House Count'!D976</f>
        <v>0</v>
      </c>
      <c r="F976" s="915" t="str">
        <f t="shared" si="15"/>
        <v/>
      </c>
      <c r="G976" s="915">
        <f>'House Count'!F976</f>
        <v>0</v>
      </c>
      <c r="H976" s="915">
        <f>'House Count'!H976</f>
        <v>0</v>
      </c>
    </row>
    <row r="977" spans="1:8" x14ac:dyDescent="0.25">
      <c r="A977" s="914">
        <f>'House Count'!A977</f>
        <v>0</v>
      </c>
      <c r="B977" s="915">
        <f>'House Count'!E977</f>
        <v>0</v>
      </c>
      <c r="C977" s="915">
        <f>'House Count'!B977</f>
        <v>0</v>
      </c>
      <c r="D977" s="915">
        <f>'House Count'!C977</f>
        <v>0</v>
      </c>
      <c r="E977" s="915">
        <f>'House Count'!D977</f>
        <v>0</v>
      </c>
      <c r="F977" s="915" t="str">
        <f t="shared" si="15"/>
        <v/>
      </c>
      <c r="G977" s="915">
        <f>'House Count'!F977</f>
        <v>0</v>
      </c>
      <c r="H977" s="915">
        <f>'House Count'!H977</f>
        <v>0</v>
      </c>
    </row>
    <row r="978" spans="1:8" x14ac:dyDescent="0.25">
      <c r="A978" s="914">
        <f>'House Count'!A978</f>
        <v>0</v>
      </c>
      <c r="B978" s="915">
        <f>'House Count'!E978</f>
        <v>0</v>
      </c>
      <c r="C978" s="915">
        <f>'House Count'!B978</f>
        <v>0</v>
      </c>
      <c r="D978" s="915">
        <f>'House Count'!C978</f>
        <v>0</v>
      </c>
      <c r="E978" s="915">
        <f>'House Count'!D978</f>
        <v>0</v>
      </c>
      <c r="F978" s="915" t="str">
        <f t="shared" si="15"/>
        <v/>
      </c>
      <c r="G978" s="915">
        <f>'House Count'!F978</f>
        <v>0</v>
      </c>
      <c r="H978" s="915">
        <f>'House Count'!H978</f>
        <v>0</v>
      </c>
    </row>
    <row r="979" spans="1:8" x14ac:dyDescent="0.25">
      <c r="A979" s="914">
        <f>'House Count'!A979</f>
        <v>0</v>
      </c>
      <c r="B979" s="915">
        <f>'House Count'!E979</f>
        <v>0</v>
      </c>
      <c r="C979" s="915">
        <f>'House Count'!B979</f>
        <v>0</v>
      </c>
      <c r="D979" s="915">
        <f>'House Count'!C979</f>
        <v>0</v>
      </c>
      <c r="E979" s="915">
        <f>'House Count'!D979</f>
        <v>0</v>
      </c>
      <c r="F979" s="915" t="str">
        <f t="shared" si="15"/>
        <v/>
      </c>
      <c r="G979" s="915">
        <f>'House Count'!F979</f>
        <v>0</v>
      </c>
      <c r="H979" s="915">
        <f>'House Count'!H979</f>
        <v>0</v>
      </c>
    </row>
    <row r="980" spans="1:8" x14ac:dyDescent="0.25">
      <c r="A980" s="914">
        <f>'House Count'!A980</f>
        <v>0</v>
      </c>
      <c r="B980" s="915">
        <f>'House Count'!E980</f>
        <v>0</v>
      </c>
      <c r="C980" s="915">
        <f>'House Count'!B980</f>
        <v>0</v>
      </c>
      <c r="D980" s="915">
        <f>'House Count'!C980</f>
        <v>0</v>
      </c>
      <c r="E980" s="915">
        <f>'House Count'!D980</f>
        <v>0</v>
      </c>
      <c r="F980" s="915" t="str">
        <f t="shared" si="15"/>
        <v/>
      </c>
      <c r="G980" s="915">
        <f>'House Count'!F980</f>
        <v>0</v>
      </c>
      <c r="H980" s="915">
        <f>'House Count'!H980</f>
        <v>0</v>
      </c>
    </row>
    <row r="981" spans="1:8" x14ac:dyDescent="0.25">
      <c r="A981" s="914">
        <f>'House Count'!A981</f>
        <v>0</v>
      </c>
      <c r="B981" s="915">
        <f>'House Count'!E981</f>
        <v>0</v>
      </c>
      <c r="C981" s="915">
        <f>'House Count'!B981</f>
        <v>0</v>
      </c>
      <c r="D981" s="915">
        <f>'House Count'!C981</f>
        <v>0</v>
      </c>
      <c r="E981" s="915">
        <f>'House Count'!D981</f>
        <v>0</v>
      </c>
      <c r="F981" s="915" t="str">
        <f t="shared" si="15"/>
        <v/>
      </c>
      <c r="G981" s="915">
        <f>'House Count'!F981</f>
        <v>0</v>
      </c>
      <c r="H981" s="915">
        <f>'House Count'!H981</f>
        <v>0</v>
      </c>
    </row>
    <row r="982" spans="1:8" x14ac:dyDescent="0.25">
      <c r="A982" s="914">
        <f>'House Count'!A982</f>
        <v>0</v>
      </c>
      <c r="B982" s="915">
        <f>'House Count'!E982</f>
        <v>0</v>
      </c>
      <c r="C982" s="915">
        <f>'House Count'!B982</f>
        <v>0</v>
      </c>
      <c r="D982" s="915">
        <f>'House Count'!C982</f>
        <v>0</v>
      </c>
      <c r="E982" s="915">
        <f>'House Count'!D982</f>
        <v>0</v>
      </c>
      <c r="F982" s="915" t="str">
        <f t="shared" si="15"/>
        <v/>
      </c>
      <c r="G982" s="915">
        <f>'House Count'!F982</f>
        <v>0</v>
      </c>
      <c r="H982" s="915">
        <f>'House Count'!H982</f>
        <v>0</v>
      </c>
    </row>
    <row r="983" spans="1:8" x14ac:dyDescent="0.25">
      <c r="A983" s="914">
        <f>'House Count'!A983</f>
        <v>0</v>
      </c>
      <c r="B983" s="915">
        <f>'House Count'!E983</f>
        <v>0</v>
      </c>
      <c r="C983" s="915">
        <f>'House Count'!B983</f>
        <v>0</v>
      </c>
      <c r="D983" s="915">
        <f>'House Count'!C983</f>
        <v>0</v>
      </c>
      <c r="E983" s="915">
        <f>'House Count'!D983</f>
        <v>0</v>
      </c>
      <c r="F983" s="915" t="str">
        <f t="shared" si="15"/>
        <v/>
      </c>
      <c r="G983" s="915">
        <f>'House Count'!F983</f>
        <v>0</v>
      </c>
      <c r="H983" s="915">
        <f>'House Count'!H983</f>
        <v>0</v>
      </c>
    </row>
    <row r="984" spans="1:8" x14ac:dyDescent="0.25">
      <c r="A984" s="914">
        <f>'House Count'!A984</f>
        <v>0</v>
      </c>
      <c r="B984" s="915">
        <f>'House Count'!E984</f>
        <v>0</v>
      </c>
      <c r="C984" s="915">
        <f>'House Count'!B984</f>
        <v>0</v>
      </c>
      <c r="D984" s="915">
        <f>'House Count'!C984</f>
        <v>0</v>
      </c>
      <c r="E984" s="915">
        <f>'House Count'!D984</f>
        <v>0</v>
      </c>
      <c r="F984" s="915" t="str">
        <f t="shared" si="15"/>
        <v/>
      </c>
      <c r="G984" s="915">
        <f>'House Count'!F984</f>
        <v>0</v>
      </c>
      <c r="H984" s="915">
        <f>'House Count'!H984</f>
        <v>0</v>
      </c>
    </row>
    <row r="985" spans="1:8" x14ac:dyDescent="0.25">
      <c r="A985" s="914">
        <f>'House Count'!A985</f>
        <v>0</v>
      </c>
      <c r="B985" s="915">
        <f>'House Count'!E985</f>
        <v>0</v>
      </c>
      <c r="C985" s="915">
        <f>'House Count'!B985</f>
        <v>0</v>
      </c>
      <c r="D985" s="915">
        <f>'House Count'!C985</f>
        <v>0</v>
      </c>
      <c r="E985" s="915">
        <f>'House Count'!D985</f>
        <v>0</v>
      </c>
      <c r="F985" s="915" t="str">
        <f t="shared" si="15"/>
        <v/>
      </c>
      <c r="G985" s="915">
        <f>'House Count'!F985</f>
        <v>0</v>
      </c>
      <c r="H985" s="915">
        <f>'House Count'!H985</f>
        <v>0</v>
      </c>
    </row>
    <row r="986" spans="1:8" x14ac:dyDescent="0.25">
      <c r="A986" s="914">
        <f>'House Count'!A986</f>
        <v>0</v>
      </c>
      <c r="B986" s="915">
        <f>'House Count'!E986</f>
        <v>0</v>
      </c>
      <c r="C986" s="915">
        <f>'House Count'!B986</f>
        <v>0</v>
      </c>
      <c r="D986" s="915">
        <f>'House Count'!C986</f>
        <v>0</v>
      </c>
      <c r="E986" s="915">
        <f>'House Count'!D986</f>
        <v>0</v>
      </c>
      <c r="F986" s="915" t="str">
        <f t="shared" si="15"/>
        <v/>
      </c>
      <c r="G986" s="915">
        <f>'House Count'!F986</f>
        <v>0</v>
      </c>
      <c r="H986" s="915">
        <f>'House Count'!H986</f>
        <v>0</v>
      </c>
    </row>
    <row r="987" spans="1:8" x14ac:dyDescent="0.25">
      <c r="A987" s="914">
        <f>'House Count'!A987</f>
        <v>0</v>
      </c>
      <c r="B987" s="915">
        <f>'House Count'!E987</f>
        <v>0</v>
      </c>
      <c r="C987" s="915">
        <f>'House Count'!B987</f>
        <v>0</v>
      </c>
      <c r="D987" s="915">
        <f>'House Count'!C987</f>
        <v>0</v>
      </c>
      <c r="E987" s="915">
        <f>'House Count'!D987</f>
        <v>0</v>
      </c>
      <c r="F987" s="915" t="str">
        <f t="shared" si="15"/>
        <v/>
      </c>
      <c r="G987" s="915">
        <f>'House Count'!F987</f>
        <v>0</v>
      </c>
      <c r="H987" s="915">
        <f>'House Count'!H987</f>
        <v>0</v>
      </c>
    </row>
    <row r="988" spans="1:8" x14ac:dyDescent="0.25">
      <c r="A988" s="914">
        <f>'House Count'!A988</f>
        <v>0</v>
      </c>
      <c r="B988" s="915">
        <f>'House Count'!E988</f>
        <v>0</v>
      </c>
      <c r="C988" s="915">
        <f>'House Count'!B988</f>
        <v>0</v>
      </c>
      <c r="D988" s="915">
        <f>'House Count'!C988</f>
        <v>0</v>
      </c>
      <c r="E988" s="915">
        <f>'House Count'!D988</f>
        <v>0</v>
      </c>
      <c r="F988" s="915" t="str">
        <f t="shared" si="15"/>
        <v/>
      </c>
      <c r="G988" s="915">
        <f>'House Count'!F988</f>
        <v>0</v>
      </c>
      <c r="H988" s="915">
        <f>'House Count'!H988</f>
        <v>0</v>
      </c>
    </row>
    <row r="989" spans="1:8" x14ac:dyDescent="0.25">
      <c r="A989" s="914">
        <f>'House Count'!A989</f>
        <v>0</v>
      </c>
      <c r="B989" s="915">
        <f>'House Count'!E989</f>
        <v>0</v>
      </c>
      <c r="C989" s="915">
        <f>'House Count'!B989</f>
        <v>0</v>
      </c>
      <c r="D989" s="915">
        <f>'House Count'!C989</f>
        <v>0</v>
      </c>
      <c r="E989" s="915">
        <f>'House Count'!D989</f>
        <v>0</v>
      </c>
      <c r="F989" s="915" t="str">
        <f t="shared" si="15"/>
        <v/>
      </c>
      <c r="G989" s="915">
        <f>'House Count'!F989</f>
        <v>0</v>
      </c>
      <c r="H989" s="915">
        <f>'House Count'!H989</f>
        <v>0</v>
      </c>
    </row>
    <row r="990" spans="1:8" x14ac:dyDescent="0.25">
      <c r="A990" s="914">
        <f>'House Count'!A990</f>
        <v>0</v>
      </c>
      <c r="B990" s="915">
        <f>'House Count'!E990</f>
        <v>0</v>
      </c>
      <c r="C990" s="915">
        <f>'House Count'!B990</f>
        <v>0</v>
      </c>
      <c r="D990" s="915">
        <f>'House Count'!C990</f>
        <v>0</v>
      </c>
      <c r="E990" s="915">
        <f>'House Count'!D990</f>
        <v>0</v>
      </c>
      <c r="F990" s="915" t="str">
        <f t="shared" si="15"/>
        <v/>
      </c>
      <c r="G990" s="915">
        <f>'House Count'!F990</f>
        <v>0</v>
      </c>
      <c r="H990" s="915">
        <f>'House Count'!H990</f>
        <v>0</v>
      </c>
    </row>
    <row r="991" spans="1:8" x14ac:dyDescent="0.25">
      <c r="A991" s="914">
        <f>'House Count'!A991</f>
        <v>0</v>
      </c>
      <c r="B991" s="915">
        <f>'House Count'!E991</f>
        <v>0</v>
      </c>
      <c r="C991" s="915">
        <f>'House Count'!B991</f>
        <v>0</v>
      </c>
      <c r="D991" s="915">
        <f>'House Count'!C991</f>
        <v>0</v>
      </c>
      <c r="E991" s="915">
        <f>'House Count'!D991</f>
        <v>0</v>
      </c>
      <c r="F991" s="915" t="str">
        <f t="shared" si="15"/>
        <v/>
      </c>
      <c r="G991" s="915">
        <f>'House Count'!F991</f>
        <v>0</v>
      </c>
      <c r="H991" s="915">
        <f>'House Count'!H991</f>
        <v>0</v>
      </c>
    </row>
    <row r="992" spans="1:8" x14ac:dyDescent="0.25">
      <c r="A992" s="914">
        <f>'House Count'!A992</f>
        <v>0</v>
      </c>
      <c r="B992" s="915">
        <f>'House Count'!E992</f>
        <v>0</v>
      </c>
      <c r="C992" s="915">
        <f>'House Count'!B992</f>
        <v>0</v>
      </c>
      <c r="D992" s="915">
        <f>'House Count'!C992</f>
        <v>0</v>
      </c>
      <c r="E992" s="915">
        <f>'House Count'!D992</f>
        <v>0</v>
      </c>
      <c r="F992" s="915" t="str">
        <f t="shared" si="15"/>
        <v/>
      </c>
      <c r="G992" s="915">
        <f>'House Count'!F992</f>
        <v>0</v>
      </c>
      <c r="H992" s="915">
        <f>'House Count'!H992</f>
        <v>0</v>
      </c>
    </row>
    <row r="993" spans="1:8" x14ac:dyDescent="0.25">
      <c r="A993" s="914">
        <f>'House Count'!A993</f>
        <v>0</v>
      </c>
      <c r="B993" s="915">
        <f>'House Count'!E993</f>
        <v>0</v>
      </c>
      <c r="C993" s="915">
        <f>'House Count'!B993</f>
        <v>0</v>
      </c>
      <c r="D993" s="915">
        <f>'House Count'!C993</f>
        <v>0</v>
      </c>
      <c r="E993" s="915">
        <f>'House Count'!D993</f>
        <v>0</v>
      </c>
      <c r="F993" s="915" t="str">
        <f t="shared" si="15"/>
        <v/>
      </c>
      <c r="G993" s="915">
        <f>'House Count'!F993</f>
        <v>0</v>
      </c>
      <c r="H993" s="915">
        <f>'House Count'!H993</f>
        <v>0</v>
      </c>
    </row>
    <row r="994" spans="1:8" x14ac:dyDescent="0.25">
      <c r="A994" s="914">
        <f>'House Count'!A994</f>
        <v>0</v>
      </c>
      <c r="B994" s="915">
        <f>'House Count'!E994</f>
        <v>0</v>
      </c>
      <c r="C994" s="915">
        <f>'House Count'!B994</f>
        <v>0</v>
      </c>
      <c r="D994" s="915">
        <f>'House Count'!C994</f>
        <v>0</v>
      </c>
      <c r="E994" s="915">
        <f>'House Count'!D994</f>
        <v>0</v>
      </c>
      <c r="F994" s="915" t="str">
        <f t="shared" si="15"/>
        <v/>
      </c>
      <c r="G994" s="915">
        <f>'House Count'!F994</f>
        <v>0</v>
      </c>
      <c r="H994" s="915">
        <f>'House Count'!H994</f>
        <v>0</v>
      </c>
    </row>
    <row r="995" spans="1:8" x14ac:dyDescent="0.25">
      <c r="A995" s="914">
        <f>'House Count'!A995</f>
        <v>0</v>
      </c>
      <c r="B995" s="915">
        <f>'House Count'!E995</f>
        <v>0</v>
      </c>
      <c r="C995" s="915">
        <f>'House Count'!B995</f>
        <v>0</v>
      </c>
      <c r="D995" s="915">
        <f>'House Count'!C995</f>
        <v>0</v>
      </c>
      <c r="E995" s="915">
        <f>'House Count'!D995</f>
        <v>0</v>
      </c>
      <c r="F995" s="915" t="str">
        <f t="shared" si="15"/>
        <v/>
      </c>
      <c r="G995" s="915">
        <f>'House Count'!F995</f>
        <v>0</v>
      </c>
      <c r="H995" s="915">
        <f>'House Count'!H995</f>
        <v>0</v>
      </c>
    </row>
    <row r="996" spans="1:8" x14ac:dyDescent="0.25">
      <c r="A996" s="914">
        <f>'House Count'!A996</f>
        <v>0</v>
      </c>
      <c r="B996" s="915">
        <f>'House Count'!E996</f>
        <v>0</v>
      </c>
      <c r="C996" s="915">
        <f>'House Count'!B996</f>
        <v>0</v>
      </c>
      <c r="D996" s="915">
        <f>'House Count'!C996</f>
        <v>0</v>
      </c>
      <c r="E996" s="915">
        <f>'House Count'!D996</f>
        <v>0</v>
      </c>
      <c r="F996" s="915" t="str">
        <f t="shared" si="15"/>
        <v/>
      </c>
      <c r="G996" s="915">
        <f>'House Count'!F996</f>
        <v>0</v>
      </c>
      <c r="H996" s="915">
        <f>'House Count'!H996</f>
        <v>0</v>
      </c>
    </row>
    <row r="997" spans="1:8" x14ac:dyDescent="0.25">
      <c r="A997" s="914">
        <f>'House Count'!A997</f>
        <v>0</v>
      </c>
      <c r="B997" s="915">
        <f>'House Count'!E997</f>
        <v>0</v>
      </c>
      <c r="C997" s="915">
        <f>'House Count'!B997</f>
        <v>0</v>
      </c>
      <c r="D997" s="915">
        <f>'House Count'!C997</f>
        <v>0</v>
      </c>
      <c r="E997" s="915">
        <f>'House Count'!D997</f>
        <v>0</v>
      </c>
      <c r="F997" s="915" t="str">
        <f t="shared" si="15"/>
        <v/>
      </c>
      <c r="G997" s="915">
        <f>'House Count'!F997</f>
        <v>0</v>
      </c>
      <c r="H997" s="915">
        <f>'House Count'!H997</f>
        <v>0</v>
      </c>
    </row>
    <row r="998" spans="1:8" x14ac:dyDescent="0.25">
      <c r="A998" s="914">
        <f>'House Count'!A998</f>
        <v>0</v>
      </c>
      <c r="B998" s="915">
        <f>'House Count'!E998</f>
        <v>0</v>
      </c>
      <c r="C998" s="915">
        <f>'House Count'!B998</f>
        <v>0</v>
      </c>
      <c r="D998" s="915">
        <f>'House Count'!C998</f>
        <v>0</v>
      </c>
      <c r="E998" s="915">
        <f>'House Count'!D998</f>
        <v>0</v>
      </c>
      <c r="F998" s="915" t="str">
        <f t="shared" si="15"/>
        <v/>
      </c>
      <c r="G998" s="915">
        <f>'House Count'!F998</f>
        <v>0</v>
      </c>
      <c r="H998" s="915">
        <f>'House Count'!H998</f>
        <v>0</v>
      </c>
    </row>
    <row r="999" spans="1:8" x14ac:dyDescent="0.25">
      <c r="A999" s="914">
        <f>'House Count'!A999</f>
        <v>0</v>
      </c>
      <c r="B999" s="915">
        <f>'House Count'!E999</f>
        <v>0</v>
      </c>
      <c r="C999" s="915">
        <f>'House Count'!B999</f>
        <v>0</v>
      </c>
      <c r="D999" s="915">
        <f>'House Count'!C999</f>
        <v>0</v>
      </c>
      <c r="E999" s="915">
        <f>'House Count'!D999</f>
        <v>0</v>
      </c>
      <c r="F999" s="915" t="str">
        <f t="shared" si="15"/>
        <v/>
      </c>
      <c r="G999" s="915">
        <f>'House Count'!F999</f>
        <v>0</v>
      </c>
      <c r="H999" s="915">
        <f>'House Count'!H999</f>
        <v>0</v>
      </c>
    </row>
    <row r="1000" spans="1:8" x14ac:dyDescent="0.25">
      <c r="A1000" s="914">
        <f>'House Count'!A1000</f>
        <v>0</v>
      </c>
      <c r="B1000" s="915">
        <f>'House Count'!E1000</f>
        <v>0</v>
      </c>
      <c r="C1000" s="915">
        <f>'House Count'!B1000</f>
        <v>0</v>
      </c>
      <c r="D1000" s="915">
        <f>'House Count'!C1000</f>
        <v>0</v>
      </c>
      <c r="E1000" s="915">
        <f>'House Count'!D1000</f>
        <v>0</v>
      </c>
      <c r="F1000" s="915" t="str">
        <f t="shared" si="15"/>
        <v/>
      </c>
      <c r="G1000" s="915">
        <f>'House Count'!F1000</f>
        <v>0</v>
      </c>
      <c r="H1000" s="915">
        <f>'House Count'!H1000</f>
        <v>0</v>
      </c>
    </row>
    <row r="1001" spans="1:8" x14ac:dyDescent="0.25">
      <c r="A1001" s="914">
        <f>'House Count'!A1001</f>
        <v>0</v>
      </c>
      <c r="B1001" s="915">
        <f>'House Count'!E1001</f>
        <v>0</v>
      </c>
      <c r="C1001" s="915">
        <f>'House Count'!B1001</f>
        <v>0</v>
      </c>
      <c r="D1001" s="915">
        <f>'House Count'!C1001</f>
        <v>0</v>
      </c>
      <c r="E1001" s="915">
        <f>'House Count'!D1001</f>
        <v>0</v>
      </c>
      <c r="F1001" s="915" t="str">
        <f t="shared" si="15"/>
        <v/>
      </c>
      <c r="G1001" s="915">
        <f>'House Count'!F1001</f>
        <v>0</v>
      </c>
      <c r="H1001" s="915">
        <f>'House Count'!H1001</f>
        <v>0</v>
      </c>
    </row>
    <row r="1002" spans="1:8" x14ac:dyDescent="0.25">
      <c r="A1002" s="914">
        <f>'House Count'!A1002</f>
        <v>0</v>
      </c>
      <c r="B1002" s="915">
        <f>'House Count'!E1002</f>
        <v>0</v>
      </c>
      <c r="C1002" s="915">
        <f>'House Count'!B1002</f>
        <v>0</v>
      </c>
      <c r="D1002" s="915">
        <f>'House Count'!C1002</f>
        <v>0</v>
      </c>
      <c r="E1002" s="915">
        <f>'House Count'!D1002</f>
        <v>0</v>
      </c>
      <c r="F1002" s="915" t="str">
        <f t="shared" si="15"/>
        <v/>
      </c>
      <c r="G1002" s="915">
        <f>'House Count'!F1002</f>
        <v>0</v>
      </c>
      <c r="H1002" s="915">
        <f>'House Count'!H1002</f>
        <v>0</v>
      </c>
    </row>
    <row r="1003" spans="1:8" x14ac:dyDescent="0.25">
      <c r="A1003" s="914">
        <f>'House Count'!A1003</f>
        <v>0</v>
      </c>
      <c r="B1003" s="915">
        <f>'House Count'!E1003</f>
        <v>0</v>
      </c>
      <c r="C1003" s="915">
        <f>'House Count'!B1003</f>
        <v>0</v>
      </c>
      <c r="D1003" s="915">
        <f>'House Count'!C1003</f>
        <v>0</v>
      </c>
      <c r="E1003" s="915">
        <f>'House Count'!D1003</f>
        <v>0</v>
      </c>
      <c r="F1003" s="915" t="str">
        <f t="shared" si="15"/>
        <v/>
      </c>
      <c r="G1003" s="915">
        <f>'House Count'!F1003</f>
        <v>0</v>
      </c>
      <c r="H1003" s="915">
        <f>'House Count'!H1003</f>
        <v>0</v>
      </c>
    </row>
    <row r="1004" spans="1:8" x14ac:dyDescent="0.25">
      <c r="A1004" s="914">
        <f>'House Count'!A1004</f>
        <v>0</v>
      </c>
      <c r="B1004" s="915">
        <f>'House Count'!E1004</f>
        <v>0</v>
      </c>
      <c r="C1004" s="915">
        <f>'House Count'!B1004</f>
        <v>0</v>
      </c>
      <c r="D1004" s="915">
        <f>'House Count'!C1004</f>
        <v>0</v>
      </c>
      <c r="E1004" s="915">
        <f>'House Count'!D1004</f>
        <v>0</v>
      </c>
      <c r="F1004" s="915" t="str">
        <f t="shared" si="15"/>
        <v/>
      </c>
      <c r="G1004" s="915">
        <f>'House Count'!F1004</f>
        <v>0</v>
      </c>
      <c r="H1004" s="915">
        <f>'House Count'!H1004</f>
        <v>0</v>
      </c>
    </row>
    <row r="1005" spans="1:8" x14ac:dyDescent="0.25">
      <c r="A1005" s="914">
        <f>'House Count'!A1005</f>
        <v>0</v>
      </c>
      <c r="B1005" s="915">
        <f>'House Count'!E1005</f>
        <v>0</v>
      </c>
      <c r="C1005" s="915">
        <f>'House Count'!B1005</f>
        <v>0</v>
      </c>
      <c r="D1005" s="915">
        <f>'House Count'!C1005</f>
        <v>0</v>
      </c>
      <c r="E1005" s="915">
        <f>'House Count'!D1005</f>
        <v>0</v>
      </c>
      <c r="F1005" s="915" t="str">
        <f t="shared" si="15"/>
        <v/>
      </c>
      <c r="G1005" s="915">
        <f>'House Count'!F1005</f>
        <v>0</v>
      </c>
      <c r="H1005" s="915">
        <f>'House Count'!H1005</f>
        <v>0</v>
      </c>
    </row>
    <row r="1006" spans="1:8" x14ac:dyDescent="0.25">
      <c r="A1006" s="914">
        <f>'House Count'!A1006</f>
        <v>0</v>
      </c>
      <c r="B1006" s="915">
        <f>'House Count'!E1006</f>
        <v>0</v>
      </c>
      <c r="C1006" s="915">
        <f>'House Count'!B1006</f>
        <v>0</v>
      </c>
      <c r="D1006" s="915">
        <f>'House Count'!C1006</f>
        <v>0</v>
      </c>
      <c r="E1006" s="915">
        <f>'House Count'!D1006</f>
        <v>0</v>
      </c>
      <c r="F1006" s="915" t="str">
        <f t="shared" si="15"/>
        <v/>
      </c>
      <c r="G1006" s="915">
        <f>'House Count'!F1006</f>
        <v>0</v>
      </c>
      <c r="H1006" s="915">
        <f>'House Count'!H1006</f>
        <v>0</v>
      </c>
    </row>
    <row r="1007" spans="1:8" x14ac:dyDescent="0.25">
      <c r="A1007" s="914">
        <f>'House Count'!A1007</f>
        <v>0</v>
      </c>
      <c r="B1007" s="915">
        <f>'House Count'!E1007</f>
        <v>0</v>
      </c>
      <c r="C1007" s="915">
        <f>'House Count'!B1007</f>
        <v>0</v>
      </c>
      <c r="D1007" s="915">
        <f>'House Count'!C1007</f>
        <v>0</v>
      </c>
      <c r="E1007" s="915">
        <f>'House Count'!D1007</f>
        <v>0</v>
      </c>
      <c r="F1007" s="915" t="str">
        <f t="shared" si="15"/>
        <v/>
      </c>
      <c r="G1007" s="915">
        <f>'House Count'!F1007</f>
        <v>0</v>
      </c>
      <c r="H1007" s="915">
        <f>'House Count'!H1007</f>
        <v>0</v>
      </c>
    </row>
    <row r="1008" spans="1:8" x14ac:dyDescent="0.25">
      <c r="A1008" s="914">
        <f>'House Count'!A1008</f>
        <v>0</v>
      </c>
      <c r="B1008" s="915">
        <f>'House Count'!E1008</f>
        <v>0</v>
      </c>
      <c r="C1008" s="915">
        <f>'House Count'!B1008</f>
        <v>0</v>
      </c>
      <c r="D1008" s="915">
        <f>'House Count'!C1008</f>
        <v>0</v>
      </c>
      <c r="E1008" s="915">
        <f>'House Count'!D1008</f>
        <v>0</v>
      </c>
      <c r="F1008" s="915" t="str">
        <f t="shared" si="15"/>
        <v/>
      </c>
      <c r="G1008" s="915">
        <f>'House Count'!F1008</f>
        <v>0</v>
      </c>
      <c r="H1008" s="915">
        <f>'House Count'!H1008</f>
        <v>0</v>
      </c>
    </row>
    <row r="1009" spans="1:8" x14ac:dyDescent="0.25">
      <c r="A1009" s="914">
        <f>'House Count'!A1009</f>
        <v>0</v>
      </c>
      <c r="B1009" s="915">
        <f>'House Count'!E1009</f>
        <v>0</v>
      </c>
      <c r="C1009" s="915">
        <f>'House Count'!B1009</f>
        <v>0</v>
      </c>
      <c r="D1009" s="915">
        <f>'House Count'!C1009</f>
        <v>0</v>
      </c>
      <c r="E1009" s="915">
        <f>'House Count'!D1009</f>
        <v>0</v>
      </c>
      <c r="F1009" s="915" t="str">
        <f t="shared" si="15"/>
        <v/>
      </c>
      <c r="G1009" s="915">
        <f>'House Count'!F1009</f>
        <v>0</v>
      </c>
      <c r="H1009" s="915">
        <f>'House Count'!H1009</f>
        <v>0</v>
      </c>
    </row>
    <row r="1010" spans="1:8" x14ac:dyDescent="0.25">
      <c r="A1010" s="914">
        <f>'House Count'!A1010</f>
        <v>0</v>
      </c>
      <c r="B1010" s="915">
        <f>'House Count'!E1010</f>
        <v>0</v>
      </c>
      <c r="C1010" s="915">
        <f>'House Count'!B1010</f>
        <v>0</v>
      </c>
      <c r="D1010" s="915">
        <f>'House Count'!C1010</f>
        <v>0</v>
      </c>
      <c r="E1010" s="915">
        <f>'House Count'!D1010</f>
        <v>0</v>
      </c>
      <c r="F1010" s="915" t="str">
        <f t="shared" si="15"/>
        <v/>
      </c>
      <c r="G1010" s="915">
        <f>'House Count'!F1010</f>
        <v>0</v>
      </c>
      <c r="H1010" s="915">
        <f>'House Count'!H1010</f>
        <v>0</v>
      </c>
    </row>
    <row r="1011" spans="1:8" x14ac:dyDescent="0.25">
      <c r="A1011" s="914">
        <f>'House Count'!A1011</f>
        <v>0</v>
      </c>
      <c r="B1011" s="915">
        <f>'House Count'!E1011</f>
        <v>0</v>
      </c>
      <c r="C1011" s="915">
        <f>'House Count'!B1011</f>
        <v>0</v>
      </c>
      <c r="D1011" s="915">
        <f>'House Count'!C1011</f>
        <v>0</v>
      </c>
      <c r="E1011" s="915">
        <f>'House Count'!D1011</f>
        <v>0</v>
      </c>
      <c r="F1011" s="915" t="str">
        <f t="shared" si="15"/>
        <v/>
      </c>
      <c r="G1011" s="915">
        <f>'House Count'!F1011</f>
        <v>0</v>
      </c>
      <c r="H1011" s="915">
        <f>'House Count'!H1011</f>
        <v>0</v>
      </c>
    </row>
    <row r="1012" spans="1:8" x14ac:dyDescent="0.25">
      <c r="A1012" s="914">
        <f>'House Count'!A1012</f>
        <v>0</v>
      </c>
      <c r="B1012" s="915">
        <f>'House Count'!E1012</f>
        <v>0</v>
      </c>
      <c r="C1012" s="915">
        <f>'House Count'!B1012</f>
        <v>0</v>
      </c>
      <c r="D1012" s="915">
        <f>'House Count'!C1012</f>
        <v>0</v>
      </c>
      <c r="E1012" s="915">
        <f>'House Count'!D1012</f>
        <v>0</v>
      </c>
      <c r="F1012" s="915" t="str">
        <f t="shared" si="15"/>
        <v/>
      </c>
      <c r="G1012" s="915">
        <f>'House Count'!F1012</f>
        <v>0</v>
      </c>
      <c r="H1012" s="915">
        <f>'House Count'!H1012</f>
        <v>0</v>
      </c>
    </row>
    <row r="1013" spans="1:8" x14ac:dyDescent="0.25">
      <c r="A1013" s="914">
        <f>'House Count'!A1013</f>
        <v>0</v>
      </c>
      <c r="B1013" s="915">
        <f>'House Count'!E1013</f>
        <v>0</v>
      </c>
      <c r="C1013" s="915">
        <f>'House Count'!B1013</f>
        <v>0</v>
      </c>
      <c r="D1013" s="915">
        <f>'House Count'!C1013</f>
        <v>0</v>
      </c>
      <c r="E1013" s="915">
        <f>'House Count'!D1013</f>
        <v>0</v>
      </c>
      <c r="F1013" s="915" t="str">
        <f t="shared" si="15"/>
        <v/>
      </c>
      <c r="G1013" s="915">
        <f>'House Count'!F1013</f>
        <v>0</v>
      </c>
      <c r="H1013" s="915">
        <f>'House Count'!H1013</f>
        <v>0</v>
      </c>
    </row>
    <row r="1014" spans="1:8" x14ac:dyDescent="0.25">
      <c r="A1014" s="914">
        <f>'House Count'!A1014</f>
        <v>0</v>
      </c>
      <c r="B1014" s="915">
        <f>'House Count'!E1014</f>
        <v>0</v>
      </c>
      <c r="C1014" s="915">
        <f>'House Count'!B1014</f>
        <v>0</v>
      </c>
      <c r="D1014" s="915">
        <f>'House Count'!C1014</f>
        <v>0</v>
      </c>
      <c r="E1014" s="915">
        <f>'House Count'!D1014</f>
        <v>0</v>
      </c>
      <c r="F1014" s="915" t="str">
        <f t="shared" si="15"/>
        <v/>
      </c>
      <c r="G1014" s="915">
        <f>'House Count'!F1014</f>
        <v>0</v>
      </c>
      <c r="H1014" s="915">
        <f>'House Count'!H1014</f>
        <v>0</v>
      </c>
    </row>
    <row r="1015" spans="1:8" x14ac:dyDescent="0.25">
      <c r="A1015" s="914">
        <f>'House Count'!A1015</f>
        <v>0</v>
      </c>
      <c r="B1015" s="915">
        <f>'House Count'!E1015</f>
        <v>0</v>
      </c>
      <c r="C1015" s="915">
        <f>'House Count'!B1015</f>
        <v>0</v>
      </c>
      <c r="D1015" s="915">
        <f>'House Count'!C1015</f>
        <v>0</v>
      </c>
      <c r="E1015" s="915">
        <f>'House Count'!D1015</f>
        <v>0</v>
      </c>
      <c r="F1015" s="915" t="str">
        <f t="shared" si="15"/>
        <v/>
      </c>
      <c r="G1015" s="915">
        <f>'House Count'!F1015</f>
        <v>0</v>
      </c>
      <c r="H1015" s="915">
        <f>'House Count'!H1015</f>
        <v>0</v>
      </c>
    </row>
    <row r="1016" spans="1:8" x14ac:dyDescent="0.25">
      <c r="A1016" s="914">
        <f>'House Count'!A1016</f>
        <v>0</v>
      </c>
      <c r="B1016" s="915">
        <f>'House Count'!E1016</f>
        <v>0</v>
      </c>
      <c r="C1016" s="915">
        <f>'House Count'!B1016</f>
        <v>0</v>
      </c>
      <c r="D1016" s="915">
        <f>'House Count'!C1016</f>
        <v>0</v>
      </c>
      <c r="E1016" s="915">
        <f>'House Count'!D1016</f>
        <v>0</v>
      </c>
      <c r="F1016" s="915" t="str">
        <f t="shared" si="15"/>
        <v/>
      </c>
      <c r="G1016" s="915">
        <f>'House Count'!F1016</f>
        <v>0</v>
      </c>
      <c r="H1016" s="915">
        <f>'House Count'!H1016</f>
        <v>0</v>
      </c>
    </row>
    <row r="1017" spans="1:8" x14ac:dyDescent="0.25">
      <c r="A1017" s="914">
        <f>'House Count'!A1017</f>
        <v>0</v>
      </c>
      <c r="B1017" s="915">
        <f>'House Count'!E1017</f>
        <v>0</v>
      </c>
      <c r="C1017" s="915">
        <f>'House Count'!B1017</f>
        <v>0</v>
      </c>
      <c r="D1017" s="915">
        <f>'House Count'!C1017</f>
        <v>0</v>
      </c>
      <c r="E1017" s="915">
        <f>'House Count'!D1017</f>
        <v>0</v>
      </c>
      <c r="F1017" s="915" t="str">
        <f t="shared" si="15"/>
        <v/>
      </c>
      <c r="G1017" s="915">
        <f>'House Count'!F1017</f>
        <v>0</v>
      </c>
      <c r="H1017" s="915">
        <f>'House Count'!H1017</f>
        <v>0</v>
      </c>
    </row>
    <row r="1018" spans="1:8" x14ac:dyDescent="0.25">
      <c r="A1018" s="914">
        <f>'House Count'!A1018</f>
        <v>0</v>
      </c>
      <c r="B1018" s="915">
        <f>'House Count'!E1018</f>
        <v>0</v>
      </c>
      <c r="C1018" s="915">
        <f>'House Count'!B1018</f>
        <v>0</v>
      </c>
      <c r="D1018" s="915">
        <f>'House Count'!C1018</f>
        <v>0</v>
      </c>
      <c r="E1018" s="915">
        <f>'House Count'!D1018</f>
        <v>0</v>
      </c>
      <c r="F1018" s="915" t="str">
        <f t="shared" si="15"/>
        <v/>
      </c>
      <c r="G1018" s="915">
        <f>'House Count'!F1018</f>
        <v>0</v>
      </c>
      <c r="H1018" s="915">
        <f>'House Count'!H1018</f>
        <v>0</v>
      </c>
    </row>
    <row r="1019" spans="1:8" x14ac:dyDescent="0.25">
      <c r="A1019" s="914">
        <f>'House Count'!A1019</f>
        <v>0</v>
      </c>
      <c r="B1019" s="915">
        <f>'House Count'!E1019</f>
        <v>0</v>
      </c>
      <c r="C1019" s="915">
        <f>'House Count'!B1019</f>
        <v>0</v>
      </c>
      <c r="D1019" s="915">
        <f>'House Count'!C1019</f>
        <v>0</v>
      </c>
      <c r="E1019" s="915">
        <f>'House Count'!D1019</f>
        <v>0</v>
      </c>
      <c r="F1019" s="915" t="str">
        <f t="shared" si="15"/>
        <v/>
      </c>
      <c r="G1019" s="915">
        <f>'House Count'!F1019</f>
        <v>0</v>
      </c>
      <c r="H1019" s="915">
        <f>'House Count'!H1019</f>
        <v>0</v>
      </c>
    </row>
    <row r="1020" spans="1:8" x14ac:dyDescent="0.25">
      <c r="A1020" s="914">
        <f>'House Count'!A1020</f>
        <v>0</v>
      </c>
      <c r="B1020" s="915">
        <f>'House Count'!E1020</f>
        <v>0</v>
      </c>
      <c r="C1020" s="915">
        <f>'House Count'!B1020</f>
        <v>0</v>
      </c>
      <c r="D1020" s="915">
        <f>'House Count'!C1020</f>
        <v>0</v>
      </c>
      <c r="E1020" s="915">
        <f>'House Count'!D1020</f>
        <v>0</v>
      </c>
      <c r="F1020" s="915" t="str">
        <f t="shared" si="15"/>
        <v/>
      </c>
      <c r="G1020" s="915">
        <f>'House Count'!F1020</f>
        <v>0</v>
      </c>
      <c r="H1020" s="915">
        <f>'House Count'!H1020</f>
        <v>0</v>
      </c>
    </row>
    <row r="1021" spans="1:8" x14ac:dyDescent="0.25">
      <c r="A1021" s="914">
        <f>'House Count'!A1021</f>
        <v>0</v>
      </c>
      <c r="B1021" s="915">
        <f>'House Count'!E1021</f>
        <v>0</v>
      </c>
      <c r="C1021" s="915">
        <f>'House Count'!B1021</f>
        <v>0</v>
      </c>
      <c r="D1021" s="915">
        <f>'House Count'!C1021</f>
        <v>0</v>
      </c>
      <c r="E1021" s="915">
        <f>'House Count'!D1021</f>
        <v>0</v>
      </c>
      <c r="F1021" s="915" t="str">
        <f t="shared" si="15"/>
        <v/>
      </c>
      <c r="G1021" s="915">
        <f>'House Count'!F1021</f>
        <v>0</v>
      </c>
      <c r="H1021" s="915">
        <f>'House Count'!H1021</f>
        <v>0</v>
      </c>
    </row>
    <row r="1022" spans="1:8" x14ac:dyDescent="0.25">
      <c r="A1022" s="914">
        <f>'House Count'!A1022</f>
        <v>0</v>
      </c>
      <c r="B1022" s="915">
        <f>'House Count'!E1022</f>
        <v>0</v>
      </c>
      <c r="C1022" s="915">
        <f>'House Count'!B1022</f>
        <v>0</v>
      </c>
      <c r="D1022" s="915">
        <f>'House Count'!C1022</f>
        <v>0</v>
      </c>
      <c r="E1022" s="915">
        <f>'House Count'!D1022</f>
        <v>0</v>
      </c>
      <c r="F1022" s="915" t="str">
        <f t="shared" si="15"/>
        <v/>
      </c>
      <c r="G1022" s="915">
        <f>'House Count'!F1022</f>
        <v>0</v>
      </c>
      <c r="H1022" s="915">
        <f>'House Count'!H1022</f>
        <v>0</v>
      </c>
    </row>
    <row r="1023" spans="1:8" x14ac:dyDescent="0.25">
      <c r="A1023" s="914">
        <f>'House Count'!A1023</f>
        <v>0</v>
      </c>
      <c r="B1023" s="915">
        <f>'House Count'!E1023</f>
        <v>0</v>
      </c>
      <c r="C1023" s="915">
        <f>'House Count'!B1023</f>
        <v>0</v>
      </c>
      <c r="D1023" s="915">
        <f>'House Count'!C1023</f>
        <v>0</v>
      </c>
      <c r="E1023" s="915">
        <f>'House Count'!D1023</f>
        <v>0</v>
      </c>
      <c r="F1023" s="915" t="str">
        <f t="shared" si="15"/>
        <v/>
      </c>
      <c r="G1023" s="915">
        <f>'House Count'!F1023</f>
        <v>0</v>
      </c>
      <c r="H1023" s="915">
        <f>'House Count'!H1023</f>
        <v>0</v>
      </c>
    </row>
    <row r="1024" spans="1:8" x14ac:dyDescent="0.25">
      <c r="A1024" s="914">
        <f>'House Count'!A1024</f>
        <v>0</v>
      </c>
      <c r="B1024" s="915">
        <f>'House Count'!E1024</f>
        <v>0</v>
      </c>
      <c r="C1024" s="915">
        <f>'House Count'!B1024</f>
        <v>0</v>
      </c>
      <c r="D1024" s="915">
        <f>'House Count'!C1024</f>
        <v>0</v>
      </c>
      <c r="E1024" s="915">
        <f>'House Count'!D1024</f>
        <v>0</v>
      </c>
      <c r="F1024" s="915" t="str">
        <f t="shared" si="15"/>
        <v/>
      </c>
      <c r="G1024" s="915">
        <f>'House Count'!F1024</f>
        <v>0</v>
      </c>
      <c r="H1024" s="915">
        <f>'House Count'!H1024</f>
        <v>0</v>
      </c>
    </row>
    <row r="1025" spans="1:8" x14ac:dyDescent="0.25">
      <c r="A1025" s="914">
        <f>'House Count'!A1025</f>
        <v>0</v>
      </c>
      <c r="B1025" s="915">
        <f>'House Count'!E1025</f>
        <v>0</v>
      </c>
      <c r="C1025" s="915">
        <f>'House Count'!B1025</f>
        <v>0</v>
      </c>
      <c r="D1025" s="915">
        <f>'House Count'!C1025</f>
        <v>0</v>
      </c>
      <c r="E1025" s="915">
        <f>'House Count'!D1025</f>
        <v>0</v>
      </c>
      <c r="F1025" s="915" t="str">
        <f t="shared" si="15"/>
        <v/>
      </c>
      <c r="G1025" s="915">
        <f>'House Count'!F1025</f>
        <v>0</v>
      </c>
      <c r="H1025" s="915">
        <f>'House Count'!H1025</f>
        <v>0</v>
      </c>
    </row>
    <row r="1026" spans="1:8" x14ac:dyDescent="0.25">
      <c r="A1026" s="914">
        <f>'House Count'!A1026</f>
        <v>0</v>
      </c>
      <c r="B1026" s="915">
        <f>'House Count'!E1026</f>
        <v>0</v>
      </c>
      <c r="C1026" s="915">
        <f>'House Count'!B1026</f>
        <v>0</v>
      </c>
      <c r="D1026" s="915">
        <f>'House Count'!C1026</f>
        <v>0</v>
      </c>
      <c r="E1026" s="915">
        <f>'House Count'!D1026</f>
        <v>0</v>
      </c>
      <c r="F1026" s="915" t="str">
        <f t="shared" si="15"/>
        <v/>
      </c>
      <c r="G1026" s="915">
        <f>'House Count'!F1026</f>
        <v>0</v>
      </c>
      <c r="H1026" s="915">
        <f>'House Count'!H1026</f>
        <v>0</v>
      </c>
    </row>
    <row r="1027" spans="1:8" x14ac:dyDescent="0.25">
      <c r="A1027" s="914">
        <f>'House Count'!A1027</f>
        <v>0</v>
      </c>
      <c r="B1027" s="915">
        <f>'House Count'!E1027</f>
        <v>0</v>
      </c>
      <c r="C1027" s="915">
        <f>'House Count'!B1027</f>
        <v>0</v>
      </c>
      <c r="D1027" s="915">
        <f>'House Count'!C1027</f>
        <v>0</v>
      </c>
      <c r="E1027" s="915">
        <f>'House Count'!D1027</f>
        <v>0</v>
      </c>
      <c r="F1027" s="915" t="str">
        <f t="shared" ref="F1027:F1090" si="16">IF(G1027="RES-SFU","RESIDENTIAL",IF(G1027="RES-HOA","RESIDENTIAL",IF(G1027="RES-MDU","RESIDENTIAL",IF(G1027="COMM-SU","BUSINESS",IF(G1027="COM-MTU","BUSINESS",IF(G1027="ENT","BUSINESS",""))))))</f>
        <v/>
      </c>
      <c r="G1027" s="915">
        <f>'House Count'!F1027</f>
        <v>0</v>
      </c>
      <c r="H1027" s="915">
        <f>'House Count'!H1027</f>
        <v>0</v>
      </c>
    </row>
    <row r="1028" spans="1:8" x14ac:dyDescent="0.25">
      <c r="A1028" s="914">
        <f>'House Count'!A1028</f>
        <v>0</v>
      </c>
      <c r="B1028" s="915">
        <f>'House Count'!E1028</f>
        <v>0</v>
      </c>
      <c r="C1028" s="915">
        <f>'House Count'!B1028</f>
        <v>0</v>
      </c>
      <c r="D1028" s="915">
        <f>'House Count'!C1028</f>
        <v>0</v>
      </c>
      <c r="E1028" s="915">
        <f>'House Count'!D1028</f>
        <v>0</v>
      </c>
      <c r="F1028" s="915" t="str">
        <f t="shared" si="16"/>
        <v/>
      </c>
      <c r="G1028" s="915">
        <f>'House Count'!F1028</f>
        <v>0</v>
      </c>
      <c r="H1028" s="915">
        <f>'House Count'!H1028</f>
        <v>0</v>
      </c>
    </row>
    <row r="1029" spans="1:8" x14ac:dyDescent="0.25">
      <c r="A1029" s="914">
        <f>'House Count'!A1029</f>
        <v>0</v>
      </c>
      <c r="B1029" s="915">
        <f>'House Count'!E1029</f>
        <v>0</v>
      </c>
      <c r="C1029" s="915">
        <f>'House Count'!B1029</f>
        <v>0</v>
      </c>
      <c r="D1029" s="915">
        <f>'House Count'!C1029</f>
        <v>0</v>
      </c>
      <c r="E1029" s="915">
        <f>'House Count'!D1029</f>
        <v>0</v>
      </c>
      <c r="F1029" s="915" t="str">
        <f t="shared" si="16"/>
        <v/>
      </c>
      <c r="G1029" s="915">
        <f>'House Count'!F1029</f>
        <v>0</v>
      </c>
      <c r="H1029" s="915">
        <f>'House Count'!H1029</f>
        <v>0</v>
      </c>
    </row>
    <row r="1030" spans="1:8" x14ac:dyDescent="0.25">
      <c r="A1030" s="914">
        <f>'House Count'!A1030</f>
        <v>0</v>
      </c>
      <c r="B1030" s="915">
        <f>'House Count'!E1030</f>
        <v>0</v>
      </c>
      <c r="C1030" s="915">
        <f>'House Count'!B1030</f>
        <v>0</v>
      </c>
      <c r="D1030" s="915">
        <f>'House Count'!C1030</f>
        <v>0</v>
      </c>
      <c r="E1030" s="915">
        <f>'House Count'!D1030</f>
        <v>0</v>
      </c>
      <c r="F1030" s="915" t="str">
        <f t="shared" si="16"/>
        <v/>
      </c>
      <c r="G1030" s="915">
        <f>'House Count'!F1030</f>
        <v>0</v>
      </c>
      <c r="H1030" s="915">
        <f>'House Count'!H1030</f>
        <v>0</v>
      </c>
    </row>
    <row r="1031" spans="1:8" x14ac:dyDescent="0.25">
      <c r="A1031" s="914">
        <f>'House Count'!A1031</f>
        <v>0</v>
      </c>
      <c r="B1031" s="915">
        <f>'House Count'!E1031</f>
        <v>0</v>
      </c>
      <c r="C1031" s="915">
        <f>'House Count'!B1031</f>
        <v>0</v>
      </c>
      <c r="D1031" s="915">
        <f>'House Count'!C1031</f>
        <v>0</v>
      </c>
      <c r="E1031" s="915">
        <f>'House Count'!D1031</f>
        <v>0</v>
      </c>
      <c r="F1031" s="915" t="str">
        <f t="shared" si="16"/>
        <v/>
      </c>
      <c r="G1031" s="915">
        <f>'House Count'!F1031</f>
        <v>0</v>
      </c>
      <c r="H1031" s="915">
        <f>'House Count'!H1031</f>
        <v>0</v>
      </c>
    </row>
    <row r="1032" spans="1:8" x14ac:dyDescent="0.25">
      <c r="A1032" s="914">
        <f>'House Count'!A1032</f>
        <v>0</v>
      </c>
      <c r="B1032" s="915">
        <f>'House Count'!E1032</f>
        <v>0</v>
      </c>
      <c r="C1032" s="915">
        <f>'House Count'!B1032</f>
        <v>0</v>
      </c>
      <c r="D1032" s="915">
        <f>'House Count'!C1032</f>
        <v>0</v>
      </c>
      <c r="E1032" s="915">
        <f>'House Count'!D1032</f>
        <v>0</v>
      </c>
      <c r="F1032" s="915" t="str">
        <f t="shared" si="16"/>
        <v/>
      </c>
      <c r="G1032" s="915">
        <f>'House Count'!F1032</f>
        <v>0</v>
      </c>
      <c r="H1032" s="915">
        <f>'House Count'!H1032</f>
        <v>0</v>
      </c>
    </row>
    <row r="1033" spans="1:8" x14ac:dyDescent="0.25">
      <c r="A1033" s="914">
        <f>'House Count'!A1033</f>
        <v>0</v>
      </c>
      <c r="B1033" s="915">
        <f>'House Count'!E1033</f>
        <v>0</v>
      </c>
      <c r="C1033" s="915">
        <f>'House Count'!B1033</f>
        <v>0</v>
      </c>
      <c r="D1033" s="915">
        <f>'House Count'!C1033</f>
        <v>0</v>
      </c>
      <c r="E1033" s="915">
        <f>'House Count'!D1033</f>
        <v>0</v>
      </c>
      <c r="F1033" s="915" t="str">
        <f t="shared" si="16"/>
        <v/>
      </c>
      <c r="G1033" s="915">
        <f>'House Count'!F1033</f>
        <v>0</v>
      </c>
      <c r="H1033" s="915">
        <f>'House Count'!H1033</f>
        <v>0</v>
      </c>
    </row>
    <row r="1034" spans="1:8" x14ac:dyDescent="0.25">
      <c r="A1034" s="914">
        <f>'House Count'!A1034</f>
        <v>0</v>
      </c>
      <c r="B1034" s="915">
        <f>'House Count'!E1034</f>
        <v>0</v>
      </c>
      <c r="C1034" s="915">
        <f>'House Count'!B1034</f>
        <v>0</v>
      </c>
      <c r="D1034" s="915">
        <f>'House Count'!C1034</f>
        <v>0</v>
      </c>
      <c r="E1034" s="915">
        <f>'House Count'!D1034</f>
        <v>0</v>
      </c>
      <c r="F1034" s="915" t="str">
        <f t="shared" si="16"/>
        <v/>
      </c>
      <c r="G1034" s="915">
        <f>'House Count'!F1034</f>
        <v>0</v>
      </c>
      <c r="H1034" s="915">
        <f>'House Count'!H1034</f>
        <v>0</v>
      </c>
    </row>
    <row r="1035" spans="1:8" x14ac:dyDescent="0.25">
      <c r="A1035" s="914">
        <f>'House Count'!A1035</f>
        <v>0</v>
      </c>
      <c r="B1035" s="915">
        <f>'House Count'!E1035</f>
        <v>0</v>
      </c>
      <c r="C1035" s="915">
        <f>'House Count'!B1035</f>
        <v>0</v>
      </c>
      <c r="D1035" s="915">
        <f>'House Count'!C1035</f>
        <v>0</v>
      </c>
      <c r="E1035" s="915">
        <f>'House Count'!D1035</f>
        <v>0</v>
      </c>
      <c r="F1035" s="915" t="str">
        <f t="shared" si="16"/>
        <v/>
      </c>
      <c r="G1035" s="915">
        <f>'House Count'!F1035</f>
        <v>0</v>
      </c>
      <c r="H1035" s="915">
        <f>'House Count'!H1035</f>
        <v>0</v>
      </c>
    </row>
    <row r="1036" spans="1:8" x14ac:dyDescent="0.25">
      <c r="A1036" s="914">
        <f>'House Count'!A1036</f>
        <v>0</v>
      </c>
      <c r="B1036" s="915">
        <f>'House Count'!E1036</f>
        <v>0</v>
      </c>
      <c r="C1036" s="915">
        <f>'House Count'!B1036</f>
        <v>0</v>
      </c>
      <c r="D1036" s="915">
        <f>'House Count'!C1036</f>
        <v>0</v>
      </c>
      <c r="E1036" s="915">
        <f>'House Count'!D1036</f>
        <v>0</v>
      </c>
      <c r="F1036" s="915" t="str">
        <f t="shared" si="16"/>
        <v/>
      </c>
      <c r="G1036" s="915">
        <f>'House Count'!F1036</f>
        <v>0</v>
      </c>
      <c r="H1036" s="915">
        <f>'House Count'!H1036</f>
        <v>0</v>
      </c>
    </row>
    <row r="1037" spans="1:8" x14ac:dyDescent="0.25">
      <c r="A1037" s="914">
        <f>'House Count'!A1037</f>
        <v>0</v>
      </c>
      <c r="B1037" s="915">
        <f>'House Count'!E1037</f>
        <v>0</v>
      </c>
      <c r="C1037" s="915">
        <f>'House Count'!B1037</f>
        <v>0</v>
      </c>
      <c r="D1037" s="915">
        <f>'House Count'!C1037</f>
        <v>0</v>
      </c>
      <c r="E1037" s="915">
        <f>'House Count'!D1037</f>
        <v>0</v>
      </c>
      <c r="F1037" s="915" t="str">
        <f t="shared" si="16"/>
        <v/>
      </c>
      <c r="G1037" s="915">
        <f>'House Count'!F1037</f>
        <v>0</v>
      </c>
      <c r="H1037" s="915">
        <f>'House Count'!H1037</f>
        <v>0</v>
      </c>
    </row>
    <row r="1038" spans="1:8" x14ac:dyDescent="0.25">
      <c r="A1038" s="914">
        <f>'House Count'!A1038</f>
        <v>0</v>
      </c>
      <c r="B1038" s="915">
        <f>'House Count'!E1038</f>
        <v>0</v>
      </c>
      <c r="C1038" s="915">
        <f>'House Count'!B1038</f>
        <v>0</v>
      </c>
      <c r="D1038" s="915">
        <f>'House Count'!C1038</f>
        <v>0</v>
      </c>
      <c r="E1038" s="915">
        <f>'House Count'!D1038</f>
        <v>0</v>
      </c>
      <c r="F1038" s="915" t="str">
        <f t="shared" si="16"/>
        <v/>
      </c>
      <c r="G1038" s="915">
        <f>'House Count'!F1038</f>
        <v>0</v>
      </c>
      <c r="H1038" s="915">
        <f>'House Count'!H1038</f>
        <v>0</v>
      </c>
    </row>
    <row r="1039" spans="1:8" x14ac:dyDescent="0.25">
      <c r="A1039" s="914">
        <f>'House Count'!A1039</f>
        <v>0</v>
      </c>
      <c r="B1039" s="915">
        <f>'House Count'!E1039</f>
        <v>0</v>
      </c>
      <c r="C1039" s="915">
        <f>'House Count'!B1039</f>
        <v>0</v>
      </c>
      <c r="D1039" s="915">
        <f>'House Count'!C1039</f>
        <v>0</v>
      </c>
      <c r="E1039" s="915">
        <f>'House Count'!D1039</f>
        <v>0</v>
      </c>
      <c r="F1039" s="915" t="str">
        <f t="shared" si="16"/>
        <v/>
      </c>
      <c r="G1039" s="915">
        <f>'House Count'!F1039</f>
        <v>0</v>
      </c>
      <c r="H1039" s="915">
        <f>'House Count'!H1039</f>
        <v>0</v>
      </c>
    </row>
    <row r="1040" spans="1:8" x14ac:dyDescent="0.25">
      <c r="A1040" s="914">
        <f>'House Count'!A1040</f>
        <v>0</v>
      </c>
      <c r="B1040" s="915">
        <f>'House Count'!E1040</f>
        <v>0</v>
      </c>
      <c r="C1040" s="915">
        <f>'House Count'!B1040</f>
        <v>0</v>
      </c>
      <c r="D1040" s="915">
        <f>'House Count'!C1040</f>
        <v>0</v>
      </c>
      <c r="E1040" s="915">
        <f>'House Count'!D1040</f>
        <v>0</v>
      </c>
      <c r="F1040" s="915" t="str">
        <f t="shared" si="16"/>
        <v/>
      </c>
      <c r="G1040" s="915">
        <f>'House Count'!F1040</f>
        <v>0</v>
      </c>
      <c r="H1040" s="915">
        <f>'House Count'!H1040</f>
        <v>0</v>
      </c>
    </row>
    <row r="1041" spans="1:8" x14ac:dyDescent="0.25">
      <c r="A1041" s="914">
        <f>'House Count'!A1041</f>
        <v>0</v>
      </c>
      <c r="B1041" s="915">
        <f>'House Count'!E1041</f>
        <v>0</v>
      </c>
      <c r="C1041" s="915">
        <f>'House Count'!B1041</f>
        <v>0</v>
      </c>
      <c r="D1041" s="915">
        <f>'House Count'!C1041</f>
        <v>0</v>
      </c>
      <c r="E1041" s="915">
        <f>'House Count'!D1041</f>
        <v>0</v>
      </c>
      <c r="F1041" s="915" t="str">
        <f t="shared" si="16"/>
        <v/>
      </c>
      <c r="G1041" s="915">
        <f>'House Count'!F1041</f>
        <v>0</v>
      </c>
      <c r="H1041" s="915">
        <f>'House Count'!H1041</f>
        <v>0</v>
      </c>
    </row>
    <row r="1042" spans="1:8" x14ac:dyDescent="0.25">
      <c r="A1042" s="914">
        <f>'House Count'!A1042</f>
        <v>0</v>
      </c>
      <c r="B1042" s="915">
        <f>'House Count'!E1042</f>
        <v>0</v>
      </c>
      <c r="C1042" s="915">
        <f>'House Count'!B1042</f>
        <v>0</v>
      </c>
      <c r="D1042" s="915">
        <f>'House Count'!C1042</f>
        <v>0</v>
      </c>
      <c r="E1042" s="915">
        <f>'House Count'!D1042</f>
        <v>0</v>
      </c>
      <c r="F1042" s="915" t="str">
        <f t="shared" si="16"/>
        <v/>
      </c>
      <c r="G1042" s="915">
        <f>'House Count'!F1042</f>
        <v>0</v>
      </c>
      <c r="H1042" s="915">
        <f>'House Count'!H1042</f>
        <v>0</v>
      </c>
    </row>
    <row r="1043" spans="1:8" x14ac:dyDescent="0.25">
      <c r="A1043" s="914">
        <f>'House Count'!A1043</f>
        <v>0</v>
      </c>
      <c r="B1043" s="915">
        <f>'House Count'!E1043</f>
        <v>0</v>
      </c>
      <c r="C1043" s="915">
        <f>'House Count'!B1043</f>
        <v>0</v>
      </c>
      <c r="D1043" s="915">
        <f>'House Count'!C1043</f>
        <v>0</v>
      </c>
      <c r="E1043" s="915">
        <f>'House Count'!D1043</f>
        <v>0</v>
      </c>
      <c r="F1043" s="915" t="str">
        <f t="shared" si="16"/>
        <v/>
      </c>
      <c r="G1043" s="915">
        <f>'House Count'!F1043</f>
        <v>0</v>
      </c>
      <c r="H1043" s="915">
        <f>'House Count'!H1043</f>
        <v>0</v>
      </c>
    </row>
    <row r="1044" spans="1:8" x14ac:dyDescent="0.25">
      <c r="A1044" s="914">
        <f>'House Count'!A1044</f>
        <v>0</v>
      </c>
      <c r="B1044" s="915">
        <f>'House Count'!E1044</f>
        <v>0</v>
      </c>
      <c r="C1044" s="915">
        <f>'House Count'!B1044</f>
        <v>0</v>
      </c>
      <c r="D1044" s="915">
        <f>'House Count'!C1044</f>
        <v>0</v>
      </c>
      <c r="E1044" s="915">
        <f>'House Count'!D1044</f>
        <v>0</v>
      </c>
      <c r="F1044" s="915" t="str">
        <f t="shared" si="16"/>
        <v/>
      </c>
      <c r="G1044" s="915">
        <f>'House Count'!F1044</f>
        <v>0</v>
      </c>
      <c r="H1044" s="915">
        <f>'House Count'!H1044</f>
        <v>0</v>
      </c>
    </row>
    <row r="1045" spans="1:8" x14ac:dyDescent="0.25">
      <c r="A1045" s="914">
        <f>'House Count'!A1045</f>
        <v>0</v>
      </c>
      <c r="B1045" s="915">
        <f>'House Count'!E1045</f>
        <v>0</v>
      </c>
      <c r="C1045" s="915">
        <f>'House Count'!B1045</f>
        <v>0</v>
      </c>
      <c r="D1045" s="915">
        <f>'House Count'!C1045</f>
        <v>0</v>
      </c>
      <c r="E1045" s="915">
        <f>'House Count'!D1045</f>
        <v>0</v>
      </c>
      <c r="F1045" s="915" t="str">
        <f t="shared" si="16"/>
        <v/>
      </c>
      <c r="G1045" s="915">
        <f>'House Count'!F1045</f>
        <v>0</v>
      </c>
      <c r="H1045" s="915">
        <f>'House Count'!H1045</f>
        <v>0</v>
      </c>
    </row>
    <row r="1046" spans="1:8" x14ac:dyDescent="0.25">
      <c r="A1046" s="914">
        <f>'House Count'!A1046</f>
        <v>0</v>
      </c>
      <c r="B1046" s="915">
        <f>'House Count'!E1046</f>
        <v>0</v>
      </c>
      <c r="C1046" s="915">
        <f>'House Count'!B1046</f>
        <v>0</v>
      </c>
      <c r="D1046" s="915">
        <f>'House Count'!C1046</f>
        <v>0</v>
      </c>
      <c r="E1046" s="915">
        <f>'House Count'!D1046</f>
        <v>0</v>
      </c>
      <c r="F1046" s="915" t="str">
        <f t="shared" si="16"/>
        <v/>
      </c>
      <c r="G1046" s="915">
        <f>'House Count'!F1046</f>
        <v>0</v>
      </c>
      <c r="H1046" s="915">
        <f>'House Count'!H1046</f>
        <v>0</v>
      </c>
    </row>
    <row r="1047" spans="1:8" x14ac:dyDescent="0.25">
      <c r="A1047" s="914">
        <f>'House Count'!A1047</f>
        <v>0</v>
      </c>
      <c r="B1047" s="915">
        <f>'House Count'!E1047</f>
        <v>0</v>
      </c>
      <c r="C1047" s="915">
        <f>'House Count'!B1047</f>
        <v>0</v>
      </c>
      <c r="D1047" s="915">
        <f>'House Count'!C1047</f>
        <v>0</v>
      </c>
      <c r="E1047" s="915">
        <f>'House Count'!D1047</f>
        <v>0</v>
      </c>
      <c r="F1047" s="915" t="str">
        <f t="shared" si="16"/>
        <v/>
      </c>
      <c r="G1047" s="915">
        <f>'House Count'!F1047</f>
        <v>0</v>
      </c>
      <c r="H1047" s="915">
        <f>'House Count'!H1047</f>
        <v>0</v>
      </c>
    </row>
    <row r="1048" spans="1:8" x14ac:dyDescent="0.25">
      <c r="A1048" s="914">
        <f>'House Count'!A1048</f>
        <v>0</v>
      </c>
      <c r="B1048" s="915">
        <f>'House Count'!E1048</f>
        <v>0</v>
      </c>
      <c r="C1048" s="915">
        <f>'House Count'!B1048</f>
        <v>0</v>
      </c>
      <c r="D1048" s="915">
        <f>'House Count'!C1048</f>
        <v>0</v>
      </c>
      <c r="E1048" s="915">
        <f>'House Count'!D1048</f>
        <v>0</v>
      </c>
      <c r="F1048" s="915" t="str">
        <f t="shared" si="16"/>
        <v/>
      </c>
      <c r="G1048" s="915">
        <f>'House Count'!F1048</f>
        <v>0</v>
      </c>
      <c r="H1048" s="915">
        <f>'House Count'!H1048</f>
        <v>0</v>
      </c>
    </row>
    <row r="1049" spans="1:8" x14ac:dyDescent="0.25">
      <c r="A1049" s="914">
        <f>'House Count'!A1049</f>
        <v>0</v>
      </c>
      <c r="B1049" s="915">
        <f>'House Count'!E1049</f>
        <v>0</v>
      </c>
      <c r="C1049" s="915">
        <f>'House Count'!B1049</f>
        <v>0</v>
      </c>
      <c r="D1049" s="915">
        <f>'House Count'!C1049</f>
        <v>0</v>
      </c>
      <c r="E1049" s="915">
        <f>'House Count'!D1049</f>
        <v>0</v>
      </c>
      <c r="F1049" s="915" t="str">
        <f t="shared" si="16"/>
        <v/>
      </c>
      <c r="G1049" s="915">
        <f>'House Count'!F1049</f>
        <v>0</v>
      </c>
      <c r="H1049" s="915">
        <f>'House Count'!H1049</f>
        <v>0</v>
      </c>
    </row>
    <row r="1050" spans="1:8" x14ac:dyDescent="0.25">
      <c r="A1050" s="914">
        <f>'House Count'!A1050</f>
        <v>0</v>
      </c>
      <c r="B1050" s="915">
        <f>'House Count'!E1050</f>
        <v>0</v>
      </c>
      <c r="C1050" s="915">
        <f>'House Count'!B1050</f>
        <v>0</v>
      </c>
      <c r="D1050" s="915">
        <f>'House Count'!C1050</f>
        <v>0</v>
      </c>
      <c r="E1050" s="915">
        <f>'House Count'!D1050</f>
        <v>0</v>
      </c>
      <c r="F1050" s="915" t="str">
        <f t="shared" si="16"/>
        <v/>
      </c>
      <c r="G1050" s="915">
        <f>'House Count'!F1050</f>
        <v>0</v>
      </c>
      <c r="H1050" s="915">
        <f>'House Count'!H1050</f>
        <v>0</v>
      </c>
    </row>
    <row r="1051" spans="1:8" x14ac:dyDescent="0.25">
      <c r="A1051" s="914">
        <f>'House Count'!A1051</f>
        <v>0</v>
      </c>
      <c r="B1051" s="915">
        <f>'House Count'!E1051</f>
        <v>0</v>
      </c>
      <c r="C1051" s="915">
        <f>'House Count'!B1051</f>
        <v>0</v>
      </c>
      <c r="D1051" s="915">
        <f>'House Count'!C1051</f>
        <v>0</v>
      </c>
      <c r="E1051" s="915">
        <f>'House Count'!D1051</f>
        <v>0</v>
      </c>
      <c r="F1051" s="915" t="str">
        <f t="shared" si="16"/>
        <v/>
      </c>
      <c r="G1051" s="915">
        <f>'House Count'!F1051</f>
        <v>0</v>
      </c>
      <c r="H1051" s="915">
        <f>'House Count'!H1051</f>
        <v>0</v>
      </c>
    </row>
    <row r="1052" spans="1:8" x14ac:dyDescent="0.25">
      <c r="A1052" s="914">
        <f>'House Count'!A1052</f>
        <v>0</v>
      </c>
      <c r="B1052" s="915">
        <f>'House Count'!E1052</f>
        <v>0</v>
      </c>
      <c r="C1052" s="915">
        <f>'House Count'!B1052</f>
        <v>0</v>
      </c>
      <c r="D1052" s="915">
        <f>'House Count'!C1052</f>
        <v>0</v>
      </c>
      <c r="E1052" s="915">
        <f>'House Count'!D1052</f>
        <v>0</v>
      </c>
      <c r="F1052" s="915" t="str">
        <f t="shared" si="16"/>
        <v/>
      </c>
      <c r="G1052" s="915">
        <f>'House Count'!F1052</f>
        <v>0</v>
      </c>
      <c r="H1052" s="915">
        <f>'House Count'!H1052</f>
        <v>0</v>
      </c>
    </row>
    <row r="1053" spans="1:8" x14ac:dyDescent="0.25">
      <c r="A1053" s="914">
        <f>'House Count'!A1053</f>
        <v>0</v>
      </c>
      <c r="B1053" s="915">
        <f>'House Count'!E1053</f>
        <v>0</v>
      </c>
      <c r="C1053" s="915">
        <f>'House Count'!B1053</f>
        <v>0</v>
      </c>
      <c r="D1053" s="915">
        <f>'House Count'!C1053</f>
        <v>0</v>
      </c>
      <c r="E1053" s="915">
        <f>'House Count'!D1053</f>
        <v>0</v>
      </c>
      <c r="F1053" s="915" t="str">
        <f t="shared" si="16"/>
        <v/>
      </c>
      <c r="G1053" s="915">
        <f>'House Count'!F1053</f>
        <v>0</v>
      </c>
      <c r="H1053" s="915">
        <f>'House Count'!H1053</f>
        <v>0</v>
      </c>
    </row>
    <row r="1054" spans="1:8" x14ac:dyDescent="0.25">
      <c r="A1054" s="914">
        <f>'House Count'!A1054</f>
        <v>0</v>
      </c>
      <c r="B1054" s="915">
        <f>'House Count'!E1054</f>
        <v>0</v>
      </c>
      <c r="C1054" s="915">
        <f>'House Count'!B1054</f>
        <v>0</v>
      </c>
      <c r="D1054" s="915">
        <f>'House Count'!C1054</f>
        <v>0</v>
      </c>
      <c r="E1054" s="915">
        <f>'House Count'!D1054</f>
        <v>0</v>
      </c>
      <c r="F1054" s="915" t="str">
        <f t="shared" si="16"/>
        <v/>
      </c>
      <c r="G1054" s="915">
        <f>'House Count'!F1054</f>
        <v>0</v>
      </c>
      <c r="H1054" s="915">
        <f>'House Count'!H1054</f>
        <v>0</v>
      </c>
    </row>
    <row r="1055" spans="1:8" x14ac:dyDescent="0.25">
      <c r="A1055" s="914">
        <f>'House Count'!A1055</f>
        <v>0</v>
      </c>
      <c r="B1055" s="915">
        <f>'House Count'!E1055</f>
        <v>0</v>
      </c>
      <c r="C1055" s="915">
        <f>'House Count'!B1055</f>
        <v>0</v>
      </c>
      <c r="D1055" s="915">
        <f>'House Count'!C1055</f>
        <v>0</v>
      </c>
      <c r="E1055" s="915">
        <f>'House Count'!D1055</f>
        <v>0</v>
      </c>
      <c r="F1055" s="915" t="str">
        <f t="shared" si="16"/>
        <v/>
      </c>
      <c r="G1055" s="915">
        <f>'House Count'!F1055</f>
        <v>0</v>
      </c>
      <c r="H1055" s="915">
        <f>'House Count'!H1055</f>
        <v>0</v>
      </c>
    </row>
    <row r="1056" spans="1:8" x14ac:dyDescent="0.25">
      <c r="A1056" s="914">
        <f>'House Count'!A1056</f>
        <v>0</v>
      </c>
      <c r="B1056" s="915">
        <f>'House Count'!E1056</f>
        <v>0</v>
      </c>
      <c r="C1056" s="915">
        <f>'House Count'!B1056</f>
        <v>0</v>
      </c>
      <c r="D1056" s="915">
        <f>'House Count'!C1056</f>
        <v>0</v>
      </c>
      <c r="E1056" s="915">
        <f>'House Count'!D1056</f>
        <v>0</v>
      </c>
      <c r="F1056" s="915" t="str">
        <f t="shared" si="16"/>
        <v/>
      </c>
      <c r="G1056" s="915">
        <f>'House Count'!F1056</f>
        <v>0</v>
      </c>
      <c r="H1056" s="915">
        <f>'House Count'!H1056</f>
        <v>0</v>
      </c>
    </row>
    <row r="1057" spans="1:8" x14ac:dyDescent="0.25">
      <c r="A1057" s="914">
        <f>'House Count'!A1057</f>
        <v>0</v>
      </c>
      <c r="B1057" s="915">
        <f>'House Count'!E1057</f>
        <v>0</v>
      </c>
      <c r="C1057" s="915">
        <f>'House Count'!B1057</f>
        <v>0</v>
      </c>
      <c r="D1057" s="915">
        <f>'House Count'!C1057</f>
        <v>0</v>
      </c>
      <c r="E1057" s="915">
        <f>'House Count'!D1057</f>
        <v>0</v>
      </c>
      <c r="F1057" s="915" t="str">
        <f t="shared" si="16"/>
        <v/>
      </c>
      <c r="G1057" s="915">
        <f>'House Count'!F1057</f>
        <v>0</v>
      </c>
      <c r="H1057" s="915">
        <f>'House Count'!H1057</f>
        <v>0</v>
      </c>
    </row>
    <row r="1058" spans="1:8" x14ac:dyDescent="0.25">
      <c r="A1058" s="914">
        <f>'House Count'!A1058</f>
        <v>0</v>
      </c>
      <c r="B1058" s="915">
        <f>'House Count'!E1058</f>
        <v>0</v>
      </c>
      <c r="C1058" s="915">
        <f>'House Count'!B1058</f>
        <v>0</v>
      </c>
      <c r="D1058" s="915">
        <f>'House Count'!C1058</f>
        <v>0</v>
      </c>
      <c r="E1058" s="915">
        <f>'House Count'!D1058</f>
        <v>0</v>
      </c>
      <c r="F1058" s="915" t="str">
        <f t="shared" si="16"/>
        <v/>
      </c>
      <c r="G1058" s="915">
        <f>'House Count'!F1058</f>
        <v>0</v>
      </c>
      <c r="H1058" s="915">
        <f>'House Count'!H1058</f>
        <v>0</v>
      </c>
    </row>
    <row r="1059" spans="1:8" x14ac:dyDescent="0.25">
      <c r="A1059" s="914">
        <f>'House Count'!A1059</f>
        <v>0</v>
      </c>
      <c r="B1059" s="915">
        <f>'House Count'!E1059</f>
        <v>0</v>
      </c>
      <c r="C1059" s="915">
        <f>'House Count'!B1059</f>
        <v>0</v>
      </c>
      <c r="D1059" s="915">
        <f>'House Count'!C1059</f>
        <v>0</v>
      </c>
      <c r="E1059" s="915">
        <f>'House Count'!D1059</f>
        <v>0</v>
      </c>
      <c r="F1059" s="915" t="str">
        <f t="shared" si="16"/>
        <v/>
      </c>
      <c r="G1059" s="915">
        <f>'House Count'!F1059</f>
        <v>0</v>
      </c>
      <c r="H1059" s="915">
        <f>'House Count'!H1059</f>
        <v>0</v>
      </c>
    </row>
    <row r="1060" spans="1:8" x14ac:dyDescent="0.25">
      <c r="A1060" s="914">
        <f>'House Count'!A1060</f>
        <v>0</v>
      </c>
      <c r="B1060" s="915">
        <f>'House Count'!E1060</f>
        <v>0</v>
      </c>
      <c r="C1060" s="915">
        <f>'House Count'!B1060</f>
        <v>0</v>
      </c>
      <c r="D1060" s="915">
        <f>'House Count'!C1060</f>
        <v>0</v>
      </c>
      <c r="E1060" s="915">
        <f>'House Count'!D1060</f>
        <v>0</v>
      </c>
      <c r="F1060" s="915" t="str">
        <f t="shared" si="16"/>
        <v/>
      </c>
      <c r="G1060" s="915">
        <f>'House Count'!F1060</f>
        <v>0</v>
      </c>
      <c r="H1060" s="915">
        <f>'House Count'!H1060</f>
        <v>0</v>
      </c>
    </row>
    <row r="1061" spans="1:8" x14ac:dyDescent="0.25">
      <c r="A1061" s="914">
        <f>'House Count'!A1061</f>
        <v>0</v>
      </c>
      <c r="B1061" s="915">
        <f>'House Count'!E1061</f>
        <v>0</v>
      </c>
      <c r="C1061" s="915">
        <f>'House Count'!B1061</f>
        <v>0</v>
      </c>
      <c r="D1061" s="915">
        <f>'House Count'!C1061</f>
        <v>0</v>
      </c>
      <c r="E1061" s="915">
        <f>'House Count'!D1061</f>
        <v>0</v>
      </c>
      <c r="F1061" s="915" t="str">
        <f t="shared" si="16"/>
        <v/>
      </c>
      <c r="G1061" s="915">
        <f>'House Count'!F1061</f>
        <v>0</v>
      </c>
      <c r="H1061" s="915">
        <f>'House Count'!H1061</f>
        <v>0</v>
      </c>
    </row>
    <row r="1062" spans="1:8" x14ac:dyDescent="0.25">
      <c r="A1062" s="914">
        <f>'House Count'!A1062</f>
        <v>0</v>
      </c>
      <c r="B1062" s="915">
        <f>'House Count'!E1062</f>
        <v>0</v>
      </c>
      <c r="C1062" s="915">
        <f>'House Count'!B1062</f>
        <v>0</v>
      </c>
      <c r="D1062" s="915">
        <f>'House Count'!C1062</f>
        <v>0</v>
      </c>
      <c r="E1062" s="915">
        <f>'House Count'!D1062</f>
        <v>0</v>
      </c>
      <c r="F1062" s="915" t="str">
        <f t="shared" si="16"/>
        <v/>
      </c>
      <c r="G1062" s="915">
        <f>'House Count'!F1062</f>
        <v>0</v>
      </c>
      <c r="H1062" s="915">
        <f>'House Count'!H1062</f>
        <v>0</v>
      </c>
    </row>
    <row r="1063" spans="1:8" x14ac:dyDescent="0.25">
      <c r="A1063" s="914">
        <f>'House Count'!A1063</f>
        <v>0</v>
      </c>
      <c r="B1063" s="915">
        <f>'House Count'!E1063</f>
        <v>0</v>
      </c>
      <c r="C1063" s="915">
        <f>'House Count'!B1063</f>
        <v>0</v>
      </c>
      <c r="D1063" s="915">
        <f>'House Count'!C1063</f>
        <v>0</v>
      </c>
      <c r="E1063" s="915">
        <f>'House Count'!D1063</f>
        <v>0</v>
      </c>
      <c r="F1063" s="915" t="str">
        <f t="shared" si="16"/>
        <v/>
      </c>
      <c r="G1063" s="915">
        <f>'House Count'!F1063</f>
        <v>0</v>
      </c>
      <c r="H1063" s="915">
        <f>'House Count'!H1063</f>
        <v>0</v>
      </c>
    </row>
    <row r="1064" spans="1:8" x14ac:dyDescent="0.25">
      <c r="A1064" s="914">
        <f>'House Count'!A1064</f>
        <v>0</v>
      </c>
      <c r="B1064" s="915">
        <f>'House Count'!E1064</f>
        <v>0</v>
      </c>
      <c r="C1064" s="915">
        <f>'House Count'!B1064</f>
        <v>0</v>
      </c>
      <c r="D1064" s="915">
        <f>'House Count'!C1064</f>
        <v>0</v>
      </c>
      <c r="E1064" s="915">
        <f>'House Count'!D1064</f>
        <v>0</v>
      </c>
      <c r="F1064" s="915" t="str">
        <f t="shared" si="16"/>
        <v/>
      </c>
      <c r="G1064" s="915">
        <f>'House Count'!F1064</f>
        <v>0</v>
      </c>
      <c r="H1064" s="915">
        <f>'House Count'!H1064</f>
        <v>0</v>
      </c>
    </row>
    <row r="1065" spans="1:8" x14ac:dyDescent="0.25">
      <c r="A1065" s="914">
        <f>'House Count'!A1065</f>
        <v>0</v>
      </c>
      <c r="B1065" s="915">
        <f>'House Count'!E1065</f>
        <v>0</v>
      </c>
      <c r="C1065" s="915">
        <f>'House Count'!B1065</f>
        <v>0</v>
      </c>
      <c r="D1065" s="915">
        <f>'House Count'!C1065</f>
        <v>0</v>
      </c>
      <c r="E1065" s="915">
        <f>'House Count'!D1065</f>
        <v>0</v>
      </c>
      <c r="F1065" s="915" t="str">
        <f t="shared" si="16"/>
        <v/>
      </c>
      <c r="G1065" s="915">
        <f>'House Count'!F1065</f>
        <v>0</v>
      </c>
      <c r="H1065" s="915">
        <f>'House Count'!H1065</f>
        <v>0</v>
      </c>
    </row>
    <row r="1066" spans="1:8" x14ac:dyDescent="0.25">
      <c r="A1066" s="914">
        <f>'House Count'!A1066</f>
        <v>0</v>
      </c>
      <c r="B1066" s="915">
        <f>'House Count'!E1066</f>
        <v>0</v>
      </c>
      <c r="C1066" s="915">
        <f>'House Count'!B1066</f>
        <v>0</v>
      </c>
      <c r="D1066" s="915">
        <f>'House Count'!C1066</f>
        <v>0</v>
      </c>
      <c r="E1066" s="915">
        <f>'House Count'!D1066</f>
        <v>0</v>
      </c>
      <c r="F1066" s="915" t="str">
        <f t="shared" si="16"/>
        <v/>
      </c>
      <c r="G1066" s="915">
        <f>'House Count'!F1066</f>
        <v>0</v>
      </c>
      <c r="H1066" s="915">
        <f>'House Count'!H1066</f>
        <v>0</v>
      </c>
    </row>
    <row r="1067" spans="1:8" x14ac:dyDescent="0.25">
      <c r="A1067" s="914">
        <f>'House Count'!A1067</f>
        <v>0</v>
      </c>
      <c r="B1067" s="915">
        <f>'House Count'!E1067</f>
        <v>0</v>
      </c>
      <c r="C1067" s="915">
        <f>'House Count'!B1067</f>
        <v>0</v>
      </c>
      <c r="D1067" s="915">
        <f>'House Count'!C1067</f>
        <v>0</v>
      </c>
      <c r="E1067" s="915">
        <f>'House Count'!D1067</f>
        <v>0</v>
      </c>
      <c r="F1067" s="915" t="str">
        <f t="shared" si="16"/>
        <v/>
      </c>
      <c r="G1067" s="915">
        <f>'House Count'!F1067</f>
        <v>0</v>
      </c>
      <c r="H1067" s="915">
        <f>'House Count'!H1067</f>
        <v>0</v>
      </c>
    </row>
    <row r="1068" spans="1:8" x14ac:dyDescent="0.25">
      <c r="A1068" s="914">
        <f>'House Count'!A1068</f>
        <v>0</v>
      </c>
      <c r="B1068" s="915">
        <f>'House Count'!E1068</f>
        <v>0</v>
      </c>
      <c r="C1068" s="915">
        <f>'House Count'!B1068</f>
        <v>0</v>
      </c>
      <c r="D1068" s="915">
        <f>'House Count'!C1068</f>
        <v>0</v>
      </c>
      <c r="E1068" s="915">
        <f>'House Count'!D1068</f>
        <v>0</v>
      </c>
      <c r="F1068" s="915" t="str">
        <f t="shared" si="16"/>
        <v/>
      </c>
      <c r="G1068" s="915">
        <f>'House Count'!F1068</f>
        <v>0</v>
      </c>
      <c r="H1068" s="915">
        <f>'House Count'!H1068</f>
        <v>0</v>
      </c>
    </row>
    <row r="1069" spans="1:8" x14ac:dyDescent="0.25">
      <c r="A1069" s="914">
        <f>'House Count'!A1069</f>
        <v>0</v>
      </c>
      <c r="B1069" s="915">
        <f>'House Count'!E1069</f>
        <v>0</v>
      </c>
      <c r="C1069" s="915">
        <f>'House Count'!B1069</f>
        <v>0</v>
      </c>
      <c r="D1069" s="915">
        <f>'House Count'!C1069</f>
        <v>0</v>
      </c>
      <c r="E1069" s="915">
        <f>'House Count'!D1069</f>
        <v>0</v>
      </c>
      <c r="F1069" s="915" t="str">
        <f t="shared" si="16"/>
        <v/>
      </c>
      <c r="G1069" s="915">
        <f>'House Count'!F1069</f>
        <v>0</v>
      </c>
      <c r="H1069" s="915">
        <f>'House Count'!H1069</f>
        <v>0</v>
      </c>
    </row>
    <row r="1070" spans="1:8" x14ac:dyDescent="0.25">
      <c r="A1070" s="914">
        <f>'House Count'!A1070</f>
        <v>0</v>
      </c>
      <c r="B1070" s="915">
        <f>'House Count'!E1070</f>
        <v>0</v>
      </c>
      <c r="C1070" s="915">
        <f>'House Count'!B1070</f>
        <v>0</v>
      </c>
      <c r="D1070" s="915">
        <f>'House Count'!C1070</f>
        <v>0</v>
      </c>
      <c r="E1070" s="915">
        <f>'House Count'!D1070</f>
        <v>0</v>
      </c>
      <c r="F1070" s="915" t="str">
        <f t="shared" si="16"/>
        <v/>
      </c>
      <c r="G1070" s="915">
        <f>'House Count'!F1070</f>
        <v>0</v>
      </c>
      <c r="H1070" s="915">
        <f>'House Count'!H1070</f>
        <v>0</v>
      </c>
    </row>
    <row r="1071" spans="1:8" x14ac:dyDescent="0.25">
      <c r="A1071" s="914">
        <f>'House Count'!A1071</f>
        <v>0</v>
      </c>
      <c r="B1071" s="915">
        <f>'House Count'!E1071</f>
        <v>0</v>
      </c>
      <c r="C1071" s="915">
        <f>'House Count'!B1071</f>
        <v>0</v>
      </c>
      <c r="D1071" s="915">
        <f>'House Count'!C1071</f>
        <v>0</v>
      </c>
      <c r="E1071" s="915">
        <f>'House Count'!D1071</f>
        <v>0</v>
      </c>
      <c r="F1071" s="915" t="str">
        <f t="shared" si="16"/>
        <v/>
      </c>
      <c r="G1071" s="915">
        <f>'House Count'!F1071</f>
        <v>0</v>
      </c>
      <c r="H1071" s="915">
        <f>'House Count'!H1071</f>
        <v>0</v>
      </c>
    </row>
    <row r="1072" spans="1:8" x14ac:dyDescent="0.25">
      <c r="A1072" s="914">
        <f>'House Count'!A1072</f>
        <v>0</v>
      </c>
      <c r="B1072" s="915">
        <f>'House Count'!E1072</f>
        <v>0</v>
      </c>
      <c r="C1072" s="915">
        <f>'House Count'!B1072</f>
        <v>0</v>
      </c>
      <c r="D1072" s="915">
        <f>'House Count'!C1072</f>
        <v>0</v>
      </c>
      <c r="E1072" s="915">
        <f>'House Count'!D1072</f>
        <v>0</v>
      </c>
      <c r="F1072" s="915" t="str">
        <f t="shared" si="16"/>
        <v/>
      </c>
      <c r="G1072" s="915">
        <f>'House Count'!F1072</f>
        <v>0</v>
      </c>
      <c r="H1072" s="915">
        <f>'House Count'!H1072</f>
        <v>0</v>
      </c>
    </row>
    <row r="1073" spans="1:8" x14ac:dyDescent="0.25">
      <c r="A1073" s="914">
        <f>'House Count'!A1073</f>
        <v>0</v>
      </c>
      <c r="B1073" s="915">
        <f>'House Count'!E1073</f>
        <v>0</v>
      </c>
      <c r="C1073" s="915">
        <f>'House Count'!B1073</f>
        <v>0</v>
      </c>
      <c r="D1073" s="915">
        <f>'House Count'!C1073</f>
        <v>0</v>
      </c>
      <c r="E1073" s="915">
        <f>'House Count'!D1073</f>
        <v>0</v>
      </c>
      <c r="F1073" s="915" t="str">
        <f t="shared" si="16"/>
        <v/>
      </c>
      <c r="G1073" s="915">
        <f>'House Count'!F1073</f>
        <v>0</v>
      </c>
      <c r="H1073" s="915">
        <f>'House Count'!H1073</f>
        <v>0</v>
      </c>
    </row>
    <row r="1074" spans="1:8" x14ac:dyDescent="0.25">
      <c r="A1074" s="914">
        <f>'House Count'!A1074</f>
        <v>0</v>
      </c>
      <c r="B1074" s="915">
        <f>'House Count'!E1074</f>
        <v>0</v>
      </c>
      <c r="C1074" s="915">
        <f>'House Count'!B1074</f>
        <v>0</v>
      </c>
      <c r="D1074" s="915">
        <f>'House Count'!C1074</f>
        <v>0</v>
      </c>
      <c r="E1074" s="915">
        <f>'House Count'!D1074</f>
        <v>0</v>
      </c>
      <c r="F1074" s="915" t="str">
        <f t="shared" si="16"/>
        <v/>
      </c>
      <c r="G1074" s="915">
        <f>'House Count'!F1074</f>
        <v>0</v>
      </c>
      <c r="H1074" s="915">
        <f>'House Count'!H1074</f>
        <v>0</v>
      </c>
    </row>
    <row r="1075" spans="1:8" x14ac:dyDescent="0.25">
      <c r="A1075" s="914">
        <f>'House Count'!A1075</f>
        <v>0</v>
      </c>
      <c r="B1075" s="915">
        <f>'House Count'!E1075</f>
        <v>0</v>
      </c>
      <c r="C1075" s="915">
        <f>'House Count'!B1075</f>
        <v>0</v>
      </c>
      <c r="D1075" s="915">
        <f>'House Count'!C1075</f>
        <v>0</v>
      </c>
      <c r="E1075" s="915">
        <f>'House Count'!D1075</f>
        <v>0</v>
      </c>
      <c r="F1075" s="915" t="str">
        <f t="shared" si="16"/>
        <v/>
      </c>
      <c r="G1075" s="915">
        <f>'House Count'!F1075</f>
        <v>0</v>
      </c>
      <c r="H1075" s="915">
        <f>'House Count'!H1075</f>
        <v>0</v>
      </c>
    </row>
    <row r="1076" spans="1:8" x14ac:dyDescent="0.25">
      <c r="A1076" s="914">
        <f>'House Count'!A1076</f>
        <v>0</v>
      </c>
      <c r="B1076" s="915">
        <f>'House Count'!E1076</f>
        <v>0</v>
      </c>
      <c r="C1076" s="915">
        <f>'House Count'!B1076</f>
        <v>0</v>
      </c>
      <c r="D1076" s="915">
        <f>'House Count'!C1076</f>
        <v>0</v>
      </c>
      <c r="E1076" s="915">
        <f>'House Count'!D1076</f>
        <v>0</v>
      </c>
      <c r="F1076" s="915" t="str">
        <f t="shared" si="16"/>
        <v/>
      </c>
      <c r="G1076" s="915">
        <f>'House Count'!F1076</f>
        <v>0</v>
      </c>
      <c r="H1076" s="915">
        <f>'House Count'!H1076</f>
        <v>0</v>
      </c>
    </row>
    <row r="1077" spans="1:8" x14ac:dyDescent="0.25">
      <c r="A1077" s="914">
        <f>'House Count'!A1077</f>
        <v>0</v>
      </c>
      <c r="B1077" s="915">
        <f>'House Count'!E1077</f>
        <v>0</v>
      </c>
      <c r="C1077" s="915">
        <f>'House Count'!B1077</f>
        <v>0</v>
      </c>
      <c r="D1077" s="915">
        <f>'House Count'!C1077</f>
        <v>0</v>
      </c>
      <c r="E1077" s="915">
        <f>'House Count'!D1077</f>
        <v>0</v>
      </c>
      <c r="F1077" s="915" t="str">
        <f t="shared" si="16"/>
        <v/>
      </c>
      <c r="G1077" s="915">
        <f>'House Count'!F1077</f>
        <v>0</v>
      </c>
      <c r="H1077" s="915">
        <f>'House Count'!H1077</f>
        <v>0</v>
      </c>
    </row>
    <row r="1078" spans="1:8" x14ac:dyDescent="0.25">
      <c r="A1078" s="914">
        <f>'House Count'!A1078</f>
        <v>0</v>
      </c>
      <c r="B1078" s="915">
        <f>'House Count'!E1078</f>
        <v>0</v>
      </c>
      <c r="C1078" s="915">
        <f>'House Count'!B1078</f>
        <v>0</v>
      </c>
      <c r="D1078" s="915">
        <f>'House Count'!C1078</f>
        <v>0</v>
      </c>
      <c r="E1078" s="915">
        <f>'House Count'!D1078</f>
        <v>0</v>
      </c>
      <c r="F1078" s="915" t="str">
        <f t="shared" si="16"/>
        <v/>
      </c>
      <c r="G1078" s="915">
        <f>'House Count'!F1078</f>
        <v>0</v>
      </c>
      <c r="H1078" s="915">
        <f>'House Count'!H1078</f>
        <v>0</v>
      </c>
    </row>
    <row r="1079" spans="1:8" x14ac:dyDescent="0.25">
      <c r="A1079" s="914">
        <f>'House Count'!A1079</f>
        <v>0</v>
      </c>
      <c r="B1079" s="915">
        <f>'House Count'!E1079</f>
        <v>0</v>
      </c>
      <c r="C1079" s="915">
        <f>'House Count'!B1079</f>
        <v>0</v>
      </c>
      <c r="D1079" s="915">
        <f>'House Count'!C1079</f>
        <v>0</v>
      </c>
      <c r="E1079" s="915">
        <f>'House Count'!D1079</f>
        <v>0</v>
      </c>
      <c r="F1079" s="915" t="str">
        <f t="shared" si="16"/>
        <v/>
      </c>
      <c r="G1079" s="915">
        <f>'House Count'!F1079</f>
        <v>0</v>
      </c>
      <c r="H1079" s="915">
        <f>'House Count'!H1079</f>
        <v>0</v>
      </c>
    </row>
    <row r="1080" spans="1:8" x14ac:dyDescent="0.25">
      <c r="A1080" s="914">
        <f>'House Count'!A1080</f>
        <v>0</v>
      </c>
      <c r="B1080" s="915">
        <f>'House Count'!E1080</f>
        <v>0</v>
      </c>
      <c r="C1080" s="915">
        <f>'House Count'!B1080</f>
        <v>0</v>
      </c>
      <c r="D1080" s="915">
        <f>'House Count'!C1080</f>
        <v>0</v>
      </c>
      <c r="E1080" s="915">
        <f>'House Count'!D1080</f>
        <v>0</v>
      </c>
      <c r="F1080" s="915" t="str">
        <f t="shared" si="16"/>
        <v/>
      </c>
      <c r="G1080" s="915">
        <f>'House Count'!F1080</f>
        <v>0</v>
      </c>
      <c r="H1080" s="915">
        <f>'House Count'!H1080</f>
        <v>0</v>
      </c>
    </row>
    <row r="1081" spans="1:8" x14ac:dyDescent="0.25">
      <c r="A1081" s="914">
        <f>'House Count'!A1081</f>
        <v>0</v>
      </c>
      <c r="B1081" s="915">
        <f>'House Count'!E1081</f>
        <v>0</v>
      </c>
      <c r="C1081" s="915">
        <f>'House Count'!B1081</f>
        <v>0</v>
      </c>
      <c r="D1081" s="915">
        <f>'House Count'!C1081</f>
        <v>0</v>
      </c>
      <c r="E1081" s="915">
        <f>'House Count'!D1081</f>
        <v>0</v>
      </c>
      <c r="F1081" s="915" t="str">
        <f t="shared" si="16"/>
        <v/>
      </c>
      <c r="G1081" s="915">
        <f>'House Count'!F1081</f>
        <v>0</v>
      </c>
      <c r="H1081" s="915">
        <f>'House Count'!H1081</f>
        <v>0</v>
      </c>
    </row>
    <row r="1082" spans="1:8" x14ac:dyDescent="0.25">
      <c r="A1082" s="914">
        <f>'House Count'!A1082</f>
        <v>0</v>
      </c>
      <c r="B1082" s="915">
        <f>'House Count'!E1082</f>
        <v>0</v>
      </c>
      <c r="C1082" s="915">
        <f>'House Count'!B1082</f>
        <v>0</v>
      </c>
      <c r="D1082" s="915">
        <f>'House Count'!C1082</f>
        <v>0</v>
      </c>
      <c r="E1082" s="915">
        <f>'House Count'!D1082</f>
        <v>0</v>
      </c>
      <c r="F1082" s="915" t="str">
        <f t="shared" si="16"/>
        <v/>
      </c>
      <c r="G1082" s="915">
        <f>'House Count'!F1082</f>
        <v>0</v>
      </c>
      <c r="H1082" s="915">
        <f>'House Count'!H1082</f>
        <v>0</v>
      </c>
    </row>
    <row r="1083" spans="1:8" x14ac:dyDescent="0.25">
      <c r="A1083" s="914">
        <f>'House Count'!A1083</f>
        <v>0</v>
      </c>
      <c r="B1083" s="915">
        <f>'House Count'!E1083</f>
        <v>0</v>
      </c>
      <c r="C1083" s="915">
        <f>'House Count'!B1083</f>
        <v>0</v>
      </c>
      <c r="D1083" s="915">
        <f>'House Count'!C1083</f>
        <v>0</v>
      </c>
      <c r="E1083" s="915">
        <f>'House Count'!D1083</f>
        <v>0</v>
      </c>
      <c r="F1083" s="915" t="str">
        <f t="shared" si="16"/>
        <v/>
      </c>
      <c r="G1083" s="915">
        <f>'House Count'!F1083</f>
        <v>0</v>
      </c>
      <c r="H1083" s="915">
        <f>'House Count'!H1083</f>
        <v>0</v>
      </c>
    </row>
    <row r="1084" spans="1:8" x14ac:dyDescent="0.25">
      <c r="A1084" s="914">
        <f>'House Count'!A1084</f>
        <v>0</v>
      </c>
      <c r="B1084" s="915">
        <f>'House Count'!E1084</f>
        <v>0</v>
      </c>
      <c r="C1084" s="915">
        <f>'House Count'!B1084</f>
        <v>0</v>
      </c>
      <c r="D1084" s="915">
        <f>'House Count'!C1084</f>
        <v>0</v>
      </c>
      <c r="E1084" s="915">
        <f>'House Count'!D1084</f>
        <v>0</v>
      </c>
      <c r="F1084" s="915" t="str">
        <f t="shared" si="16"/>
        <v/>
      </c>
      <c r="G1084" s="915">
        <f>'House Count'!F1084</f>
        <v>0</v>
      </c>
      <c r="H1084" s="915">
        <f>'House Count'!H1084</f>
        <v>0</v>
      </c>
    </row>
    <row r="1085" spans="1:8" x14ac:dyDescent="0.25">
      <c r="A1085" s="914">
        <f>'House Count'!A1085</f>
        <v>0</v>
      </c>
      <c r="B1085" s="915">
        <f>'House Count'!E1085</f>
        <v>0</v>
      </c>
      <c r="C1085" s="915">
        <f>'House Count'!B1085</f>
        <v>0</v>
      </c>
      <c r="D1085" s="915">
        <f>'House Count'!C1085</f>
        <v>0</v>
      </c>
      <c r="E1085" s="915">
        <f>'House Count'!D1085</f>
        <v>0</v>
      </c>
      <c r="F1085" s="915" t="str">
        <f t="shared" si="16"/>
        <v/>
      </c>
      <c r="G1085" s="915">
        <f>'House Count'!F1085</f>
        <v>0</v>
      </c>
      <c r="H1085" s="915">
        <f>'House Count'!H1085</f>
        <v>0</v>
      </c>
    </row>
    <row r="1086" spans="1:8" x14ac:dyDescent="0.25">
      <c r="A1086" s="914">
        <f>'House Count'!A1086</f>
        <v>0</v>
      </c>
      <c r="B1086" s="915">
        <f>'House Count'!E1086</f>
        <v>0</v>
      </c>
      <c r="C1086" s="915">
        <f>'House Count'!B1086</f>
        <v>0</v>
      </c>
      <c r="D1086" s="915">
        <f>'House Count'!C1086</f>
        <v>0</v>
      </c>
      <c r="E1086" s="915">
        <f>'House Count'!D1086</f>
        <v>0</v>
      </c>
      <c r="F1086" s="915" t="str">
        <f t="shared" si="16"/>
        <v/>
      </c>
      <c r="G1086" s="915">
        <f>'House Count'!F1086</f>
        <v>0</v>
      </c>
      <c r="H1086" s="915">
        <f>'House Count'!H1086</f>
        <v>0</v>
      </c>
    </row>
    <row r="1087" spans="1:8" x14ac:dyDescent="0.25">
      <c r="A1087" s="914">
        <f>'House Count'!A1087</f>
        <v>0</v>
      </c>
      <c r="B1087" s="915">
        <f>'House Count'!E1087</f>
        <v>0</v>
      </c>
      <c r="C1087" s="915">
        <f>'House Count'!B1087</f>
        <v>0</v>
      </c>
      <c r="D1087" s="915">
        <f>'House Count'!C1087</f>
        <v>0</v>
      </c>
      <c r="E1087" s="915">
        <f>'House Count'!D1087</f>
        <v>0</v>
      </c>
      <c r="F1087" s="915" t="str">
        <f t="shared" si="16"/>
        <v/>
      </c>
      <c r="G1087" s="915">
        <f>'House Count'!F1087</f>
        <v>0</v>
      </c>
      <c r="H1087" s="915">
        <f>'House Count'!H1087</f>
        <v>0</v>
      </c>
    </row>
    <row r="1088" spans="1:8" x14ac:dyDescent="0.25">
      <c r="A1088" s="914">
        <f>'House Count'!A1088</f>
        <v>0</v>
      </c>
      <c r="B1088" s="915">
        <f>'House Count'!E1088</f>
        <v>0</v>
      </c>
      <c r="C1088" s="915">
        <f>'House Count'!B1088</f>
        <v>0</v>
      </c>
      <c r="D1088" s="915">
        <f>'House Count'!C1088</f>
        <v>0</v>
      </c>
      <c r="E1088" s="915">
        <f>'House Count'!D1088</f>
        <v>0</v>
      </c>
      <c r="F1088" s="915" t="str">
        <f t="shared" si="16"/>
        <v/>
      </c>
      <c r="G1088" s="915">
        <f>'House Count'!F1088</f>
        <v>0</v>
      </c>
      <c r="H1088" s="915">
        <f>'House Count'!H1088</f>
        <v>0</v>
      </c>
    </row>
    <row r="1089" spans="1:8" x14ac:dyDescent="0.25">
      <c r="A1089" s="914">
        <f>'House Count'!A1089</f>
        <v>0</v>
      </c>
      <c r="B1089" s="915">
        <f>'House Count'!E1089</f>
        <v>0</v>
      </c>
      <c r="C1089" s="915">
        <f>'House Count'!B1089</f>
        <v>0</v>
      </c>
      <c r="D1089" s="915">
        <f>'House Count'!C1089</f>
        <v>0</v>
      </c>
      <c r="E1089" s="915">
        <f>'House Count'!D1089</f>
        <v>0</v>
      </c>
      <c r="F1089" s="915" t="str">
        <f t="shared" si="16"/>
        <v/>
      </c>
      <c r="G1089" s="915">
        <f>'House Count'!F1089</f>
        <v>0</v>
      </c>
      <c r="H1089" s="915">
        <f>'House Count'!H1089</f>
        <v>0</v>
      </c>
    </row>
    <row r="1090" spans="1:8" x14ac:dyDescent="0.25">
      <c r="A1090" s="914">
        <f>'House Count'!A1090</f>
        <v>0</v>
      </c>
      <c r="B1090" s="915">
        <f>'House Count'!E1090</f>
        <v>0</v>
      </c>
      <c r="C1090" s="915">
        <f>'House Count'!B1090</f>
        <v>0</v>
      </c>
      <c r="D1090" s="915">
        <f>'House Count'!C1090</f>
        <v>0</v>
      </c>
      <c r="E1090" s="915">
        <f>'House Count'!D1090</f>
        <v>0</v>
      </c>
      <c r="F1090" s="915" t="str">
        <f t="shared" si="16"/>
        <v/>
      </c>
      <c r="G1090" s="915">
        <f>'House Count'!F1090</f>
        <v>0</v>
      </c>
      <c r="H1090" s="915">
        <f>'House Count'!H1090</f>
        <v>0</v>
      </c>
    </row>
    <row r="1091" spans="1:8" x14ac:dyDescent="0.25">
      <c r="A1091" s="914">
        <f>'House Count'!A1091</f>
        <v>0</v>
      </c>
      <c r="B1091" s="915">
        <f>'House Count'!E1091</f>
        <v>0</v>
      </c>
      <c r="C1091" s="915">
        <f>'House Count'!B1091</f>
        <v>0</v>
      </c>
      <c r="D1091" s="915">
        <f>'House Count'!C1091</f>
        <v>0</v>
      </c>
      <c r="E1091" s="915">
        <f>'House Count'!D1091</f>
        <v>0</v>
      </c>
      <c r="F1091" s="915" t="str">
        <f t="shared" ref="F1091:F1154" si="17">IF(G1091="RES-SFU","RESIDENTIAL",IF(G1091="RES-HOA","RESIDENTIAL",IF(G1091="RES-MDU","RESIDENTIAL",IF(G1091="COMM-SU","BUSINESS",IF(G1091="COM-MTU","BUSINESS",IF(G1091="ENT","BUSINESS",""))))))</f>
        <v/>
      </c>
      <c r="G1091" s="915">
        <f>'House Count'!F1091</f>
        <v>0</v>
      </c>
      <c r="H1091" s="915">
        <f>'House Count'!H1091</f>
        <v>0</v>
      </c>
    </row>
    <row r="1092" spans="1:8" x14ac:dyDescent="0.25">
      <c r="A1092" s="914">
        <f>'House Count'!A1092</f>
        <v>0</v>
      </c>
      <c r="B1092" s="915">
        <f>'House Count'!E1092</f>
        <v>0</v>
      </c>
      <c r="C1092" s="915">
        <f>'House Count'!B1092</f>
        <v>0</v>
      </c>
      <c r="D1092" s="915">
        <f>'House Count'!C1092</f>
        <v>0</v>
      </c>
      <c r="E1092" s="915">
        <f>'House Count'!D1092</f>
        <v>0</v>
      </c>
      <c r="F1092" s="915" t="str">
        <f t="shared" si="17"/>
        <v/>
      </c>
      <c r="G1092" s="915">
        <f>'House Count'!F1092</f>
        <v>0</v>
      </c>
      <c r="H1092" s="915">
        <f>'House Count'!H1092</f>
        <v>0</v>
      </c>
    </row>
    <row r="1093" spans="1:8" x14ac:dyDescent="0.25">
      <c r="A1093" s="914">
        <f>'House Count'!A1093</f>
        <v>0</v>
      </c>
      <c r="B1093" s="915">
        <f>'House Count'!E1093</f>
        <v>0</v>
      </c>
      <c r="C1093" s="915">
        <f>'House Count'!B1093</f>
        <v>0</v>
      </c>
      <c r="D1093" s="915">
        <f>'House Count'!C1093</f>
        <v>0</v>
      </c>
      <c r="E1093" s="915">
        <f>'House Count'!D1093</f>
        <v>0</v>
      </c>
      <c r="F1093" s="915" t="str">
        <f t="shared" si="17"/>
        <v/>
      </c>
      <c r="G1093" s="915">
        <f>'House Count'!F1093</f>
        <v>0</v>
      </c>
      <c r="H1093" s="915">
        <f>'House Count'!H1093</f>
        <v>0</v>
      </c>
    </row>
    <row r="1094" spans="1:8" x14ac:dyDescent="0.25">
      <c r="A1094" s="914">
        <f>'House Count'!A1094</f>
        <v>0</v>
      </c>
      <c r="B1094" s="915">
        <f>'House Count'!E1094</f>
        <v>0</v>
      </c>
      <c r="C1094" s="915">
        <f>'House Count'!B1094</f>
        <v>0</v>
      </c>
      <c r="D1094" s="915">
        <f>'House Count'!C1094</f>
        <v>0</v>
      </c>
      <c r="E1094" s="915">
        <f>'House Count'!D1094</f>
        <v>0</v>
      </c>
      <c r="F1094" s="915" t="str">
        <f t="shared" si="17"/>
        <v/>
      </c>
      <c r="G1094" s="915">
        <f>'House Count'!F1094</f>
        <v>0</v>
      </c>
      <c r="H1094" s="915">
        <f>'House Count'!H1094</f>
        <v>0</v>
      </c>
    </row>
    <row r="1095" spans="1:8" x14ac:dyDescent="0.25">
      <c r="A1095" s="914">
        <f>'House Count'!A1095</f>
        <v>0</v>
      </c>
      <c r="B1095" s="915">
        <f>'House Count'!E1095</f>
        <v>0</v>
      </c>
      <c r="C1095" s="915">
        <f>'House Count'!B1095</f>
        <v>0</v>
      </c>
      <c r="D1095" s="915">
        <f>'House Count'!C1095</f>
        <v>0</v>
      </c>
      <c r="E1095" s="915">
        <f>'House Count'!D1095</f>
        <v>0</v>
      </c>
      <c r="F1095" s="915" t="str">
        <f t="shared" si="17"/>
        <v/>
      </c>
      <c r="G1095" s="915">
        <f>'House Count'!F1095</f>
        <v>0</v>
      </c>
      <c r="H1095" s="915">
        <f>'House Count'!H1095</f>
        <v>0</v>
      </c>
    </row>
    <row r="1096" spans="1:8" x14ac:dyDescent="0.25">
      <c r="A1096" s="914">
        <f>'House Count'!A1096</f>
        <v>0</v>
      </c>
      <c r="B1096" s="915">
        <f>'House Count'!E1096</f>
        <v>0</v>
      </c>
      <c r="C1096" s="915">
        <f>'House Count'!B1096</f>
        <v>0</v>
      </c>
      <c r="D1096" s="915">
        <f>'House Count'!C1096</f>
        <v>0</v>
      </c>
      <c r="E1096" s="915">
        <f>'House Count'!D1096</f>
        <v>0</v>
      </c>
      <c r="F1096" s="915" t="str">
        <f t="shared" si="17"/>
        <v/>
      </c>
      <c r="G1096" s="915">
        <f>'House Count'!F1096</f>
        <v>0</v>
      </c>
      <c r="H1096" s="915">
        <f>'House Count'!H1096</f>
        <v>0</v>
      </c>
    </row>
    <row r="1097" spans="1:8" x14ac:dyDescent="0.25">
      <c r="A1097" s="914">
        <f>'House Count'!A1097</f>
        <v>0</v>
      </c>
      <c r="B1097" s="915">
        <f>'House Count'!E1097</f>
        <v>0</v>
      </c>
      <c r="C1097" s="915">
        <f>'House Count'!B1097</f>
        <v>0</v>
      </c>
      <c r="D1097" s="915">
        <f>'House Count'!C1097</f>
        <v>0</v>
      </c>
      <c r="E1097" s="915">
        <f>'House Count'!D1097</f>
        <v>0</v>
      </c>
      <c r="F1097" s="915" t="str">
        <f t="shared" si="17"/>
        <v/>
      </c>
      <c r="G1097" s="915">
        <f>'House Count'!F1097</f>
        <v>0</v>
      </c>
      <c r="H1097" s="915">
        <f>'House Count'!H1097</f>
        <v>0</v>
      </c>
    </row>
    <row r="1098" spans="1:8" x14ac:dyDescent="0.25">
      <c r="A1098" s="914">
        <f>'House Count'!A1098</f>
        <v>0</v>
      </c>
      <c r="B1098" s="915">
        <f>'House Count'!E1098</f>
        <v>0</v>
      </c>
      <c r="C1098" s="915">
        <f>'House Count'!B1098</f>
        <v>0</v>
      </c>
      <c r="D1098" s="915">
        <f>'House Count'!C1098</f>
        <v>0</v>
      </c>
      <c r="E1098" s="915">
        <f>'House Count'!D1098</f>
        <v>0</v>
      </c>
      <c r="F1098" s="915" t="str">
        <f t="shared" si="17"/>
        <v/>
      </c>
      <c r="G1098" s="915">
        <f>'House Count'!F1098</f>
        <v>0</v>
      </c>
      <c r="H1098" s="915">
        <f>'House Count'!H1098</f>
        <v>0</v>
      </c>
    </row>
    <row r="1099" spans="1:8" x14ac:dyDescent="0.25">
      <c r="A1099" s="914">
        <f>'House Count'!A1099</f>
        <v>0</v>
      </c>
      <c r="B1099" s="915">
        <f>'House Count'!E1099</f>
        <v>0</v>
      </c>
      <c r="C1099" s="915">
        <f>'House Count'!B1099</f>
        <v>0</v>
      </c>
      <c r="D1099" s="915">
        <f>'House Count'!C1099</f>
        <v>0</v>
      </c>
      <c r="E1099" s="915">
        <f>'House Count'!D1099</f>
        <v>0</v>
      </c>
      <c r="F1099" s="915" t="str">
        <f t="shared" si="17"/>
        <v/>
      </c>
      <c r="G1099" s="915">
        <f>'House Count'!F1099</f>
        <v>0</v>
      </c>
      <c r="H1099" s="915">
        <f>'House Count'!H1099</f>
        <v>0</v>
      </c>
    </row>
    <row r="1100" spans="1:8" x14ac:dyDescent="0.25">
      <c r="A1100" s="914">
        <f>'House Count'!A1100</f>
        <v>0</v>
      </c>
      <c r="B1100" s="915">
        <f>'House Count'!E1100</f>
        <v>0</v>
      </c>
      <c r="C1100" s="915">
        <f>'House Count'!B1100</f>
        <v>0</v>
      </c>
      <c r="D1100" s="915">
        <f>'House Count'!C1100</f>
        <v>0</v>
      </c>
      <c r="E1100" s="915">
        <f>'House Count'!D1100</f>
        <v>0</v>
      </c>
      <c r="F1100" s="915" t="str">
        <f t="shared" si="17"/>
        <v/>
      </c>
      <c r="G1100" s="915">
        <f>'House Count'!F1100</f>
        <v>0</v>
      </c>
      <c r="H1100" s="915">
        <f>'House Count'!H1100</f>
        <v>0</v>
      </c>
    </row>
    <row r="1101" spans="1:8" x14ac:dyDescent="0.25">
      <c r="A1101" s="914">
        <f>'House Count'!A1101</f>
        <v>0</v>
      </c>
      <c r="B1101" s="915">
        <f>'House Count'!E1101</f>
        <v>0</v>
      </c>
      <c r="C1101" s="915">
        <f>'House Count'!B1101</f>
        <v>0</v>
      </c>
      <c r="D1101" s="915">
        <f>'House Count'!C1101</f>
        <v>0</v>
      </c>
      <c r="E1101" s="915">
        <f>'House Count'!D1101</f>
        <v>0</v>
      </c>
      <c r="F1101" s="915" t="str">
        <f t="shared" si="17"/>
        <v/>
      </c>
      <c r="G1101" s="915">
        <f>'House Count'!F1101</f>
        <v>0</v>
      </c>
      <c r="H1101" s="915">
        <f>'House Count'!H1101</f>
        <v>0</v>
      </c>
    </row>
    <row r="1102" spans="1:8" x14ac:dyDescent="0.25">
      <c r="A1102" s="914">
        <f>'House Count'!A1102</f>
        <v>0</v>
      </c>
      <c r="B1102" s="915">
        <f>'House Count'!E1102</f>
        <v>0</v>
      </c>
      <c r="C1102" s="915">
        <f>'House Count'!B1102</f>
        <v>0</v>
      </c>
      <c r="D1102" s="915">
        <f>'House Count'!C1102</f>
        <v>0</v>
      </c>
      <c r="E1102" s="915">
        <f>'House Count'!D1102</f>
        <v>0</v>
      </c>
      <c r="F1102" s="915" t="str">
        <f t="shared" si="17"/>
        <v/>
      </c>
      <c r="G1102" s="915">
        <f>'House Count'!F1102</f>
        <v>0</v>
      </c>
      <c r="H1102" s="915">
        <f>'House Count'!H1102</f>
        <v>0</v>
      </c>
    </row>
    <row r="1103" spans="1:8" x14ac:dyDescent="0.25">
      <c r="A1103" s="914">
        <f>'House Count'!A1103</f>
        <v>0</v>
      </c>
      <c r="B1103" s="915">
        <f>'House Count'!E1103</f>
        <v>0</v>
      </c>
      <c r="C1103" s="915">
        <f>'House Count'!B1103</f>
        <v>0</v>
      </c>
      <c r="D1103" s="915">
        <f>'House Count'!C1103</f>
        <v>0</v>
      </c>
      <c r="E1103" s="915">
        <f>'House Count'!D1103</f>
        <v>0</v>
      </c>
      <c r="F1103" s="915" t="str">
        <f t="shared" si="17"/>
        <v/>
      </c>
      <c r="G1103" s="915">
        <f>'House Count'!F1103</f>
        <v>0</v>
      </c>
      <c r="H1103" s="915">
        <f>'House Count'!H1103</f>
        <v>0</v>
      </c>
    </row>
    <row r="1104" spans="1:8" x14ac:dyDescent="0.25">
      <c r="A1104" s="914">
        <f>'House Count'!A1104</f>
        <v>0</v>
      </c>
      <c r="B1104" s="915">
        <f>'House Count'!E1104</f>
        <v>0</v>
      </c>
      <c r="C1104" s="915">
        <f>'House Count'!B1104</f>
        <v>0</v>
      </c>
      <c r="D1104" s="915">
        <f>'House Count'!C1104</f>
        <v>0</v>
      </c>
      <c r="E1104" s="915">
        <f>'House Count'!D1104</f>
        <v>0</v>
      </c>
      <c r="F1104" s="915" t="str">
        <f t="shared" si="17"/>
        <v/>
      </c>
      <c r="G1104" s="915">
        <f>'House Count'!F1104</f>
        <v>0</v>
      </c>
      <c r="H1104" s="915">
        <f>'House Count'!H1104</f>
        <v>0</v>
      </c>
    </row>
    <row r="1105" spans="1:8" x14ac:dyDescent="0.25">
      <c r="A1105" s="914">
        <f>'House Count'!A1105</f>
        <v>0</v>
      </c>
      <c r="B1105" s="915">
        <f>'House Count'!E1105</f>
        <v>0</v>
      </c>
      <c r="C1105" s="915">
        <f>'House Count'!B1105</f>
        <v>0</v>
      </c>
      <c r="D1105" s="915">
        <f>'House Count'!C1105</f>
        <v>0</v>
      </c>
      <c r="E1105" s="915">
        <f>'House Count'!D1105</f>
        <v>0</v>
      </c>
      <c r="F1105" s="915" t="str">
        <f t="shared" si="17"/>
        <v/>
      </c>
      <c r="G1105" s="915">
        <f>'House Count'!F1105</f>
        <v>0</v>
      </c>
      <c r="H1105" s="915">
        <f>'House Count'!H1105</f>
        <v>0</v>
      </c>
    </row>
    <row r="1106" spans="1:8" x14ac:dyDescent="0.25">
      <c r="A1106" s="914">
        <f>'House Count'!A1106</f>
        <v>0</v>
      </c>
      <c r="B1106" s="915">
        <f>'House Count'!E1106</f>
        <v>0</v>
      </c>
      <c r="C1106" s="915">
        <f>'House Count'!B1106</f>
        <v>0</v>
      </c>
      <c r="D1106" s="915">
        <f>'House Count'!C1106</f>
        <v>0</v>
      </c>
      <c r="E1106" s="915">
        <f>'House Count'!D1106</f>
        <v>0</v>
      </c>
      <c r="F1106" s="915" t="str">
        <f t="shared" si="17"/>
        <v/>
      </c>
      <c r="G1106" s="915">
        <f>'House Count'!F1106</f>
        <v>0</v>
      </c>
      <c r="H1106" s="915">
        <f>'House Count'!H1106</f>
        <v>0</v>
      </c>
    </row>
    <row r="1107" spans="1:8" x14ac:dyDescent="0.25">
      <c r="A1107" s="914">
        <f>'House Count'!A1107</f>
        <v>0</v>
      </c>
      <c r="B1107" s="915">
        <f>'House Count'!E1107</f>
        <v>0</v>
      </c>
      <c r="C1107" s="915">
        <f>'House Count'!B1107</f>
        <v>0</v>
      </c>
      <c r="D1107" s="915">
        <f>'House Count'!C1107</f>
        <v>0</v>
      </c>
      <c r="E1107" s="915">
        <f>'House Count'!D1107</f>
        <v>0</v>
      </c>
      <c r="F1107" s="915" t="str">
        <f t="shared" si="17"/>
        <v/>
      </c>
      <c r="G1107" s="915">
        <f>'House Count'!F1107</f>
        <v>0</v>
      </c>
      <c r="H1107" s="915">
        <f>'House Count'!H1107</f>
        <v>0</v>
      </c>
    </row>
    <row r="1108" spans="1:8" x14ac:dyDescent="0.25">
      <c r="A1108" s="914">
        <f>'House Count'!A1108</f>
        <v>0</v>
      </c>
      <c r="B1108" s="915">
        <f>'House Count'!E1108</f>
        <v>0</v>
      </c>
      <c r="C1108" s="915">
        <f>'House Count'!B1108</f>
        <v>0</v>
      </c>
      <c r="D1108" s="915">
        <f>'House Count'!C1108</f>
        <v>0</v>
      </c>
      <c r="E1108" s="915">
        <f>'House Count'!D1108</f>
        <v>0</v>
      </c>
      <c r="F1108" s="915" t="str">
        <f t="shared" si="17"/>
        <v/>
      </c>
      <c r="G1108" s="915">
        <f>'House Count'!F1108</f>
        <v>0</v>
      </c>
      <c r="H1108" s="915">
        <f>'House Count'!H1108</f>
        <v>0</v>
      </c>
    </row>
    <row r="1109" spans="1:8" x14ac:dyDescent="0.25">
      <c r="A1109" s="914">
        <f>'House Count'!A1109</f>
        <v>0</v>
      </c>
      <c r="B1109" s="915">
        <f>'House Count'!E1109</f>
        <v>0</v>
      </c>
      <c r="C1109" s="915">
        <f>'House Count'!B1109</f>
        <v>0</v>
      </c>
      <c r="D1109" s="915">
        <f>'House Count'!C1109</f>
        <v>0</v>
      </c>
      <c r="E1109" s="915">
        <f>'House Count'!D1109</f>
        <v>0</v>
      </c>
      <c r="F1109" s="915" t="str">
        <f t="shared" si="17"/>
        <v/>
      </c>
      <c r="G1109" s="915">
        <f>'House Count'!F1109</f>
        <v>0</v>
      </c>
      <c r="H1109" s="915">
        <f>'House Count'!H1109</f>
        <v>0</v>
      </c>
    </row>
    <row r="1110" spans="1:8" x14ac:dyDescent="0.25">
      <c r="A1110" s="914">
        <f>'House Count'!A1110</f>
        <v>0</v>
      </c>
      <c r="B1110" s="915">
        <f>'House Count'!E1110</f>
        <v>0</v>
      </c>
      <c r="C1110" s="915">
        <f>'House Count'!B1110</f>
        <v>0</v>
      </c>
      <c r="D1110" s="915">
        <f>'House Count'!C1110</f>
        <v>0</v>
      </c>
      <c r="E1110" s="915">
        <f>'House Count'!D1110</f>
        <v>0</v>
      </c>
      <c r="F1110" s="915" t="str">
        <f t="shared" si="17"/>
        <v/>
      </c>
      <c r="G1110" s="915">
        <f>'House Count'!F1110</f>
        <v>0</v>
      </c>
      <c r="H1110" s="915">
        <f>'House Count'!H1110</f>
        <v>0</v>
      </c>
    </row>
    <row r="1111" spans="1:8" x14ac:dyDescent="0.25">
      <c r="A1111" s="914">
        <f>'House Count'!A1111</f>
        <v>0</v>
      </c>
      <c r="B1111" s="915">
        <f>'House Count'!E1111</f>
        <v>0</v>
      </c>
      <c r="C1111" s="915">
        <f>'House Count'!B1111</f>
        <v>0</v>
      </c>
      <c r="D1111" s="915">
        <f>'House Count'!C1111</f>
        <v>0</v>
      </c>
      <c r="E1111" s="915">
        <f>'House Count'!D1111</f>
        <v>0</v>
      </c>
      <c r="F1111" s="915" t="str">
        <f t="shared" si="17"/>
        <v/>
      </c>
      <c r="G1111" s="915">
        <f>'House Count'!F1111</f>
        <v>0</v>
      </c>
      <c r="H1111" s="915">
        <f>'House Count'!H1111</f>
        <v>0</v>
      </c>
    </row>
    <row r="1112" spans="1:8" x14ac:dyDescent="0.25">
      <c r="A1112" s="914">
        <f>'House Count'!A1112</f>
        <v>0</v>
      </c>
      <c r="B1112" s="915">
        <f>'House Count'!E1112</f>
        <v>0</v>
      </c>
      <c r="C1112" s="915">
        <f>'House Count'!B1112</f>
        <v>0</v>
      </c>
      <c r="D1112" s="915">
        <f>'House Count'!C1112</f>
        <v>0</v>
      </c>
      <c r="E1112" s="915">
        <f>'House Count'!D1112</f>
        <v>0</v>
      </c>
      <c r="F1112" s="915" t="str">
        <f t="shared" si="17"/>
        <v/>
      </c>
      <c r="G1112" s="915">
        <f>'House Count'!F1112</f>
        <v>0</v>
      </c>
      <c r="H1112" s="915">
        <f>'House Count'!H1112</f>
        <v>0</v>
      </c>
    </row>
    <row r="1113" spans="1:8" x14ac:dyDescent="0.25">
      <c r="A1113" s="914">
        <f>'House Count'!A1113</f>
        <v>0</v>
      </c>
      <c r="B1113" s="915">
        <f>'House Count'!E1113</f>
        <v>0</v>
      </c>
      <c r="C1113" s="915">
        <f>'House Count'!B1113</f>
        <v>0</v>
      </c>
      <c r="D1113" s="915">
        <f>'House Count'!C1113</f>
        <v>0</v>
      </c>
      <c r="E1113" s="915">
        <f>'House Count'!D1113</f>
        <v>0</v>
      </c>
      <c r="F1113" s="915" t="str">
        <f t="shared" si="17"/>
        <v/>
      </c>
      <c r="G1113" s="915">
        <f>'House Count'!F1113</f>
        <v>0</v>
      </c>
      <c r="H1113" s="915">
        <f>'House Count'!H1113</f>
        <v>0</v>
      </c>
    </row>
    <row r="1114" spans="1:8" x14ac:dyDescent="0.25">
      <c r="A1114" s="914">
        <f>'House Count'!A1114</f>
        <v>0</v>
      </c>
      <c r="B1114" s="915">
        <f>'House Count'!E1114</f>
        <v>0</v>
      </c>
      <c r="C1114" s="915">
        <f>'House Count'!B1114</f>
        <v>0</v>
      </c>
      <c r="D1114" s="915">
        <f>'House Count'!C1114</f>
        <v>0</v>
      </c>
      <c r="E1114" s="915">
        <f>'House Count'!D1114</f>
        <v>0</v>
      </c>
      <c r="F1114" s="915" t="str">
        <f t="shared" si="17"/>
        <v/>
      </c>
      <c r="G1114" s="915">
        <f>'House Count'!F1114</f>
        <v>0</v>
      </c>
      <c r="H1114" s="915">
        <f>'House Count'!H1114</f>
        <v>0</v>
      </c>
    </row>
    <row r="1115" spans="1:8" x14ac:dyDescent="0.25">
      <c r="A1115" s="914">
        <f>'House Count'!A1115</f>
        <v>0</v>
      </c>
      <c r="B1115" s="915">
        <f>'House Count'!E1115</f>
        <v>0</v>
      </c>
      <c r="C1115" s="915">
        <f>'House Count'!B1115</f>
        <v>0</v>
      </c>
      <c r="D1115" s="915">
        <f>'House Count'!C1115</f>
        <v>0</v>
      </c>
      <c r="E1115" s="915">
        <f>'House Count'!D1115</f>
        <v>0</v>
      </c>
      <c r="F1115" s="915" t="str">
        <f t="shared" si="17"/>
        <v/>
      </c>
      <c r="G1115" s="915">
        <f>'House Count'!F1115</f>
        <v>0</v>
      </c>
      <c r="H1115" s="915">
        <f>'House Count'!H1115</f>
        <v>0</v>
      </c>
    </row>
    <row r="1116" spans="1:8" x14ac:dyDescent="0.25">
      <c r="A1116" s="914">
        <f>'House Count'!A1116</f>
        <v>0</v>
      </c>
      <c r="B1116" s="915">
        <f>'House Count'!E1116</f>
        <v>0</v>
      </c>
      <c r="C1116" s="915">
        <f>'House Count'!B1116</f>
        <v>0</v>
      </c>
      <c r="D1116" s="915">
        <f>'House Count'!C1116</f>
        <v>0</v>
      </c>
      <c r="E1116" s="915">
        <f>'House Count'!D1116</f>
        <v>0</v>
      </c>
      <c r="F1116" s="915" t="str">
        <f t="shared" si="17"/>
        <v/>
      </c>
      <c r="G1116" s="915">
        <f>'House Count'!F1116</f>
        <v>0</v>
      </c>
      <c r="H1116" s="915">
        <f>'House Count'!H1116</f>
        <v>0</v>
      </c>
    </row>
    <row r="1117" spans="1:8" x14ac:dyDescent="0.25">
      <c r="A1117" s="914">
        <f>'House Count'!A1117</f>
        <v>0</v>
      </c>
      <c r="B1117" s="915">
        <f>'House Count'!E1117</f>
        <v>0</v>
      </c>
      <c r="C1117" s="915">
        <f>'House Count'!B1117</f>
        <v>0</v>
      </c>
      <c r="D1117" s="915">
        <f>'House Count'!C1117</f>
        <v>0</v>
      </c>
      <c r="E1117" s="915">
        <f>'House Count'!D1117</f>
        <v>0</v>
      </c>
      <c r="F1117" s="915" t="str">
        <f t="shared" si="17"/>
        <v/>
      </c>
      <c r="G1117" s="915">
        <f>'House Count'!F1117</f>
        <v>0</v>
      </c>
      <c r="H1117" s="915">
        <f>'House Count'!H1117</f>
        <v>0</v>
      </c>
    </row>
    <row r="1118" spans="1:8" x14ac:dyDescent="0.25">
      <c r="A1118" s="914">
        <f>'House Count'!A1118</f>
        <v>0</v>
      </c>
      <c r="B1118" s="915">
        <f>'House Count'!E1118</f>
        <v>0</v>
      </c>
      <c r="C1118" s="915">
        <f>'House Count'!B1118</f>
        <v>0</v>
      </c>
      <c r="D1118" s="915">
        <f>'House Count'!C1118</f>
        <v>0</v>
      </c>
      <c r="E1118" s="915">
        <f>'House Count'!D1118</f>
        <v>0</v>
      </c>
      <c r="F1118" s="915" t="str">
        <f t="shared" si="17"/>
        <v/>
      </c>
      <c r="G1118" s="915">
        <f>'House Count'!F1118</f>
        <v>0</v>
      </c>
      <c r="H1118" s="915">
        <f>'House Count'!H1118</f>
        <v>0</v>
      </c>
    </row>
    <row r="1119" spans="1:8" x14ac:dyDescent="0.25">
      <c r="A1119" s="914">
        <f>'House Count'!A1119</f>
        <v>0</v>
      </c>
      <c r="B1119" s="915">
        <f>'House Count'!E1119</f>
        <v>0</v>
      </c>
      <c r="C1119" s="915">
        <f>'House Count'!B1119</f>
        <v>0</v>
      </c>
      <c r="D1119" s="915">
        <f>'House Count'!C1119</f>
        <v>0</v>
      </c>
      <c r="E1119" s="915">
        <f>'House Count'!D1119</f>
        <v>0</v>
      </c>
      <c r="F1119" s="915" t="str">
        <f t="shared" si="17"/>
        <v/>
      </c>
      <c r="G1119" s="915">
        <f>'House Count'!F1119</f>
        <v>0</v>
      </c>
      <c r="H1119" s="915">
        <f>'House Count'!H1119</f>
        <v>0</v>
      </c>
    </row>
    <row r="1120" spans="1:8" x14ac:dyDescent="0.25">
      <c r="A1120" s="914">
        <f>'House Count'!A1120</f>
        <v>0</v>
      </c>
      <c r="B1120" s="915">
        <f>'House Count'!E1120</f>
        <v>0</v>
      </c>
      <c r="C1120" s="915">
        <f>'House Count'!B1120</f>
        <v>0</v>
      </c>
      <c r="D1120" s="915">
        <f>'House Count'!C1120</f>
        <v>0</v>
      </c>
      <c r="E1120" s="915">
        <f>'House Count'!D1120</f>
        <v>0</v>
      </c>
      <c r="F1120" s="915" t="str">
        <f t="shared" si="17"/>
        <v/>
      </c>
      <c r="G1120" s="915">
        <f>'House Count'!F1120</f>
        <v>0</v>
      </c>
      <c r="H1120" s="915">
        <f>'House Count'!H1120</f>
        <v>0</v>
      </c>
    </row>
    <row r="1121" spans="1:8" x14ac:dyDescent="0.25">
      <c r="A1121" s="914">
        <f>'House Count'!A1121</f>
        <v>0</v>
      </c>
      <c r="B1121" s="915">
        <f>'House Count'!E1121</f>
        <v>0</v>
      </c>
      <c r="C1121" s="915">
        <f>'House Count'!B1121</f>
        <v>0</v>
      </c>
      <c r="D1121" s="915">
        <f>'House Count'!C1121</f>
        <v>0</v>
      </c>
      <c r="E1121" s="915">
        <f>'House Count'!D1121</f>
        <v>0</v>
      </c>
      <c r="F1121" s="915" t="str">
        <f t="shared" si="17"/>
        <v/>
      </c>
      <c r="G1121" s="915">
        <f>'House Count'!F1121</f>
        <v>0</v>
      </c>
      <c r="H1121" s="915">
        <f>'House Count'!H1121</f>
        <v>0</v>
      </c>
    </row>
    <row r="1122" spans="1:8" x14ac:dyDescent="0.25">
      <c r="A1122" s="914">
        <f>'House Count'!A1122</f>
        <v>0</v>
      </c>
      <c r="B1122" s="915">
        <f>'House Count'!E1122</f>
        <v>0</v>
      </c>
      <c r="C1122" s="915">
        <f>'House Count'!B1122</f>
        <v>0</v>
      </c>
      <c r="D1122" s="915">
        <f>'House Count'!C1122</f>
        <v>0</v>
      </c>
      <c r="E1122" s="915">
        <f>'House Count'!D1122</f>
        <v>0</v>
      </c>
      <c r="F1122" s="915" t="str">
        <f t="shared" si="17"/>
        <v/>
      </c>
      <c r="G1122" s="915">
        <f>'House Count'!F1122</f>
        <v>0</v>
      </c>
      <c r="H1122" s="915">
        <f>'House Count'!H1122</f>
        <v>0</v>
      </c>
    </row>
    <row r="1123" spans="1:8" x14ac:dyDescent="0.25">
      <c r="A1123" s="914">
        <f>'House Count'!A1123</f>
        <v>0</v>
      </c>
      <c r="B1123" s="915">
        <f>'House Count'!E1123</f>
        <v>0</v>
      </c>
      <c r="C1123" s="915">
        <f>'House Count'!B1123</f>
        <v>0</v>
      </c>
      <c r="D1123" s="915">
        <f>'House Count'!C1123</f>
        <v>0</v>
      </c>
      <c r="E1123" s="915">
        <f>'House Count'!D1123</f>
        <v>0</v>
      </c>
      <c r="F1123" s="915" t="str">
        <f t="shared" si="17"/>
        <v/>
      </c>
      <c r="G1123" s="915">
        <f>'House Count'!F1123</f>
        <v>0</v>
      </c>
      <c r="H1123" s="915">
        <f>'House Count'!H1123</f>
        <v>0</v>
      </c>
    </row>
    <row r="1124" spans="1:8" x14ac:dyDescent="0.25">
      <c r="A1124" s="914">
        <f>'House Count'!A1124</f>
        <v>0</v>
      </c>
      <c r="B1124" s="915">
        <f>'House Count'!E1124</f>
        <v>0</v>
      </c>
      <c r="C1124" s="915">
        <f>'House Count'!B1124</f>
        <v>0</v>
      </c>
      <c r="D1124" s="915">
        <f>'House Count'!C1124</f>
        <v>0</v>
      </c>
      <c r="E1124" s="915">
        <f>'House Count'!D1124</f>
        <v>0</v>
      </c>
      <c r="F1124" s="915" t="str">
        <f t="shared" si="17"/>
        <v/>
      </c>
      <c r="G1124" s="915">
        <f>'House Count'!F1124</f>
        <v>0</v>
      </c>
      <c r="H1124" s="915">
        <f>'House Count'!H1124</f>
        <v>0</v>
      </c>
    </row>
    <row r="1125" spans="1:8" x14ac:dyDescent="0.25">
      <c r="A1125" s="914">
        <f>'House Count'!A1125</f>
        <v>0</v>
      </c>
      <c r="B1125" s="915">
        <f>'House Count'!E1125</f>
        <v>0</v>
      </c>
      <c r="C1125" s="915">
        <f>'House Count'!B1125</f>
        <v>0</v>
      </c>
      <c r="D1125" s="915">
        <f>'House Count'!C1125</f>
        <v>0</v>
      </c>
      <c r="E1125" s="915">
        <f>'House Count'!D1125</f>
        <v>0</v>
      </c>
      <c r="F1125" s="915" t="str">
        <f t="shared" si="17"/>
        <v/>
      </c>
      <c r="G1125" s="915">
        <f>'House Count'!F1125</f>
        <v>0</v>
      </c>
      <c r="H1125" s="915">
        <f>'House Count'!H1125</f>
        <v>0</v>
      </c>
    </row>
    <row r="1126" spans="1:8" x14ac:dyDescent="0.25">
      <c r="A1126" s="914">
        <f>'House Count'!A1126</f>
        <v>0</v>
      </c>
      <c r="B1126" s="915">
        <f>'House Count'!E1126</f>
        <v>0</v>
      </c>
      <c r="C1126" s="915">
        <f>'House Count'!B1126</f>
        <v>0</v>
      </c>
      <c r="D1126" s="915">
        <f>'House Count'!C1126</f>
        <v>0</v>
      </c>
      <c r="E1126" s="915">
        <f>'House Count'!D1126</f>
        <v>0</v>
      </c>
      <c r="F1126" s="915" t="str">
        <f t="shared" si="17"/>
        <v/>
      </c>
      <c r="G1126" s="915">
        <f>'House Count'!F1126</f>
        <v>0</v>
      </c>
      <c r="H1126" s="915">
        <f>'House Count'!H1126</f>
        <v>0</v>
      </c>
    </row>
    <row r="1127" spans="1:8" x14ac:dyDescent="0.25">
      <c r="A1127" s="914">
        <f>'House Count'!A1127</f>
        <v>0</v>
      </c>
      <c r="B1127" s="915">
        <f>'House Count'!E1127</f>
        <v>0</v>
      </c>
      <c r="C1127" s="915">
        <f>'House Count'!B1127</f>
        <v>0</v>
      </c>
      <c r="D1127" s="915">
        <f>'House Count'!C1127</f>
        <v>0</v>
      </c>
      <c r="E1127" s="915">
        <f>'House Count'!D1127</f>
        <v>0</v>
      </c>
      <c r="F1127" s="915" t="str">
        <f t="shared" si="17"/>
        <v/>
      </c>
      <c r="G1127" s="915">
        <f>'House Count'!F1127</f>
        <v>0</v>
      </c>
      <c r="H1127" s="915">
        <f>'House Count'!H1127</f>
        <v>0</v>
      </c>
    </row>
    <row r="1128" spans="1:8" x14ac:dyDescent="0.25">
      <c r="A1128" s="914">
        <f>'House Count'!A1128</f>
        <v>0</v>
      </c>
      <c r="B1128" s="915">
        <f>'House Count'!E1128</f>
        <v>0</v>
      </c>
      <c r="C1128" s="915">
        <f>'House Count'!B1128</f>
        <v>0</v>
      </c>
      <c r="D1128" s="915">
        <f>'House Count'!C1128</f>
        <v>0</v>
      </c>
      <c r="E1128" s="915">
        <f>'House Count'!D1128</f>
        <v>0</v>
      </c>
      <c r="F1128" s="915" t="str">
        <f t="shared" si="17"/>
        <v/>
      </c>
      <c r="G1128" s="915">
        <f>'House Count'!F1128</f>
        <v>0</v>
      </c>
      <c r="H1128" s="915">
        <f>'House Count'!H1128</f>
        <v>0</v>
      </c>
    </row>
    <row r="1129" spans="1:8" x14ac:dyDescent="0.25">
      <c r="A1129" s="914">
        <f>'House Count'!A1129</f>
        <v>0</v>
      </c>
      <c r="B1129" s="915">
        <f>'House Count'!E1129</f>
        <v>0</v>
      </c>
      <c r="C1129" s="915">
        <f>'House Count'!B1129</f>
        <v>0</v>
      </c>
      <c r="D1129" s="915">
        <f>'House Count'!C1129</f>
        <v>0</v>
      </c>
      <c r="E1129" s="915">
        <f>'House Count'!D1129</f>
        <v>0</v>
      </c>
      <c r="F1129" s="915" t="str">
        <f t="shared" si="17"/>
        <v/>
      </c>
      <c r="G1129" s="915">
        <f>'House Count'!F1129</f>
        <v>0</v>
      </c>
      <c r="H1129" s="915">
        <f>'House Count'!H1129</f>
        <v>0</v>
      </c>
    </row>
    <row r="1130" spans="1:8" x14ac:dyDescent="0.25">
      <c r="A1130" s="914">
        <f>'House Count'!A1130</f>
        <v>0</v>
      </c>
      <c r="B1130" s="915">
        <f>'House Count'!E1130</f>
        <v>0</v>
      </c>
      <c r="C1130" s="915">
        <f>'House Count'!B1130</f>
        <v>0</v>
      </c>
      <c r="D1130" s="915">
        <f>'House Count'!C1130</f>
        <v>0</v>
      </c>
      <c r="E1130" s="915">
        <f>'House Count'!D1130</f>
        <v>0</v>
      </c>
      <c r="F1130" s="915" t="str">
        <f t="shared" si="17"/>
        <v/>
      </c>
      <c r="G1130" s="915">
        <f>'House Count'!F1130</f>
        <v>0</v>
      </c>
      <c r="H1130" s="915">
        <f>'House Count'!H1130</f>
        <v>0</v>
      </c>
    </row>
    <row r="1131" spans="1:8" x14ac:dyDescent="0.25">
      <c r="A1131" s="914">
        <f>'House Count'!A1131</f>
        <v>0</v>
      </c>
      <c r="B1131" s="915">
        <f>'House Count'!E1131</f>
        <v>0</v>
      </c>
      <c r="C1131" s="915">
        <f>'House Count'!B1131</f>
        <v>0</v>
      </c>
      <c r="D1131" s="915">
        <f>'House Count'!C1131</f>
        <v>0</v>
      </c>
      <c r="E1131" s="915">
        <f>'House Count'!D1131</f>
        <v>0</v>
      </c>
      <c r="F1131" s="915" t="str">
        <f t="shared" si="17"/>
        <v/>
      </c>
      <c r="G1131" s="915">
        <f>'House Count'!F1131</f>
        <v>0</v>
      </c>
      <c r="H1131" s="915">
        <f>'House Count'!H1131</f>
        <v>0</v>
      </c>
    </row>
    <row r="1132" spans="1:8" x14ac:dyDescent="0.25">
      <c r="A1132" s="914">
        <f>'House Count'!A1132</f>
        <v>0</v>
      </c>
      <c r="B1132" s="915">
        <f>'House Count'!E1132</f>
        <v>0</v>
      </c>
      <c r="C1132" s="915">
        <f>'House Count'!B1132</f>
        <v>0</v>
      </c>
      <c r="D1132" s="915">
        <f>'House Count'!C1132</f>
        <v>0</v>
      </c>
      <c r="E1132" s="915">
        <f>'House Count'!D1132</f>
        <v>0</v>
      </c>
      <c r="F1132" s="915" t="str">
        <f t="shared" si="17"/>
        <v/>
      </c>
      <c r="G1132" s="915">
        <f>'House Count'!F1132</f>
        <v>0</v>
      </c>
      <c r="H1132" s="915">
        <f>'House Count'!H1132</f>
        <v>0</v>
      </c>
    </row>
    <row r="1133" spans="1:8" x14ac:dyDescent="0.25">
      <c r="A1133" s="914">
        <f>'House Count'!A1133</f>
        <v>0</v>
      </c>
      <c r="B1133" s="915">
        <f>'House Count'!E1133</f>
        <v>0</v>
      </c>
      <c r="C1133" s="915">
        <f>'House Count'!B1133</f>
        <v>0</v>
      </c>
      <c r="D1133" s="915">
        <f>'House Count'!C1133</f>
        <v>0</v>
      </c>
      <c r="E1133" s="915">
        <f>'House Count'!D1133</f>
        <v>0</v>
      </c>
      <c r="F1133" s="915" t="str">
        <f t="shared" si="17"/>
        <v/>
      </c>
      <c r="G1133" s="915">
        <f>'House Count'!F1133</f>
        <v>0</v>
      </c>
      <c r="H1133" s="915">
        <f>'House Count'!H1133</f>
        <v>0</v>
      </c>
    </row>
    <row r="1134" spans="1:8" x14ac:dyDescent="0.25">
      <c r="A1134" s="914">
        <f>'House Count'!A1134</f>
        <v>0</v>
      </c>
      <c r="B1134" s="915">
        <f>'House Count'!E1134</f>
        <v>0</v>
      </c>
      <c r="C1134" s="915">
        <f>'House Count'!B1134</f>
        <v>0</v>
      </c>
      <c r="D1134" s="915">
        <f>'House Count'!C1134</f>
        <v>0</v>
      </c>
      <c r="E1134" s="915">
        <f>'House Count'!D1134</f>
        <v>0</v>
      </c>
      <c r="F1134" s="915" t="str">
        <f t="shared" si="17"/>
        <v/>
      </c>
      <c r="G1134" s="915">
        <f>'House Count'!F1134</f>
        <v>0</v>
      </c>
      <c r="H1134" s="915">
        <f>'House Count'!H1134</f>
        <v>0</v>
      </c>
    </row>
    <row r="1135" spans="1:8" x14ac:dyDescent="0.25">
      <c r="A1135" s="914">
        <f>'House Count'!A1135</f>
        <v>0</v>
      </c>
      <c r="B1135" s="915">
        <f>'House Count'!E1135</f>
        <v>0</v>
      </c>
      <c r="C1135" s="915">
        <f>'House Count'!B1135</f>
        <v>0</v>
      </c>
      <c r="D1135" s="915">
        <f>'House Count'!C1135</f>
        <v>0</v>
      </c>
      <c r="E1135" s="915">
        <f>'House Count'!D1135</f>
        <v>0</v>
      </c>
      <c r="F1135" s="915" t="str">
        <f t="shared" si="17"/>
        <v/>
      </c>
      <c r="G1135" s="915">
        <f>'House Count'!F1135</f>
        <v>0</v>
      </c>
      <c r="H1135" s="915">
        <f>'House Count'!H1135</f>
        <v>0</v>
      </c>
    </row>
    <row r="1136" spans="1:8" x14ac:dyDescent="0.25">
      <c r="A1136" s="914">
        <f>'House Count'!A1136</f>
        <v>0</v>
      </c>
      <c r="B1136" s="915">
        <f>'House Count'!E1136</f>
        <v>0</v>
      </c>
      <c r="C1136" s="915">
        <f>'House Count'!B1136</f>
        <v>0</v>
      </c>
      <c r="D1136" s="915">
        <f>'House Count'!C1136</f>
        <v>0</v>
      </c>
      <c r="E1136" s="915">
        <f>'House Count'!D1136</f>
        <v>0</v>
      </c>
      <c r="F1136" s="915" t="str">
        <f t="shared" si="17"/>
        <v/>
      </c>
      <c r="G1136" s="915">
        <f>'House Count'!F1136</f>
        <v>0</v>
      </c>
      <c r="H1136" s="915">
        <f>'House Count'!H1136</f>
        <v>0</v>
      </c>
    </row>
    <row r="1137" spans="1:8" x14ac:dyDescent="0.25">
      <c r="A1137" s="914">
        <f>'House Count'!A1137</f>
        <v>0</v>
      </c>
      <c r="B1137" s="915">
        <f>'House Count'!E1137</f>
        <v>0</v>
      </c>
      <c r="C1137" s="915">
        <f>'House Count'!B1137</f>
        <v>0</v>
      </c>
      <c r="D1137" s="915">
        <f>'House Count'!C1137</f>
        <v>0</v>
      </c>
      <c r="E1137" s="915">
        <f>'House Count'!D1137</f>
        <v>0</v>
      </c>
      <c r="F1137" s="915" t="str">
        <f t="shared" si="17"/>
        <v/>
      </c>
      <c r="G1137" s="915">
        <f>'House Count'!F1137</f>
        <v>0</v>
      </c>
      <c r="H1137" s="915">
        <f>'House Count'!H1137</f>
        <v>0</v>
      </c>
    </row>
    <row r="1138" spans="1:8" x14ac:dyDescent="0.25">
      <c r="A1138" s="914">
        <f>'House Count'!A1138</f>
        <v>0</v>
      </c>
      <c r="B1138" s="915">
        <f>'House Count'!E1138</f>
        <v>0</v>
      </c>
      <c r="C1138" s="915">
        <f>'House Count'!B1138</f>
        <v>0</v>
      </c>
      <c r="D1138" s="915">
        <f>'House Count'!C1138</f>
        <v>0</v>
      </c>
      <c r="E1138" s="915">
        <f>'House Count'!D1138</f>
        <v>0</v>
      </c>
      <c r="F1138" s="915" t="str">
        <f t="shared" si="17"/>
        <v/>
      </c>
      <c r="G1138" s="915">
        <f>'House Count'!F1138</f>
        <v>0</v>
      </c>
      <c r="H1138" s="915">
        <f>'House Count'!H1138</f>
        <v>0</v>
      </c>
    </row>
    <row r="1139" spans="1:8" x14ac:dyDescent="0.25">
      <c r="A1139" s="914">
        <f>'House Count'!A1139</f>
        <v>0</v>
      </c>
      <c r="B1139" s="915">
        <f>'House Count'!E1139</f>
        <v>0</v>
      </c>
      <c r="C1139" s="915">
        <f>'House Count'!B1139</f>
        <v>0</v>
      </c>
      <c r="D1139" s="915">
        <f>'House Count'!C1139</f>
        <v>0</v>
      </c>
      <c r="E1139" s="915">
        <f>'House Count'!D1139</f>
        <v>0</v>
      </c>
      <c r="F1139" s="915" t="str">
        <f t="shared" si="17"/>
        <v/>
      </c>
      <c r="G1139" s="915">
        <f>'House Count'!F1139</f>
        <v>0</v>
      </c>
      <c r="H1139" s="915">
        <f>'House Count'!H1139</f>
        <v>0</v>
      </c>
    </row>
    <row r="1140" spans="1:8" x14ac:dyDescent="0.25">
      <c r="A1140" s="914">
        <f>'House Count'!A1140</f>
        <v>0</v>
      </c>
      <c r="B1140" s="915">
        <f>'House Count'!E1140</f>
        <v>0</v>
      </c>
      <c r="C1140" s="915">
        <f>'House Count'!B1140</f>
        <v>0</v>
      </c>
      <c r="D1140" s="915">
        <f>'House Count'!C1140</f>
        <v>0</v>
      </c>
      <c r="E1140" s="915">
        <f>'House Count'!D1140</f>
        <v>0</v>
      </c>
      <c r="F1140" s="915" t="str">
        <f t="shared" si="17"/>
        <v/>
      </c>
      <c r="G1140" s="915">
        <f>'House Count'!F1140</f>
        <v>0</v>
      </c>
      <c r="H1140" s="915">
        <f>'House Count'!H1140</f>
        <v>0</v>
      </c>
    </row>
    <row r="1141" spans="1:8" x14ac:dyDescent="0.25">
      <c r="A1141" s="914">
        <f>'House Count'!A1141</f>
        <v>0</v>
      </c>
      <c r="B1141" s="915">
        <f>'House Count'!E1141</f>
        <v>0</v>
      </c>
      <c r="C1141" s="915">
        <f>'House Count'!B1141</f>
        <v>0</v>
      </c>
      <c r="D1141" s="915">
        <f>'House Count'!C1141</f>
        <v>0</v>
      </c>
      <c r="E1141" s="915">
        <f>'House Count'!D1141</f>
        <v>0</v>
      </c>
      <c r="F1141" s="915" t="str">
        <f t="shared" si="17"/>
        <v/>
      </c>
      <c r="G1141" s="915">
        <f>'House Count'!F1141</f>
        <v>0</v>
      </c>
      <c r="H1141" s="915">
        <f>'House Count'!H1141</f>
        <v>0</v>
      </c>
    </row>
    <row r="1142" spans="1:8" x14ac:dyDescent="0.25">
      <c r="A1142" s="914">
        <f>'House Count'!A1142</f>
        <v>0</v>
      </c>
      <c r="B1142" s="915">
        <f>'House Count'!E1142</f>
        <v>0</v>
      </c>
      <c r="C1142" s="915">
        <f>'House Count'!B1142</f>
        <v>0</v>
      </c>
      <c r="D1142" s="915">
        <f>'House Count'!C1142</f>
        <v>0</v>
      </c>
      <c r="E1142" s="915">
        <f>'House Count'!D1142</f>
        <v>0</v>
      </c>
      <c r="F1142" s="915" t="str">
        <f t="shared" si="17"/>
        <v/>
      </c>
      <c r="G1142" s="915">
        <f>'House Count'!F1142</f>
        <v>0</v>
      </c>
      <c r="H1142" s="915">
        <f>'House Count'!H1142</f>
        <v>0</v>
      </c>
    </row>
    <row r="1143" spans="1:8" x14ac:dyDescent="0.25">
      <c r="A1143" s="914">
        <f>'House Count'!A1143</f>
        <v>0</v>
      </c>
      <c r="B1143" s="915">
        <f>'House Count'!E1143</f>
        <v>0</v>
      </c>
      <c r="C1143" s="915">
        <f>'House Count'!B1143</f>
        <v>0</v>
      </c>
      <c r="D1143" s="915">
        <f>'House Count'!C1143</f>
        <v>0</v>
      </c>
      <c r="E1143" s="915">
        <f>'House Count'!D1143</f>
        <v>0</v>
      </c>
      <c r="F1143" s="915" t="str">
        <f t="shared" si="17"/>
        <v/>
      </c>
      <c r="G1143" s="915">
        <f>'House Count'!F1143</f>
        <v>0</v>
      </c>
      <c r="H1143" s="915">
        <f>'House Count'!H1143</f>
        <v>0</v>
      </c>
    </row>
    <row r="1144" spans="1:8" x14ac:dyDescent="0.25">
      <c r="A1144" s="914">
        <f>'House Count'!A1144</f>
        <v>0</v>
      </c>
      <c r="B1144" s="915">
        <f>'House Count'!E1144</f>
        <v>0</v>
      </c>
      <c r="C1144" s="915">
        <f>'House Count'!B1144</f>
        <v>0</v>
      </c>
      <c r="D1144" s="915">
        <f>'House Count'!C1144</f>
        <v>0</v>
      </c>
      <c r="E1144" s="915">
        <f>'House Count'!D1144</f>
        <v>0</v>
      </c>
      <c r="F1144" s="915" t="str">
        <f t="shared" si="17"/>
        <v/>
      </c>
      <c r="G1144" s="915">
        <f>'House Count'!F1144</f>
        <v>0</v>
      </c>
      <c r="H1144" s="915">
        <f>'House Count'!H1144</f>
        <v>0</v>
      </c>
    </row>
    <row r="1145" spans="1:8" x14ac:dyDescent="0.25">
      <c r="A1145" s="914">
        <f>'House Count'!A1145</f>
        <v>0</v>
      </c>
      <c r="B1145" s="915">
        <f>'House Count'!E1145</f>
        <v>0</v>
      </c>
      <c r="C1145" s="915">
        <f>'House Count'!B1145</f>
        <v>0</v>
      </c>
      <c r="D1145" s="915">
        <f>'House Count'!C1145</f>
        <v>0</v>
      </c>
      <c r="E1145" s="915">
        <f>'House Count'!D1145</f>
        <v>0</v>
      </c>
      <c r="F1145" s="915" t="str">
        <f t="shared" si="17"/>
        <v/>
      </c>
      <c r="G1145" s="915">
        <f>'House Count'!F1145</f>
        <v>0</v>
      </c>
      <c r="H1145" s="915">
        <f>'House Count'!H1145</f>
        <v>0</v>
      </c>
    </row>
    <row r="1146" spans="1:8" x14ac:dyDescent="0.25">
      <c r="A1146" s="914">
        <f>'House Count'!A1146</f>
        <v>0</v>
      </c>
      <c r="B1146" s="915">
        <f>'House Count'!E1146</f>
        <v>0</v>
      </c>
      <c r="C1146" s="915">
        <f>'House Count'!B1146</f>
        <v>0</v>
      </c>
      <c r="D1146" s="915">
        <f>'House Count'!C1146</f>
        <v>0</v>
      </c>
      <c r="E1146" s="915">
        <f>'House Count'!D1146</f>
        <v>0</v>
      </c>
      <c r="F1146" s="915" t="str">
        <f t="shared" si="17"/>
        <v/>
      </c>
      <c r="G1146" s="915">
        <f>'House Count'!F1146</f>
        <v>0</v>
      </c>
      <c r="H1146" s="915">
        <f>'House Count'!H1146</f>
        <v>0</v>
      </c>
    </row>
    <row r="1147" spans="1:8" x14ac:dyDescent="0.25">
      <c r="A1147" s="914">
        <f>'House Count'!A1147</f>
        <v>0</v>
      </c>
      <c r="B1147" s="915">
        <f>'House Count'!E1147</f>
        <v>0</v>
      </c>
      <c r="C1147" s="915">
        <f>'House Count'!B1147</f>
        <v>0</v>
      </c>
      <c r="D1147" s="915">
        <f>'House Count'!C1147</f>
        <v>0</v>
      </c>
      <c r="E1147" s="915">
        <f>'House Count'!D1147</f>
        <v>0</v>
      </c>
      <c r="F1147" s="915" t="str">
        <f t="shared" si="17"/>
        <v/>
      </c>
      <c r="G1147" s="915">
        <f>'House Count'!F1147</f>
        <v>0</v>
      </c>
      <c r="H1147" s="915">
        <f>'House Count'!H1147</f>
        <v>0</v>
      </c>
    </row>
    <row r="1148" spans="1:8" x14ac:dyDescent="0.25">
      <c r="A1148" s="914">
        <f>'House Count'!A1148</f>
        <v>0</v>
      </c>
      <c r="B1148" s="915">
        <f>'House Count'!E1148</f>
        <v>0</v>
      </c>
      <c r="C1148" s="915">
        <f>'House Count'!B1148</f>
        <v>0</v>
      </c>
      <c r="D1148" s="915">
        <f>'House Count'!C1148</f>
        <v>0</v>
      </c>
      <c r="E1148" s="915">
        <f>'House Count'!D1148</f>
        <v>0</v>
      </c>
      <c r="F1148" s="915" t="str">
        <f t="shared" si="17"/>
        <v/>
      </c>
      <c r="G1148" s="915">
        <f>'House Count'!F1148</f>
        <v>0</v>
      </c>
      <c r="H1148" s="915">
        <f>'House Count'!H1148</f>
        <v>0</v>
      </c>
    </row>
    <row r="1149" spans="1:8" x14ac:dyDescent="0.25">
      <c r="A1149" s="914">
        <f>'House Count'!A1149</f>
        <v>0</v>
      </c>
      <c r="B1149" s="915">
        <f>'House Count'!E1149</f>
        <v>0</v>
      </c>
      <c r="C1149" s="915">
        <f>'House Count'!B1149</f>
        <v>0</v>
      </c>
      <c r="D1149" s="915">
        <f>'House Count'!C1149</f>
        <v>0</v>
      </c>
      <c r="E1149" s="915">
        <f>'House Count'!D1149</f>
        <v>0</v>
      </c>
      <c r="F1149" s="915" t="str">
        <f t="shared" si="17"/>
        <v/>
      </c>
      <c r="G1149" s="915">
        <f>'House Count'!F1149</f>
        <v>0</v>
      </c>
      <c r="H1149" s="915">
        <f>'House Count'!H1149</f>
        <v>0</v>
      </c>
    </row>
    <row r="1150" spans="1:8" x14ac:dyDescent="0.25">
      <c r="A1150" s="914">
        <f>'House Count'!A1150</f>
        <v>0</v>
      </c>
      <c r="B1150" s="915">
        <f>'House Count'!E1150</f>
        <v>0</v>
      </c>
      <c r="C1150" s="915">
        <f>'House Count'!B1150</f>
        <v>0</v>
      </c>
      <c r="D1150" s="915">
        <f>'House Count'!C1150</f>
        <v>0</v>
      </c>
      <c r="E1150" s="915">
        <f>'House Count'!D1150</f>
        <v>0</v>
      </c>
      <c r="F1150" s="915" t="str">
        <f t="shared" si="17"/>
        <v/>
      </c>
      <c r="G1150" s="915">
        <f>'House Count'!F1150</f>
        <v>0</v>
      </c>
      <c r="H1150" s="915">
        <f>'House Count'!H1150</f>
        <v>0</v>
      </c>
    </row>
    <row r="1151" spans="1:8" x14ac:dyDescent="0.25">
      <c r="A1151" s="914">
        <f>'House Count'!A1151</f>
        <v>0</v>
      </c>
      <c r="B1151" s="915">
        <f>'House Count'!E1151</f>
        <v>0</v>
      </c>
      <c r="C1151" s="915">
        <f>'House Count'!B1151</f>
        <v>0</v>
      </c>
      <c r="D1151" s="915">
        <f>'House Count'!C1151</f>
        <v>0</v>
      </c>
      <c r="E1151" s="915">
        <f>'House Count'!D1151</f>
        <v>0</v>
      </c>
      <c r="F1151" s="915" t="str">
        <f t="shared" si="17"/>
        <v/>
      </c>
      <c r="G1151" s="915">
        <f>'House Count'!F1151</f>
        <v>0</v>
      </c>
      <c r="H1151" s="915">
        <f>'House Count'!H1151</f>
        <v>0</v>
      </c>
    </row>
    <row r="1152" spans="1:8" x14ac:dyDescent="0.25">
      <c r="A1152" s="914">
        <f>'House Count'!A1152</f>
        <v>0</v>
      </c>
      <c r="B1152" s="915">
        <f>'House Count'!E1152</f>
        <v>0</v>
      </c>
      <c r="C1152" s="915">
        <f>'House Count'!B1152</f>
        <v>0</v>
      </c>
      <c r="D1152" s="915">
        <f>'House Count'!C1152</f>
        <v>0</v>
      </c>
      <c r="E1152" s="915">
        <f>'House Count'!D1152</f>
        <v>0</v>
      </c>
      <c r="F1152" s="915" t="str">
        <f t="shared" si="17"/>
        <v/>
      </c>
      <c r="G1152" s="915">
        <f>'House Count'!F1152</f>
        <v>0</v>
      </c>
      <c r="H1152" s="915">
        <f>'House Count'!H1152</f>
        <v>0</v>
      </c>
    </row>
    <row r="1153" spans="1:8" x14ac:dyDescent="0.25">
      <c r="A1153" s="914">
        <f>'House Count'!A1153</f>
        <v>0</v>
      </c>
      <c r="B1153" s="915">
        <f>'House Count'!E1153</f>
        <v>0</v>
      </c>
      <c r="C1153" s="915">
        <f>'House Count'!B1153</f>
        <v>0</v>
      </c>
      <c r="D1153" s="915">
        <f>'House Count'!C1153</f>
        <v>0</v>
      </c>
      <c r="E1153" s="915">
        <f>'House Count'!D1153</f>
        <v>0</v>
      </c>
      <c r="F1153" s="915" t="str">
        <f t="shared" si="17"/>
        <v/>
      </c>
      <c r="G1153" s="915">
        <f>'House Count'!F1153</f>
        <v>0</v>
      </c>
      <c r="H1153" s="915">
        <f>'House Count'!H1153</f>
        <v>0</v>
      </c>
    </row>
    <row r="1154" spans="1:8" x14ac:dyDescent="0.25">
      <c r="A1154" s="914">
        <f>'House Count'!A1154</f>
        <v>0</v>
      </c>
      <c r="B1154" s="915">
        <f>'House Count'!E1154</f>
        <v>0</v>
      </c>
      <c r="C1154" s="915">
        <f>'House Count'!B1154</f>
        <v>0</v>
      </c>
      <c r="D1154" s="915">
        <f>'House Count'!C1154</f>
        <v>0</v>
      </c>
      <c r="E1154" s="915">
        <f>'House Count'!D1154</f>
        <v>0</v>
      </c>
      <c r="F1154" s="915" t="str">
        <f t="shared" si="17"/>
        <v/>
      </c>
      <c r="G1154" s="915">
        <f>'House Count'!F1154</f>
        <v>0</v>
      </c>
      <c r="H1154" s="915">
        <f>'House Count'!H1154</f>
        <v>0</v>
      </c>
    </row>
    <row r="1155" spans="1:8" x14ac:dyDescent="0.25">
      <c r="A1155" s="914">
        <f>'House Count'!A1155</f>
        <v>0</v>
      </c>
      <c r="B1155" s="915">
        <f>'House Count'!E1155</f>
        <v>0</v>
      </c>
      <c r="C1155" s="915">
        <f>'House Count'!B1155</f>
        <v>0</v>
      </c>
      <c r="D1155" s="915">
        <f>'House Count'!C1155</f>
        <v>0</v>
      </c>
      <c r="E1155" s="915">
        <f>'House Count'!D1155</f>
        <v>0</v>
      </c>
      <c r="F1155" s="915" t="str">
        <f t="shared" ref="F1155:F1218" si="18">IF(G1155="RES-SFU","RESIDENTIAL",IF(G1155="RES-HOA","RESIDENTIAL",IF(G1155="RES-MDU","RESIDENTIAL",IF(G1155="COMM-SU","BUSINESS",IF(G1155="COM-MTU","BUSINESS",IF(G1155="ENT","BUSINESS",""))))))</f>
        <v/>
      </c>
      <c r="G1155" s="915">
        <f>'House Count'!F1155</f>
        <v>0</v>
      </c>
      <c r="H1155" s="915">
        <f>'House Count'!H1155</f>
        <v>0</v>
      </c>
    </row>
    <row r="1156" spans="1:8" x14ac:dyDescent="0.25">
      <c r="A1156" s="914">
        <f>'House Count'!A1156</f>
        <v>0</v>
      </c>
      <c r="B1156" s="915">
        <f>'House Count'!E1156</f>
        <v>0</v>
      </c>
      <c r="C1156" s="915">
        <f>'House Count'!B1156</f>
        <v>0</v>
      </c>
      <c r="D1156" s="915">
        <f>'House Count'!C1156</f>
        <v>0</v>
      </c>
      <c r="E1156" s="915">
        <f>'House Count'!D1156</f>
        <v>0</v>
      </c>
      <c r="F1156" s="915" t="str">
        <f t="shared" si="18"/>
        <v/>
      </c>
      <c r="G1156" s="915">
        <f>'House Count'!F1156</f>
        <v>0</v>
      </c>
      <c r="H1156" s="915">
        <f>'House Count'!H1156</f>
        <v>0</v>
      </c>
    </row>
    <row r="1157" spans="1:8" x14ac:dyDescent="0.25">
      <c r="A1157" s="914">
        <f>'House Count'!A1157</f>
        <v>0</v>
      </c>
      <c r="B1157" s="915">
        <f>'House Count'!E1157</f>
        <v>0</v>
      </c>
      <c r="C1157" s="915">
        <f>'House Count'!B1157</f>
        <v>0</v>
      </c>
      <c r="D1157" s="915">
        <f>'House Count'!C1157</f>
        <v>0</v>
      </c>
      <c r="E1157" s="915">
        <f>'House Count'!D1157</f>
        <v>0</v>
      </c>
      <c r="F1157" s="915" t="str">
        <f t="shared" si="18"/>
        <v/>
      </c>
      <c r="G1157" s="915">
        <f>'House Count'!F1157</f>
        <v>0</v>
      </c>
      <c r="H1157" s="915">
        <f>'House Count'!H1157</f>
        <v>0</v>
      </c>
    </row>
    <row r="1158" spans="1:8" x14ac:dyDescent="0.25">
      <c r="A1158" s="914">
        <f>'House Count'!A1158</f>
        <v>0</v>
      </c>
      <c r="B1158" s="915">
        <f>'House Count'!E1158</f>
        <v>0</v>
      </c>
      <c r="C1158" s="915">
        <f>'House Count'!B1158</f>
        <v>0</v>
      </c>
      <c r="D1158" s="915">
        <f>'House Count'!C1158</f>
        <v>0</v>
      </c>
      <c r="E1158" s="915">
        <f>'House Count'!D1158</f>
        <v>0</v>
      </c>
      <c r="F1158" s="915" t="str">
        <f t="shared" si="18"/>
        <v/>
      </c>
      <c r="G1158" s="915">
        <f>'House Count'!F1158</f>
        <v>0</v>
      </c>
      <c r="H1158" s="915">
        <f>'House Count'!H1158</f>
        <v>0</v>
      </c>
    </row>
    <row r="1159" spans="1:8" x14ac:dyDescent="0.25">
      <c r="A1159" s="914">
        <f>'House Count'!A1159</f>
        <v>0</v>
      </c>
      <c r="B1159" s="915">
        <f>'House Count'!E1159</f>
        <v>0</v>
      </c>
      <c r="C1159" s="915">
        <f>'House Count'!B1159</f>
        <v>0</v>
      </c>
      <c r="D1159" s="915">
        <f>'House Count'!C1159</f>
        <v>0</v>
      </c>
      <c r="E1159" s="915">
        <f>'House Count'!D1159</f>
        <v>0</v>
      </c>
      <c r="F1159" s="915" t="str">
        <f t="shared" si="18"/>
        <v/>
      </c>
      <c r="G1159" s="915">
        <f>'House Count'!F1159</f>
        <v>0</v>
      </c>
      <c r="H1159" s="915">
        <f>'House Count'!H1159</f>
        <v>0</v>
      </c>
    </row>
    <row r="1160" spans="1:8" x14ac:dyDescent="0.25">
      <c r="A1160" s="914">
        <f>'House Count'!A1160</f>
        <v>0</v>
      </c>
      <c r="B1160" s="915">
        <f>'House Count'!E1160</f>
        <v>0</v>
      </c>
      <c r="C1160" s="915">
        <f>'House Count'!B1160</f>
        <v>0</v>
      </c>
      <c r="D1160" s="915">
        <f>'House Count'!C1160</f>
        <v>0</v>
      </c>
      <c r="E1160" s="915">
        <f>'House Count'!D1160</f>
        <v>0</v>
      </c>
      <c r="F1160" s="915" t="str">
        <f t="shared" si="18"/>
        <v/>
      </c>
      <c r="G1160" s="915">
        <f>'House Count'!F1160</f>
        <v>0</v>
      </c>
      <c r="H1160" s="915">
        <f>'House Count'!H1160</f>
        <v>0</v>
      </c>
    </row>
    <row r="1161" spans="1:8" x14ac:dyDescent="0.25">
      <c r="A1161" s="914">
        <f>'House Count'!A1161</f>
        <v>0</v>
      </c>
      <c r="B1161" s="915">
        <f>'House Count'!E1161</f>
        <v>0</v>
      </c>
      <c r="C1161" s="915">
        <f>'House Count'!B1161</f>
        <v>0</v>
      </c>
      <c r="D1161" s="915">
        <f>'House Count'!C1161</f>
        <v>0</v>
      </c>
      <c r="E1161" s="915">
        <f>'House Count'!D1161</f>
        <v>0</v>
      </c>
      <c r="F1161" s="915" t="str">
        <f t="shared" si="18"/>
        <v/>
      </c>
      <c r="G1161" s="915">
        <f>'House Count'!F1161</f>
        <v>0</v>
      </c>
      <c r="H1161" s="915">
        <f>'House Count'!H1161</f>
        <v>0</v>
      </c>
    </row>
    <row r="1162" spans="1:8" x14ac:dyDescent="0.25">
      <c r="A1162" s="914">
        <f>'House Count'!A1162</f>
        <v>0</v>
      </c>
      <c r="B1162" s="915">
        <f>'House Count'!E1162</f>
        <v>0</v>
      </c>
      <c r="C1162" s="915">
        <f>'House Count'!B1162</f>
        <v>0</v>
      </c>
      <c r="D1162" s="915">
        <f>'House Count'!C1162</f>
        <v>0</v>
      </c>
      <c r="E1162" s="915">
        <f>'House Count'!D1162</f>
        <v>0</v>
      </c>
      <c r="F1162" s="915" t="str">
        <f t="shared" si="18"/>
        <v/>
      </c>
      <c r="G1162" s="915">
        <f>'House Count'!F1162</f>
        <v>0</v>
      </c>
      <c r="H1162" s="915">
        <f>'House Count'!H1162</f>
        <v>0</v>
      </c>
    </row>
    <row r="1163" spans="1:8" x14ac:dyDescent="0.25">
      <c r="A1163" s="914">
        <f>'House Count'!A1163</f>
        <v>0</v>
      </c>
      <c r="B1163" s="915">
        <f>'House Count'!E1163</f>
        <v>0</v>
      </c>
      <c r="C1163" s="915">
        <f>'House Count'!B1163</f>
        <v>0</v>
      </c>
      <c r="D1163" s="915">
        <f>'House Count'!C1163</f>
        <v>0</v>
      </c>
      <c r="E1163" s="915">
        <f>'House Count'!D1163</f>
        <v>0</v>
      </c>
      <c r="F1163" s="915" t="str">
        <f t="shared" si="18"/>
        <v/>
      </c>
      <c r="G1163" s="915">
        <f>'House Count'!F1163</f>
        <v>0</v>
      </c>
      <c r="H1163" s="915">
        <f>'House Count'!H1163</f>
        <v>0</v>
      </c>
    </row>
    <row r="1164" spans="1:8" x14ac:dyDescent="0.25">
      <c r="A1164" s="914">
        <f>'House Count'!A1164</f>
        <v>0</v>
      </c>
      <c r="B1164" s="915">
        <f>'House Count'!E1164</f>
        <v>0</v>
      </c>
      <c r="C1164" s="915">
        <f>'House Count'!B1164</f>
        <v>0</v>
      </c>
      <c r="D1164" s="915">
        <f>'House Count'!C1164</f>
        <v>0</v>
      </c>
      <c r="E1164" s="915">
        <f>'House Count'!D1164</f>
        <v>0</v>
      </c>
      <c r="F1164" s="915" t="str">
        <f t="shared" si="18"/>
        <v/>
      </c>
      <c r="G1164" s="915">
        <f>'House Count'!F1164</f>
        <v>0</v>
      </c>
      <c r="H1164" s="915">
        <f>'House Count'!H1164</f>
        <v>0</v>
      </c>
    </row>
    <row r="1165" spans="1:8" x14ac:dyDescent="0.25">
      <c r="A1165" s="914">
        <f>'House Count'!A1165</f>
        <v>0</v>
      </c>
      <c r="B1165" s="915">
        <f>'House Count'!E1165</f>
        <v>0</v>
      </c>
      <c r="C1165" s="915">
        <f>'House Count'!B1165</f>
        <v>0</v>
      </c>
      <c r="D1165" s="915">
        <f>'House Count'!C1165</f>
        <v>0</v>
      </c>
      <c r="E1165" s="915">
        <f>'House Count'!D1165</f>
        <v>0</v>
      </c>
      <c r="F1165" s="915" t="str">
        <f t="shared" si="18"/>
        <v/>
      </c>
      <c r="G1165" s="915">
        <f>'House Count'!F1165</f>
        <v>0</v>
      </c>
      <c r="H1165" s="915">
        <f>'House Count'!H1165</f>
        <v>0</v>
      </c>
    </row>
    <row r="1166" spans="1:8" x14ac:dyDescent="0.25">
      <c r="A1166" s="914">
        <f>'House Count'!A1166</f>
        <v>0</v>
      </c>
      <c r="B1166" s="915">
        <f>'House Count'!E1166</f>
        <v>0</v>
      </c>
      <c r="C1166" s="915">
        <f>'House Count'!B1166</f>
        <v>0</v>
      </c>
      <c r="D1166" s="915">
        <f>'House Count'!C1166</f>
        <v>0</v>
      </c>
      <c r="E1166" s="915">
        <f>'House Count'!D1166</f>
        <v>0</v>
      </c>
      <c r="F1166" s="915" t="str">
        <f t="shared" si="18"/>
        <v/>
      </c>
      <c r="G1166" s="915">
        <f>'House Count'!F1166</f>
        <v>0</v>
      </c>
      <c r="H1166" s="915">
        <f>'House Count'!H1166</f>
        <v>0</v>
      </c>
    </row>
    <row r="1167" spans="1:8" x14ac:dyDescent="0.25">
      <c r="A1167" s="914">
        <f>'House Count'!A1167</f>
        <v>0</v>
      </c>
      <c r="B1167" s="915">
        <f>'House Count'!E1167</f>
        <v>0</v>
      </c>
      <c r="C1167" s="915">
        <f>'House Count'!B1167</f>
        <v>0</v>
      </c>
      <c r="D1167" s="915">
        <f>'House Count'!C1167</f>
        <v>0</v>
      </c>
      <c r="E1167" s="915">
        <f>'House Count'!D1167</f>
        <v>0</v>
      </c>
      <c r="F1167" s="915" t="str">
        <f t="shared" si="18"/>
        <v/>
      </c>
      <c r="G1167" s="915">
        <f>'House Count'!F1167</f>
        <v>0</v>
      </c>
      <c r="H1167" s="915">
        <f>'House Count'!H1167</f>
        <v>0</v>
      </c>
    </row>
    <row r="1168" spans="1:8" x14ac:dyDescent="0.25">
      <c r="A1168" s="914">
        <f>'House Count'!A1168</f>
        <v>0</v>
      </c>
      <c r="B1168" s="915">
        <f>'House Count'!E1168</f>
        <v>0</v>
      </c>
      <c r="C1168" s="915">
        <f>'House Count'!B1168</f>
        <v>0</v>
      </c>
      <c r="D1168" s="915">
        <f>'House Count'!C1168</f>
        <v>0</v>
      </c>
      <c r="E1168" s="915">
        <f>'House Count'!D1168</f>
        <v>0</v>
      </c>
      <c r="F1168" s="915" t="str">
        <f t="shared" si="18"/>
        <v/>
      </c>
      <c r="G1168" s="915">
        <f>'House Count'!F1168</f>
        <v>0</v>
      </c>
      <c r="H1168" s="915">
        <f>'House Count'!H1168</f>
        <v>0</v>
      </c>
    </row>
    <row r="1169" spans="1:8" x14ac:dyDescent="0.25">
      <c r="A1169" s="914">
        <f>'House Count'!A1169</f>
        <v>0</v>
      </c>
      <c r="B1169" s="915">
        <f>'House Count'!E1169</f>
        <v>0</v>
      </c>
      <c r="C1169" s="915">
        <f>'House Count'!B1169</f>
        <v>0</v>
      </c>
      <c r="D1169" s="915">
        <f>'House Count'!C1169</f>
        <v>0</v>
      </c>
      <c r="E1169" s="915">
        <f>'House Count'!D1169</f>
        <v>0</v>
      </c>
      <c r="F1169" s="915" t="str">
        <f t="shared" si="18"/>
        <v/>
      </c>
      <c r="G1169" s="915">
        <f>'House Count'!F1169</f>
        <v>0</v>
      </c>
      <c r="H1169" s="915">
        <f>'House Count'!H1169</f>
        <v>0</v>
      </c>
    </row>
    <row r="1170" spans="1:8" x14ac:dyDescent="0.25">
      <c r="A1170" s="914">
        <f>'House Count'!A1170</f>
        <v>0</v>
      </c>
      <c r="B1170" s="915">
        <f>'House Count'!E1170</f>
        <v>0</v>
      </c>
      <c r="C1170" s="915">
        <f>'House Count'!B1170</f>
        <v>0</v>
      </c>
      <c r="D1170" s="915">
        <f>'House Count'!C1170</f>
        <v>0</v>
      </c>
      <c r="E1170" s="915">
        <f>'House Count'!D1170</f>
        <v>0</v>
      </c>
      <c r="F1170" s="915" t="str">
        <f t="shared" si="18"/>
        <v/>
      </c>
      <c r="G1170" s="915">
        <f>'House Count'!F1170</f>
        <v>0</v>
      </c>
      <c r="H1170" s="915">
        <f>'House Count'!H1170</f>
        <v>0</v>
      </c>
    </row>
    <row r="1171" spans="1:8" x14ac:dyDescent="0.25">
      <c r="A1171" s="914">
        <f>'House Count'!A1171</f>
        <v>0</v>
      </c>
      <c r="B1171" s="915">
        <f>'House Count'!E1171</f>
        <v>0</v>
      </c>
      <c r="C1171" s="915">
        <f>'House Count'!B1171</f>
        <v>0</v>
      </c>
      <c r="D1171" s="915">
        <f>'House Count'!C1171</f>
        <v>0</v>
      </c>
      <c r="E1171" s="915">
        <f>'House Count'!D1171</f>
        <v>0</v>
      </c>
      <c r="F1171" s="915" t="str">
        <f t="shared" si="18"/>
        <v/>
      </c>
      <c r="G1171" s="915">
        <f>'House Count'!F1171</f>
        <v>0</v>
      </c>
      <c r="H1171" s="915">
        <f>'House Count'!H1171</f>
        <v>0</v>
      </c>
    </row>
    <row r="1172" spans="1:8" x14ac:dyDescent="0.25">
      <c r="A1172" s="914">
        <f>'House Count'!A1172</f>
        <v>0</v>
      </c>
      <c r="B1172" s="915">
        <f>'House Count'!E1172</f>
        <v>0</v>
      </c>
      <c r="C1172" s="915">
        <f>'House Count'!B1172</f>
        <v>0</v>
      </c>
      <c r="D1172" s="915">
        <f>'House Count'!C1172</f>
        <v>0</v>
      </c>
      <c r="E1172" s="915">
        <f>'House Count'!D1172</f>
        <v>0</v>
      </c>
      <c r="F1172" s="915" t="str">
        <f t="shared" si="18"/>
        <v/>
      </c>
      <c r="G1172" s="915">
        <f>'House Count'!F1172</f>
        <v>0</v>
      </c>
      <c r="H1172" s="915">
        <f>'House Count'!H1172</f>
        <v>0</v>
      </c>
    </row>
    <row r="1173" spans="1:8" x14ac:dyDescent="0.25">
      <c r="A1173" s="914">
        <f>'House Count'!A1173</f>
        <v>0</v>
      </c>
      <c r="B1173" s="915">
        <f>'House Count'!E1173</f>
        <v>0</v>
      </c>
      <c r="C1173" s="915">
        <f>'House Count'!B1173</f>
        <v>0</v>
      </c>
      <c r="D1173" s="915">
        <f>'House Count'!C1173</f>
        <v>0</v>
      </c>
      <c r="E1173" s="915">
        <f>'House Count'!D1173</f>
        <v>0</v>
      </c>
      <c r="F1173" s="915" t="str">
        <f t="shared" si="18"/>
        <v/>
      </c>
      <c r="G1173" s="915">
        <f>'House Count'!F1173</f>
        <v>0</v>
      </c>
      <c r="H1173" s="915">
        <f>'House Count'!H1173</f>
        <v>0</v>
      </c>
    </row>
    <row r="1174" spans="1:8" x14ac:dyDescent="0.25">
      <c r="A1174" s="914">
        <f>'House Count'!A1174</f>
        <v>0</v>
      </c>
      <c r="B1174" s="915">
        <f>'House Count'!E1174</f>
        <v>0</v>
      </c>
      <c r="C1174" s="915">
        <f>'House Count'!B1174</f>
        <v>0</v>
      </c>
      <c r="D1174" s="915">
        <f>'House Count'!C1174</f>
        <v>0</v>
      </c>
      <c r="E1174" s="915">
        <f>'House Count'!D1174</f>
        <v>0</v>
      </c>
      <c r="F1174" s="915" t="str">
        <f t="shared" si="18"/>
        <v/>
      </c>
      <c r="G1174" s="915">
        <f>'House Count'!F1174</f>
        <v>0</v>
      </c>
      <c r="H1174" s="915">
        <f>'House Count'!H1174</f>
        <v>0</v>
      </c>
    </row>
    <row r="1175" spans="1:8" x14ac:dyDescent="0.25">
      <c r="A1175" s="914">
        <f>'House Count'!A1175</f>
        <v>0</v>
      </c>
      <c r="B1175" s="915">
        <f>'House Count'!E1175</f>
        <v>0</v>
      </c>
      <c r="C1175" s="915">
        <f>'House Count'!B1175</f>
        <v>0</v>
      </c>
      <c r="D1175" s="915">
        <f>'House Count'!C1175</f>
        <v>0</v>
      </c>
      <c r="E1175" s="915">
        <f>'House Count'!D1175</f>
        <v>0</v>
      </c>
      <c r="F1175" s="915" t="str">
        <f t="shared" si="18"/>
        <v/>
      </c>
      <c r="G1175" s="915">
        <f>'House Count'!F1175</f>
        <v>0</v>
      </c>
      <c r="H1175" s="915">
        <f>'House Count'!H1175</f>
        <v>0</v>
      </c>
    </row>
    <row r="1176" spans="1:8" x14ac:dyDescent="0.25">
      <c r="A1176" s="914">
        <f>'House Count'!A1176</f>
        <v>0</v>
      </c>
      <c r="B1176" s="915">
        <f>'House Count'!E1176</f>
        <v>0</v>
      </c>
      <c r="C1176" s="915">
        <f>'House Count'!B1176</f>
        <v>0</v>
      </c>
      <c r="D1176" s="915">
        <f>'House Count'!C1176</f>
        <v>0</v>
      </c>
      <c r="E1176" s="915">
        <f>'House Count'!D1176</f>
        <v>0</v>
      </c>
      <c r="F1176" s="915" t="str">
        <f t="shared" si="18"/>
        <v/>
      </c>
      <c r="G1176" s="915">
        <f>'House Count'!F1176</f>
        <v>0</v>
      </c>
      <c r="H1176" s="915">
        <f>'House Count'!H1176</f>
        <v>0</v>
      </c>
    </row>
    <row r="1177" spans="1:8" x14ac:dyDescent="0.25">
      <c r="A1177" s="914">
        <f>'House Count'!A1177</f>
        <v>0</v>
      </c>
      <c r="B1177" s="915">
        <f>'House Count'!E1177</f>
        <v>0</v>
      </c>
      <c r="C1177" s="915">
        <f>'House Count'!B1177</f>
        <v>0</v>
      </c>
      <c r="D1177" s="915">
        <f>'House Count'!C1177</f>
        <v>0</v>
      </c>
      <c r="E1177" s="915">
        <f>'House Count'!D1177</f>
        <v>0</v>
      </c>
      <c r="F1177" s="915" t="str">
        <f t="shared" si="18"/>
        <v/>
      </c>
      <c r="G1177" s="915">
        <f>'House Count'!F1177</f>
        <v>0</v>
      </c>
      <c r="H1177" s="915">
        <f>'House Count'!H1177</f>
        <v>0</v>
      </c>
    </row>
    <row r="1178" spans="1:8" x14ac:dyDescent="0.25">
      <c r="A1178" s="914">
        <f>'House Count'!A1178</f>
        <v>0</v>
      </c>
      <c r="B1178" s="915">
        <f>'House Count'!E1178</f>
        <v>0</v>
      </c>
      <c r="C1178" s="915">
        <f>'House Count'!B1178</f>
        <v>0</v>
      </c>
      <c r="D1178" s="915">
        <f>'House Count'!C1178</f>
        <v>0</v>
      </c>
      <c r="E1178" s="915">
        <f>'House Count'!D1178</f>
        <v>0</v>
      </c>
      <c r="F1178" s="915" t="str">
        <f t="shared" si="18"/>
        <v/>
      </c>
      <c r="G1178" s="915">
        <f>'House Count'!F1178</f>
        <v>0</v>
      </c>
      <c r="H1178" s="915">
        <f>'House Count'!H1178</f>
        <v>0</v>
      </c>
    </row>
    <row r="1179" spans="1:8" x14ac:dyDescent="0.25">
      <c r="A1179" s="914">
        <f>'House Count'!A1179</f>
        <v>0</v>
      </c>
      <c r="B1179" s="915">
        <f>'House Count'!E1179</f>
        <v>0</v>
      </c>
      <c r="C1179" s="915">
        <f>'House Count'!B1179</f>
        <v>0</v>
      </c>
      <c r="D1179" s="915">
        <f>'House Count'!C1179</f>
        <v>0</v>
      </c>
      <c r="E1179" s="915">
        <f>'House Count'!D1179</f>
        <v>0</v>
      </c>
      <c r="F1179" s="915" t="str">
        <f t="shared" si="18"/>
        <v/>
      </c>
      <c r="G1179" s="915">
        <f>'House Count'!F1179</f>
        <v>0</v>
      </c>
      <c r="H1179" s="915">
        <f>'House Count'!H1179</f>
        <v>0</v>
      </c>
    </row>
    <row r="1180" spans="1:8" x14ac:dyDescent="0.25">
      <c r="A1180" s="914">
        <f>'House Count'!A1180</f>
        <v>0</v>
      </c>
      <c r="B1180" s="915">
        <f>'House Count'!E1180</f>
        <v>0</v>
      </c>
      <c r="C1180" s="915">
        <f>'House Count'!B1180</f>
        <v>0</v>
      </c>
      <c r="D1180" s="915">
        <f>'House Count'!C1180</f>
        <v>0</v>
      </c>
      <c r="E1180" s="915">
        <f>'House Count'!D1180</f>
        <v>0</v>
      </c>
      <c r="F1180" s="915" t="str">
        <f t="shared" si="18"/>
        <v/>
      </c>
      <c r="G1180" s="915">
        <f>'House Count'!F1180</f>
        <v>0</v>
      </c>
      <c r="H1180" s="915">
        <f>'House Count'!H1180</f>
        <v>0</v>
      </c>
    </row>
    <row r="1181" spans="1:8" x14ac:dyDescent="0.25">
      <c r="A1181" s="914">
        <f>'House Count'!A1181</f>
        <v>0</v>
      </c>
      <c r="B1181" s="915">
        <f>'House Count'!E1181</f>
        <v>0</v>
      </c>
      <c r="C1181" s="915">
        <f>'House Count'!B1181</f>
        <v>0</v>
      </c>
      <c r="D1181" s="915">
        <f>'House Count'!C1181</f>
        <v>0</v>
      </c>
      <c r="E1181" s="915">
        <f>'House Count'!D1181</f>
        <v>0</v>
      </c>
      <c r="F1181" s="915" t="str">
        <f t="shared" si="18"/>
        <v/>
      </c>
      <c r="G1181" s="915">
        <f>'House Count'!F1181</f>
        <v>0</v>
      </c>
      <c r="H1181" s="915">
        <f>'House Count'!H1181</f>
        <v>0</v>
      </c>
    </row>
    <row r="1182" spans="1:8" x14ac:dyDescent="0.25">
      <c r="A1182" s="914">
        <f>'House Count'!A1182</f>
        <v>0</v>
      </c>
      <c r="B1182" s="915">
        <f>'House Count'!E1182</f>
        <v>0</v>
      </c>
      <c r="C1182" s="915">
        <f>'House Count'!B1182</f>
        <v>0</v>
      </c>
      <c r="D1182" s="915">
        <f>'House Count'!C1182</f>
        <v>0</v>
      </c>
      <c r="E1182" s="915">
        <f>'House Count'!D1182</f>
        <v>0</v>
      </c>
      <c r="F1182" s="915" t="str">
        <f t="shared" si="18"/>
        <v/>
      </c>
      <c r="G1182" s="915">
        <f>'House Count'!F1182</f>
        <v>0</v>
      </c>
      <c r="H1182" s="915">
        <f>'House Count'!H1182</f>
        <v>0</v>
      </c>
    </row>
    <row r="1183" spans="1:8" x14ac:dyDescent="0.25">
      <c r="A1183" s="914">
        <f>'House Count'!A1183</f>
        <v>0</v>
      </c>
      <c r="B1183" s="915">
        <f>'House Count'!E1183</f>
        <v>0</v>
      </c>
      <c r="C1183" s="915">
        <f>'House Count'!B1183</f>
        <v>0</v>
      </c>
      <c r="D1183" s="915">
        <f>'House Count'!C1183</f>
        <v>0</v>
      </c>
      <c r="E1183" s="915">
        <f>'House Count'!D1183</f>
        <v>0</v>
      </c>
      <c r="F1183" s="915" t="str">
        <f t="shared" si="18"/>
        <v/>
      </c>
      <c r="G1183" s="915">
        <f>'House Count'!F1183</f>
        <v>0</v>
      </c>
      <c r="H1183" s="915">
        <f>'House Count'!H1183</f>
        <v>0</v>
      </c>
    </row>
    <row r="1184" spans="1:8" x14ac:dyDescent="0.25">
      <c r="A1184" s="914">
        <f>'House Count'!A1184</f>
        <v>0</v>
      </c>
      <c r="B1184" s="915">
        <f>'House Count'!E1184</f>
        <v>0</v>
      </c>
      <c r="C1184" s="915">
        <f>'House Count'!B1184</f>
        <v>0</v>
      </c>
      <c r="D1184" s="915">
        <f>'House Count'!C1184</f>
        <v>0</v>
      </c>
      <c r="E1184" s="915">
        <f>'House Count'!D1184</f>
        <v>0</v>
      </c>
      <c r="F1184" s="915" t="str">
        <f t="shared" si="18"/>
        <v/>
      </c>
      <c r="G1184" s="915">
        <f>'House Count'!F1184</f>
        <v>0</v>
      </c>
      <c r="H1184" s="915">
        <f>'House Count'!H1184</f>
        <v>0</v>
      </c>
    </row>
    <row r="1185" spans="1:8" x14ac:dyDescent="0.25">
      <c r="A1185" s="914">
        <f>'House Count'!A1185</f>
        <v>0</v>
      </c>
      <c r="B1185" s="915">
        <f>'House Count'!E1185</f>
        <v>0</v>
      </c>
      <c r="C1185" s="915">
        <f>'House Count'!B1185</f>
        <v>0</v>
      </c>
      <c r="D1185" s="915">
        <f>'House Count'!C1185</f>
        <v>0</v>
      </c>
      <c r="E1185" s="915">
        <f>'House Count'!D1185</f>
        <v>0</v>
      </c>
      <c r="F1185" s="915" t="str">
        <f t="shared" si="18"/>
        <v/>
      </c>
      <c r="G1185" s="915">
        <f>'House Count'!F1185</f>
        <v>0</v>
      </c>
      <c r="H1185" s="915">
        <f>'House Count'!H1185</f>
        <v>0</v>
      </c>
    </row>
    <row r="1186" spans="1:8" x14ac:dyDescent="0.25">
      <c r="A1186" s="914">
        <f>'House Count'!A1186</f>
        <v>0</v>
      </c>
      <c r="B1186" s="915">
        <f>'House Count'!E1186</f>
        <v>0</v>
      </c>
      <c r="C1186" s="915">
        <f>'House Count'!B1186</f>
        <v>0</v>
      </c>
      <c r="D1186" s="915">
        <f>'House Count'!C1186</f>
        <v>0</v>
      </c>
      <c r="E1186" s="915">
        <f>'House Count'!D1186</f>
        <v>0</v>
      </c>
      <c r="F1186" s="915" t="str">
        <f t="shared" si="18"/>
        <v/>
      </c>
      <c r="G1186" s="915">
        <f>'House Count'!F1186</f>
        <v>0</v>
      </c>
      <c r="H1186" s="915">
        <f>'House Count'!H1186</f>
        <v>0</v>
      </c>
    </row>
    <row r="1187" spans="1:8" x14ac:dyDescent="0.25">
      <c r="A1187" s="914">
        <f>'House Count'!A1187</f>
        <v>0</v>
      </c>
      <c r="B1187" s="915">
        <f>'House Count'!E1187</f>
        <v>0</v>
      </c>
      <c r="C1187" s="915">
        <f>'House Count'!B1187</f>
        <v>0</v>
      </c>
      <c r="D1187" s="915">
        <f>'House Count'!C1187</f>
        <v>0</v>
      </c>
      <c r="E1187" s="915">
        <f>'House Count'!D1187</f>
        <v>0</v>
      </c>
      <c r="F1187" s="915" t="str">
        <f t="shared" si="18"/>
        <v/>
      </c>
      <c r="G1187" s="915">
        <f>'House Count'!F1187</f>
        <v>0</v>
      </c>
      <c r="H1187" s="915">
        <f>'House Count'!H1187</f>
        <v>0</v>
      </c>
    </row>
    <row r="1188" spans="1:8" x14ac:dyDescent="0.25">
      <c r="A1188" s="914">
        <f>'House Count'!A1188</f>
        <v>0</v>
      </c>
      <c r="B1188" s="915">
        <f>'House Count'!E1188</f>
        <v>0</v>
      </c>
      <c r="C1188" s="915">
        <f>'House Count'!B1188</f>
        <v>0</v>
      </c>
      <c r="D1188" s="915">
        <f>'House Count'!C1188</f>
        <v>0</v>
      </c>
      <c r="E1188" s="915">
        <f>'House Count'!D1188</f>
        <v>0</v>
      </c>
      <c r="F1188" s="915" t="str">
        <f t="shared" si="18"/>
        <v/>
      </c>
      <c r="G1188" s="915">
        <f>'House Count'!F1188</f>
        <v>0</v>
      </c>
      <c r="H1188" s="915">
        <f>'House Count'!H1188</f>
        <v>0</v>
      </c>
    </row>
    <row r="1189" spans="1:8" x14ac:dyDescent="0.25">
      <c r="A1189" s="914">
        <f>'House Count'!A1189</f>
        <v>0</v>
      </c>
      <c r="B1189" s="915">
        <f>'House Count'!E1189</f>
        <v>0</v>
      </c>
      <c r="C1189" s="915">
        <f>'House Count'!B1189</f>
        <v>0</v>
      </c>
      <c r="D1189" s="915">
        <f>'House Count'!C1189</f>
        <v>0</v>
      </c>
      <c r="E1189" s="915">
        <f>'House Count'!D1189</f>
        <v>0</v>
      </c>
      <c r="F1189" s="915" t="str">
        <f t="shared" si="18"/>
        <v/>
      </c>
      <c r="G1189" s="915">
        <f>'House Count'!F1189</f>
        <v>0</v>
      </c>
      <c r="H1189" s="915">
        <f>'House Count'!H1189</f>
        <v>0</v>
      </c>
    </row>
    <row r="1190" spans="1:8" x14ac:dyDescent="0.25">
      <c r="A1190" s="914">
        <f>'House Count'!A1190</f>
        <v>0</v>
      </c>
      <c r="B1190" s="915">
        <f>'House Count'!E1190</f>
        <v>0</v>
      </c>
      <c r="C1190" s="915">
        <f>'House Count'!B1190</f>
        <v>0</v>
      </c>
      <c r="D1190" s="915">
        <f>'House Count'!C1190</f>
        <v>0</v>
      </c>
      <c r="E1190" s="915">
        <f>'House Count'!D1190</f>
        <v>0</v>
      </c>
      <c r="F1190" s="915" t="str">
        <f t="shared" si="18"/>
        <v/>
      </c>
      <c r="G1190" s="915">
        <f>'House Count'!F1190</f>
        <v>0</v>
      </c>
      <c r="H1190" s="915">
        <f>'House Count'!H1190</f>
        <v>0</v>
      </c>
    </row>
    <row r="1191" spans="1:8" x14ac:dyDescent="0.25">
      <c r="A1191" s="914">
        <f>'House Count'!A1191</f>
        <v>0</v>
      </c>
      <c r="B1191" s="915">
        <f>'House Count'!E1191</f>
        <v>0</v>
      </c>
      <c r="C1191" s="915">
        <f>'House Count'!B1191</f>
        <v>0</v>
      </c>
      <c r="D1191" s="915">
        <f>'House Count'!C1191</f>
        <v>0</v>
      </c>
      <c r="E1191" s="915">
        <f>'House Count'!D1191</f>
        <v>0</v>
      </c>
      <c r="F1191" s="915" t="str">
        <f t="shared" si="18"/>
        <v/>
      </c>
      <c r="G1191" s="915">
        <f>'House Count'!F1191</f>
        <v>0</v>
      </c>
      <c r="H1191" s="915">
        <f>'House Count'!H1191</f>
        <v>0</v>
      </c>
    </row>
    <row r="1192" spans="1:8" x14ac:dyDescent="0.25">
      <c r="A1192" s="914">
        <f>'House Count'!A1192</f>
        <v>0</v>
      </c>
      <c r="B1192" s="915">
        <f>'House Count'!E1192</f>
        <v>0</v>
      </c>
      <c r="C1192" s="915">
        <f>'House Count'!B1192</f>
        <v>0</v>
      </c>
      <c r="D1192" s="915">
        <f>'House Count'!C1192</f>
        <v>0</v>
      </c>
      <c r="E1192" s="915">
        <f>'House Count'!D1192</f>
        <v>0</v>
      </c>
      <c r="F1192" s="915" t="str">
        <f t="shared" si="18"/>
        <v/>
      </c>
      <c r="G1192" s="915">
        <f>'House Count'!F1192</f>
        <v>0</v>
      </c>
      <c r="H1192" s="915">
        <f>'House Count'!H1192</f>
        <v>0</v>
      </c>
    </row>
    <row r="1193" spans="1:8" x14ac:dyDescent="0.25">
      <c r="A1193" s="914">
        <f>'House Count'!A1193</f>
        <v>0</v>
      </c>
      <c r="B1193" s="915">
        <f>'House Count'!E1193</f>
        <v>0</v>
      </c>
      <c r="C1193" s="915">
        <f>'House Count'!B1193</f>
        <v>0</v>
      </c>
      <c r="D1193" s="915">
        <f>'House Count'!C1193</f>
        <v>0</v>
      </c>
      <c r="E1193" s="915">
        <f>'House Count'!D1193</f>
        <v>0</v>
      </c>
      <c r="F1193" s="915" t="str">
        <f t="shared" si="18"/>
        <v/>
      </c>
      <c r="G1193" s="915">
        <f>'House Count'!F1193</f>
        <v>0</v>
      </c>
      <c r="H1193" s="915">
        <f>'House Count'!H1193</f>
        <v>0</v>
      </c>
    </row>
    <row r="1194" spans="1:8" x14ac:dyDescent="0.25">
      <c r="A1194" s="914">
        <f>'House Count'!A1194</f>
        <v>0</v>
      </c>
      <c r="B1194" s="915">
        <f>'House Count'!E1194</f>
        <v>0</v>
      </c>
      <c r="C1194" s="915">
        <f>'House Count'!B1194</f>
        <v>0</v>
      </c>
      <c r="D1194" s="915">
        <f>'House Count'!C1194</f>
        <v>0</v>
      </c>
      <c r="E1194" s="915">
        <f>'House Count'!D1194</f>
        <v>0</v>
      </c>
      <c r="F1194" s="915" t="str">
        <f t="shared" si="18"/>
        <v/>
      </c>
      <c r="G1194" s="915">
        <f>'House Count'!F1194</f>
        <v>0</v>
      </c>
      <c r="H1194" s="915">
        <f>'House Count'!H1194</f>
        <v>0</v>
      </c>
    </row>
    <row r="1195" spans="1:8" x14ac:dyDescent="0.25">
      <c r="A1195" s="914">
        <f>'House Count'!A1195</f>
        <v>0</v>
      </c>
      <c r="B1195" s="915">
        <f>'House Count'!E1195</f>
        <v>0</v>
      </c>
      <c r="C1195" s="915">
        <f>'House Count'!B1195</f>
        <v>0</v>
      </c>
      <c r="D1195" s="915">
        <f>'House Count'!C1195</f>
        <v>0</v>
      </c>
      <c r="E1195" s="915">
        <f>'House Count'!D1195</f>
        <v>0</v>
      </c>
      <c r="F1195" s="915" t="str">
        <f t="shared" si="18"/>
        <v/>
      </c>
      <c r="G1195" s="915">
        <f>'House Count'!F1195</f>
        <v>0</v>
      </c>
      <c r="H1195" s="915">
        <f>'House Count'!H1195</f>
        <v>0</v>
      </c>
    </row>
    <row r="1196" spans="1:8" x14ac:dyDescent="0.25">
      <c r="A1196" s="914">
        <f>'House Count'!A1196</f>
        <v>0</v>
      </c>
      <c r="B1196" s="915">
        <f>'House Count'!E1196</f>
        <v>0</v>
      </c>
      <c r="C1196" s="915">
        <f>'House Count'!B1196</f>
        <v>0</v>
      </c>
      <c r="D1196" s="915">
        <f>'House Count'!C1196</f>
        <v>0</v>
      </c>
      <c r="E1196" s="915">
        <f>'House Count'!D1196</f>
        <v>0</v>
      </c>
      <c r="F1196" s="915" t="str">
        <f t="shared" si="18"/>
        <v/>
      </c>
      <c r="G1196" s="915">
        <f>'House Count'!F1196</f>
        <v>0</v>
      </c>
      <c r="H1196" s="915">
        <f>'House Count'!H1196</f>
        <v>0</v>
      </c>
    </row>
    <row r="1197" spans="1:8" x14ac:dyDescent="0.25">
      <c r="A1197" s="914">
        <f>'House Count'!A1197</f>
        <v>0</v>
      </c>
      <c r="B1197" s="915">
        <f>'House Count'!E1197</f>
        <v>0</v>
      </c>
      <c r="C1197" s="915">
        <f>'House Count'!B1197</f>
        <v>0</v>
      </c>
      <c r="D1197" s="915">
        <f>'House Count'!C1197</f>
        <v>0</v>
      </c>
      <c r="E1197" s="915">
        <f>'House Count'!D1197</f>
        <v>0</v>
      </c>
      <c r="F1197" s="915" t="str">
        <f t="shared" si="18"/>
        <v/>
      </c>
      <c r="G1197" s="915">
        <f>'House Count'!F1197</f>
        <v>0</v>
      </c>
      <c r="H1197" s="915">
        <f>'House Count'!H1197</f>
        <v>0</v>
      </c>
    </row>
    <row r="1198" spans="1:8" x14ac:dyDescent="0.25">
      <c r="A1198" s="914">
        <f>'House Count'!A1198</f>
        <v>0</v>
      </c>
      <c r="B1198" s="915">
        <f>'House Count'!E1198</f>
        <v>0</v>
      </c>
      <c r="C1198" s="915">
        <f>'House Count'!B1198</f>
        <v>0</v>
      </c>
      <c r="D1198" s="915">
        <f>'House Count'!C1198</f>
        <v>0</v>
      </c>
      <c r="E1198" s="915">
        <f>'House Count'!D1198</f>
        <v>0</v>
      </c>
      <c r="F1198" s="915" t="str">
        <f t="shared" si="18"/>
        <v/>
      </c>
      <c r="G1198" s="915">
        <f>'House Count'!F1198</f>
        <v>0</v>
      </c>
      <c r="H1198" s="915">
        <f>'House Count'!H1198</f>
        <v>0</v>
      </c>
    </row>
    <row r="1199" spans="1:8" x14ac:dyDescent="0.25">
      <c r="A1199" s="914">
        <f>'House Count'!A1199</f>
        <v>0</v>
      </c>
      <c r="B1199" s="915">
        <f>'House Count'!E1199</f>
        <v>0</v>
      </c>
      <c r="C1199" s="915">
        <f>'House Count'!B1199</f>
        <v>0</v>
      </c>
      <c r="D1199" s="915">
        <f>'House Count'!C1199</f>
        <v>0</v>
      </c>
      <c r="E1199" s="915">
        <f>'House Count'!D1199</f>
        <v>0</v>
      </c>
      <c r="F1199" s="915" t="str">
        <f t="shared" si="18"/>
        <v/>
      </c>
      <c r="G1199" s="915">
        <f>'House Count'!F1199</f>
        <v>0</v>
      </c>
      <c r="H1199" s="915">
        <f>'House Count'!H1199</f>
        <v>0</v>
      </c>
    </row>
    <row r="1200" spans="1:8" x14ac:dyDescent="0.25">
      <c r="A1200" s="914">
        <f>'House Count'!A1200</f>
        <v>0</v>
      </c>
      <c r="B1200" s="915">
        <f>'House Count'!E1200</f>
        <v>0</v>
      </c>
      <c r="C1200" s="915">
        <f>'House Count'!B1200</f>
        <v>0</v>
      </c>
      <c r="D1200" s="915">
        <f>'House Count'!C1200</f>
        <v>0</v>
      </c>
      <c r="E1200" s="915">
        <f>'House Count'!D1200</f>
        <v>0</v>
      </c>
      <c r="F1200" s="915" t="str">
        <f t="shared" si="18"/>
        <v/>
      </c>
      <c r="G1200" s="915">
        <f>'House Count'!F1200</f>
        <v>0</v>
      </c>
      <c r="H1200" s="915">
        <f>'House Count'!H1200</f>
        <v>0</v>
      </c>
    </row>
    <row r="1201" spans="1:8" x14ac:dyDescent="0.25">
      <c r="A1201" s="914">
        <f>'House Count'!A1201</f>
        <v>0</v>
      </c>
      <c r="B1201" s="915">
        <f>'House Count'!E1201</f>
        <v>0</v>
      </c>
      <c r="C1201" s="915">
        <f>'House Count'!B1201</f>
        <v>0</v>
      </c>
      <c r="D1201" s="915">
        <f>'House Count'!C1201</f>
        <v>0</v>
      </c>
      <c r="E1201" s="915">
        <f>'House Count'!D1201</f>
        <v>0</v>
      </c>
      <c r="F1201" s="915" t="str">
        <f t="shared" si="18"/>
        <v/>
      </c>
      <c r="G1201" s="915">
        <f>'House Count'!F1201</f>
        <v>0</v>
      </c>
      <c r="H1201" s="915">
        <f>'House Count'!H1201</f>
        <v>0</v>
      </c>
    </row>
    <row r="1202" spans="1:8" x14ac:dyDescent="0.25">
      <c r="A1202" s="914">
        <f>'House Count'!A1202</f>
        <v>0</v>
      </c>
      <c r="B1202" s="915">
        <f>'House Count'!E1202</f>
        <v>0</v>
      </c>
      <c r="C1202" s="915">
        <f>'House Count'!B1202</f>
        <v>0</v>
      </c>
      <c r="D1202" s="915">
        <f>'House Count'!C1202</f>
        <v>0</v>
      </c>
      <c r="E1202" s="915">
        <f>'House Count'!D1202</f>
        <v>0</v>
      </c>
      <c r="F1202" s="915" t="str">
        <f t="shared" si="18"/>
        <v/>
      </c>
      <c r="G1202" s="915">
        <f>'House Count'!F1202</f>
        <v>0</v>
      </c>
      <c r="H1202" s="915">
        <f>'House Count'!H1202</f>
        <v>0</v>
      </c>
    </row>
    <row r="1203" spans="1:8" x14ac:dyDescent="0.25">
      <c r="A1203" s="914">
        <f>'House Count'!A1203</f>
        <v>0</v>
      </c>
      <c r="B1203" s="915">
        <f>'House Count'!E1203</f>
        <v>0</v>
      </c>
      <c r="C1203" s="915">
        <f>'House Count'!B1203</f>
        <v>0</v>
      </c>
      <c r="D1203" s="915">
        <f>'House Count'!C1203</f>
        <v>0</v>
      </c>
      <c r="E1203" s="915">
        <f>'House Count'!D1203</f>
        <v>0</v>
      </c>
      <c r="F1203" s="915" t="str">
        <f t="shared" si="18"/>
        <v/>
      </c>
      <c r="G1203" s="915">
        <f>'House Count'!F1203</f>
        <v>0</v>
      </c>
      <c r="H1203" s="915">
        <f>'House Count'!H1203</f>
        <v>0</v>
      </c>
    </row>
    <row r="1204" spans="1:8" x14ac:dyDescent="0.25">
      <c r="A1204" s="914">
        <f>'House Count'!A1204</f>
        <v>0</v>
      </c>
      <c r="B1204" s="915">
        <f>'House Count'!E1204</f>
        <v>0</v>
      </c>
      <c r="C1204" s="915">
        <f>'House Count'!B1204</f>
        <v>0</v>
      </c>
      <c r="D1204" s="915">
        <f>'House Count'!C1204</f>
        <v>0</v>
      </c>
      <c r="E1204" s="915">
        <f>'House Count'!D1204</f>
        <v>0</v>
      </c>
      <c r="F1204" s="915" t="str">
        <f t="shared" si="18"/>
        <v/>
      </c>
      <c r="G1204" s="915">
        <f>'House Count'!F1204</f>
        <v>0</v>
      </c>
      <c r="H1204" s="915">
        <f>'House Count'!H1204</f>
        <v>0</v>
      </c>
    </row>
    <row r="1205" spans="1:8" x14ac:dyDescent="0.25">
      <c r="A1205" s="914">
        <f>'House Count'!A1205</f>
        <v>0</v>
      </c>
      <c r="B1205" s="915">
        <f>'House Count'!E1205</f>
        <v>0</v>
      </c>
      <c r="C1205" s="915">
        <f>'House Count'!B1205</f>
        <v>0</v>
      </c>
      <c r="D1205" s="915">
        <f>'House Count'!C1205</f>
        <v>0</v>
      </c>
      <c r="E1205" s="915">
        <f>'House Count'!D1205</f>
        <v>0</v>
      </c>
      <c r="F1205" s="915" t="str">
        <f t="shared" si="18"/>
        <v/>
      </c>
      <c r="G1205" s="915">
        <f>'House Count'!F1205</f>
        <v>0</v>
      </c>
      <c r="H1205" s="915">
        <f>'House Count'!H1205</f>
        <v>0</v>
      </c>
    </row>
    <row r="1206" spans="1:8" x14ac:dyDescent="0.25">
      <c r="A1206" s="914">
        <f>'House Count'!A1206</f>
        <v>0</v>
      </c>
      <c r="B1206" s="915">
        <f>'House Count'!E1206</f>
        <v>0</v>
      </c>
      <c r="C1206" s="915">
        <f>'House Count'!B1206</f>
        <v>0</v>
      </c>
      <c r="D1206" s="915">
        <f>'House Count'!C1206</f>
        <v>0</v>
      </c>
      <c r="E1206" s="915">
        <f>'House Count'!D1206</f>
        <v>0</v>
      </c>
      <c r="F1206" s="915" t="str">
        <f t="shared" si="18"/>
        <v/>
      </c>
      <c r="G1206" s="915">
        <f>'House Count'!F1206</f>
        <v>0</v>
      </c>
      <c r="H1206" s="915">
        <f>'House Count'!H1206</f>
        <v>0</v>
      </c>
    </row>
    <row r="1207" spans="1:8" x14ac:dyDescent="0.25">
      <c r="A1207" s="914">
        <f>'House Count'!A1207</f>
        <v>0</v>
      </c>
      <c r="B1207" s="915">
        <f>'House Count'!E1207</f>
        <v>0</v>
      </c>
      <c r="C1207" s="915">
        <f>'House Count'!B1207</f>
        <v>0</v>
      </c>
      <c r="D1207" s="915">
        <f>'House Count'!C1207</f>
        <v>0</v>
      </c>
      <c r="E1207" s="915">
        <f>'House Count'!D1207</f>
        <v>0</v>
      </c>
      <c r="F1207" s="915" t="str">
        <f t="shared" si="18"/>
        <v/>
      </c>
      <c r="G1207" s="915">
        <f>'House Count'!F1207</f>
        <v>0</v>
      </c>
      <c r="H1207" s="915">
        <f>'House Count'!H1207</f>
        <v>0</v>
      </c>
    </row>
    <row r="1208" spans="1:8" x14ac:dyDescent="0.25">
      <c r="A1208" s="914">
        <f>'House Count'!A1208</f>
        <v>0</v>
      </c>
      <c r="B1208" s="915">
        <f>'House Count'!E1208</f>
        <v>0</v>
      </c>
      <c r="C1208" s="915">
        <f>'House Count'!B1208</f>
        <v>0</v>
      </c>
      <c r="D1208" s="915">
        <f>'House Count'!C1208</f>
        <v>0</v>
      </c>
      <c r="E1208" s="915">
        <f>'House Count'!D1208</f>
        <v>0</v>
      </c>
      <c r="F1208" s="915" t="str">
        <f t="shared" si="18"/>
        <v/>
      </c>
      <c r="G1208" s="915">
        <f>'House Count'!F1208</f>
        <v>0</v>
      </c>
      <c r="H1208" s="915">
        <f>'House Count'!H1208</f>
        <v>0</v>
      </c>
    </row>
    <row r="1209" spans="1:8" x14ac:dyDescent="0.25">
      <c r="A1209" s="914">
        <f>'House Count'!A1209</f>
        <v>0</v>
      </c>
      <c r="B1209" s="915">
        <f>'House Count'!E1209</f>
        <v>0</v>
      </c>
      <c r="C1209" s="915">
        <f>'House Count'!B1209</f>
        <v>0</v>
      </c>
      <c r="D1209" s="915">
        <f>'House Count'!C1209</f>
        <v>0</v>
      </c>
      <c r="E1209" s="915">
        <f>'House Count'!D1209</f>
        <v>0</v>
      </c>
      <c r="F1209" s="915" t="str">
        <f t="shared" si="18"/>
        <v/>
      </c>
      <c r="G1209" s="915">
        <f>'House Count'!F1209</f>
        <v>0</v>
      </c>
      <c r="H1209" s="915">
        <f>'House Count'!H1209</f>
        <v>0</v>
      </c>
    </row>
    <row r="1210" spans="1:8" x14ac:dyDescent="0.25">
      <c r="A1210" s="914">
        <f>'House Count'!A1210</f>
        <v>0</v>
      </c>
      <c r="B1210" s="915">
        <f>'House Count'!E1210</f>
        <v>0</v>
      </c>
      <c r="C1210" s="915">
        <f>'House Count'!B1210</f>
        <v>0</v>
      </c>
      <c r="D1210" s="915">
        <f>'House Count'!C1210</f>
        <v>0</v>
      </c>
      <c r="E1210" s="915">
        <f>'House Count'!D1210</f>
        <v>0</v>
      </c>
      <c r="F1210" s="915" t="str">
        <f t="shared" si="18"/>
        <v/>
      </c>
      <c r="G1210" s="915">
        <f>'House Count'!F1210</f>
        <v>0</v>
      </c>
      <c r="H1210" s="915">
        <f>'House Count'!H1210</f>
        <v>0</v>
      </c>
    </row>
    <row r="1211" spans="1:8" x14ac:dyDescent="0.25">
      <c r="A1211" s="914">
        <f>'House Count'!A1211</f>
        <v>0</v>
      </c>
      <c r="B1211" s="915">
        <f>'House Count'!E1211</f>
        <v>0</v>
      </c>
      <c r="C1211" s="915">
        <f>'House Count'!B1211</f>
        <v>0</v>
      </c>
      <c r="D1211" s="915">
        <f>'House Count'!C1211</f>
        <v>0</v>
      </c>
      <c r="E1211" s="915">
        <f>'House Count'!D1211</f>
        <v>0</v>
      </c>
      <c r="F1211" s="915" t="str">
        <f t="shared" si="18"/>
        <v/>
      </c>
      <c r="G1211" s="915">
        <f>'House Count'!F1211</f>
        <v>0</v>
      </c>
      <c r="H1211" s="915">
        <f>'House Count'!H1211</f>
        <v>0</v>
      </c>
    </row>
    <row r="1212" spans="1:8" x14ac:dyDescent="0.25">
      <c r="A1212" s="914">
        <f>'House Count'!A1212</f>
        <v>0</v>
      </c>
      <c r="B1212" s="915">
        <f>'House Count'!E1212</f>
        <v>0</v>
      </c>
      <c r="C1212" s="915">
        <f>'House Count'!B1212</f>
        <v>0</v>
      </c>
      <c r="D1212" s="915">
        <f>'House Count'!C1212</f>
        <v>0</v>
      </c>
      <c r="E1212" s="915">
        <f>'House Count'!D1212</f>
        <v>0</v>
      </c>
      <c r="F1212" s="915" t="str">
        <f t="shared" si="18"/>
        <v/>
      </c>
      <c r="G1212" s="915">
        <f>'House Count'!F1212</f>
        <v>0</v>
      </c>
      <c r="H1212" s="915">
        <f>'House Count'!H1212</f>
        <v>0</v>
      </c>
    </row>
    <row r="1213" spans="1:8" x14ac:dyDescent="0.25">
      <c r="A1213" s="914">
        <f>'House Count'!A1213</f>
        <v>0</v>
      </c>
      <c r="B1213" s="915">
        <f>'House Count'!E1213</f>
        <v>0</v>
      </c>
      <c r="C1213" s="915">
        <f>'House Count'!B1213</f>
        <v>0</v>
      </c>
      <c r="D1213" s="915">
        <f>'House Count'!C1213</f>
        <v>0</v>
      </c>
      <c r="E1213" s="915">
        <f>'House Count'!D1213</f>
        <v>0</v>
      </c>
      <c r="F1213" s="915" t="str">
        <f t="shared" si="18"/>
        <v/>
      </c>
      <c r="G1213" s="915">
        <f>'House Count'!F1213</f>
        <v>0</v>
      </c>
      <c r="H1213" s="915">
        <f>'House Count'!H1213</f>
        <v>0</v>
      </c>
    </row>
    <row r="1214" spans="1:8" x14ac:dyDescent="0.25">
      <c r="A1214" s="914">
        <f>'House Count'!A1214</f>
        <v>0</v>
      </c>
      <c r="B1214" s="915">
        <f>'House Count'!E1214</f>
        <v>0</v>
      </c>
      <c r="C1214" s="915">
        <f>'House Count'!B1214</f>
        <v>0</v>
      </c>
      <c r="D1214" s="915">
        <f>'House Count'!C1214</f>
        <v>0</v>
      </c>
      <c r="E1214" s="915">
        <f>'House Count'!D1214</f>
        <v>0</v>
      </c>
      <c r="F1214" s="915" t="str">
        <f t="shared" si="18"/>
        <v/>
      </c>
      <c r="G1214" s="915">
        <f>'House Count'!F1214</f>
        <v>0</v>
      </c>
      <c r="H1214" s="915">
        <f>'House Count'!H1214</f>
        <v>0</v>
      </c>
    </row>
    <row r="1215" spans="1:8" x14ac:dyDescent="0.25">
      <c r="A1215" s="914">
        <f>'House Count'!A1215</f>
        <v>0</v>
      </c>
      <c r="B1215" s="915">
        <f>'House Count'!E1215</f>
        <v>0</v>
      </c>
      <c r="C1215" s="915">
        <f>'House Count'!B1215</f>
        <v>0</v>
      </c>
      <c r="D1215" s="915">
        <f>'House Count'!C1215</f>
        <v>0</v>
      </c>
      <c r="E1215" s="915">
        <f>'House Count'!D1215</f>
        <v>0</v>
      </c>
      <c r="F1215" s="915" t="str">
        <f t="shared" si="18"/>
        <v/>
      </c>
      <c r="G1215" s="915">
        <f>'House Count'!F1215</f>
        <v>0</v>
      </c>
      <c r="H1215" s="915">
        <f>'House Count'!H1215</f>
        <v>0</v>
      </c>
    </row>
    <row r="1216" spans="1:8" x14ac:dyDescent="0.25">
      <c r="A1216" s="914">
        <f>'House Count'!A1216</f>
        <v>0</v>
      </c>
      <c r="B1216" s="915">
        <f>'House Count'!E1216</f>
        <v>0</v>
      </c>
      <c r="C1216" s="915">
        <f>'House Count'!B1216</f>
        <v>0</v>
      </c>
      <c r="D1216" s="915">
        <f>'House Count'!C1216</f>
        <v>0</v>
      </c>
      <c r="E1216" s="915">
        <f>'House Count'!D1216</f>
        <v>0</v>
      </c>
      <c r="F1216" s="915" t="str">
        <f t="shared" si="18"/>
        <v/>
      </c>
      <c r="G1216" s="915">
        <f>'House Count'!F1216</f>
        <v>0</v>
      </c>
      <c r="H1216" s="915">
        <f>'House Count'!H1216</f>
        <v>0</v>
      </c>
    </row>
    <row r="1217" spans="1:8" x14ac:dyDescent="0.25">
      <c r="A1217" s="914">
        <f>'House Count'!A1217</f>
        <v>0</v>
      </c>
      <c r="B1217" s="915">
        <f>'House Count'!E1217</f>
        <v>0</v>
      </c>
      <c r="C1217" s="915">
        <f>'House Count'!B1217</f>
        <v>0</v>
      </c>
      <c r="D1217" s="915">
        <f>'House Count'!C1217</f>
        <v>0</v>
      </c>
      <c r="E1217" s="915">
        <f>'House Count'!D1217</f>
        <v>0</v>
      </c>
      <c r="F1217" s="915" t="str">
        <f t="shared" si="18"/>
        <v/>
      </c>
      <c r="G1217" s="915">
        <f>'House Count'!F1217</f>
        <v>0</v>
      </c>
      <c r="H1217" s="915">
        <f>'House Count'!H1217</f>
        <v>0</v>
      </c>
    </row>
    <row r="1218" spans="1:8" x14ac:dyDescent="0.25">
      <c r="A1218" s="914">
        <f>'House Count'!A1218</f>
        <v>0</v>
      </c>
      <c r="B1218" s="915">
        <f>'House Count'!E1218</f>
        <v>0</v>
      </c>
      <c r="C1218" s="915">
        <f>'House Count'!B1218</f>
        <v>0</v>
      </c>
      <c r="D1218" s="915">
        <f>'House Count'!C1218</f>
        <v>0</v>
      </c>
      <c r="E1218" s="915">
        <f>'House Count'!D1218</f>
        <v>0</v>
      </c>
      <c r="F1218" s="915" t="str">
        <f t="shared" si="18"/>
        <v/>
      </c>
      <c r="G1218" s="915">
        <f>'House Count'!F1218</f>
        <v>0</v>
      </c>
      <c r="H1218" s="915">
        <f>'House Count'!H1218</f>
        <v>0</v>
      </c>
    </row>
    <row r="1219" spans="1:8" x14ac:dyDescent="0.25">
      <c r="A1219" s="914">
        <f>'House Count'!A1219</f>
        <v>0</v>
      </c>
      <c r="B1219" s="915">
        <f>'House Count'!E1219</f>
        <v>0</v>
      </c>
      <c r="C1219" s="915">
        <f>'House Count'!B1219</f>
        <v>0</v>
      </c>
      <c r="D1219" s="915">
        <f>'House Count'!C1219</f>
        <v>0</v>
      </c>
      <c r="E1219" s="915">
        <f>'House Count'!D1219</f>
        <v>0</v>
      </c>
      <c r="F1219" s="915" t="str">
        <f t="shared" ref="F1219:F1282" si="19">IF(G1219="RES-SFU","RESIDENTIAL",IF(G1219="RES-HOA","RESIDENTIAL",IF(G1219="RES-MDU","RESIDENTIAL",IF(G1219="COMM-SU","BUSINESS",IF(G1219="COM-MTU","BUSINESS",IF(G1219="ENT","BUSINESS",""))))))</f>
        <v/>
      </c>
      <c r="G1219" s="915">
        <f>'House Count'!F1219</f>
        <v>0</v>
      </c>
      <c r="H1219" s="915">
        <f>'House Count'!H1219</f>
        <v>0</v>
      </c>
    </row>
    <row r="1220" spans="1:8" x14ac:dyDescent="0.25">
      <c r="A1220" s="914">
        <f>'House Count'!A1220</f>
        <v>0</v>
      </c>
      <c r="B1220" s="915">
        <f>'House Count'!E1220</f>
        <v>0</v>
      </c>
      <c r="C1220" s="915">
        <f>'House Count'!B1220</f>
        <v>0</v>
      </c>
      <c r="D1220" s="915">
        <f>'House Count'!C1220</f>
        <v>0</v>
      </c>
      <c r="E1220" s="915">
        <f>'House Count'!D1220</f>
        <v>0</v>
      </c>
      <c r="F1220" s="915" t="str">
        <f t="shared" si="19"/>
        <v/>
      </c>
      <c r="G1220" s="915">
        <f>'House Count'!F1220</f>
        <v>0</v>
      </c>
      <c r="H1220" s="915">
        <f>'House Count'!H1220</f>
        <v>0</v>
      </c>
    </row>
    <row r="1221" spans="1:8" x14ac:dyDescent="0.25">
      <c r="A1221" s="914">
        <f>'House Count'!A1221</f>
        <v>0</v>
      </c>
      <c r="B1221" s="915">
        <f>'House Count'!E1221</f>
        <v>0</v>
      </c>
      <c r="C1221" s="915">
        <f>'House Count'!B1221</f>
        <v>0</v>
      </c>
      <c r="D1221" s="915">
        <f>'House Count'!C1221</f>
        <v>0</v>
      </c>
      <c r="E1221" s="915">
        <f>'House Count'!D1221</f>
        <v>0</v>
      </c>
      <c r="F1221" s="915" t="str">
        <f t="shared" si="19"/>
        <v/>
      </c>
      <c r="G1221" s="915">
        <f>'House Count'!F1221</f>
        <v>0</v>
      </c>
      <c r="H1221" s="915">
        <f>'House Count'!H1221</f>
        <v>0</v>
      </c>
    </row>
    <row r="1222" spans="1:8" x14ac:dyDescent="0.25">
      <c r="A1222" s="914">
        <f>'House Count'!A1222</f>
        <v>0</v>
      </c>
      <c r="B1222" s="915">
        <f>'House Count'!E1222</f>
        <v>0</v>
      </c>
      <c r="C1222" s="915">
        <f>'House Count'!B1222</f>
        <v>0</v>
      </c>
      <c r="D1222" s="915">
        <f>'House Count'!C1222</f>
        <v>0</v>
      </c>
      <c r="E1222" s="915">
        <f>'House Count'!D1222</f>
        <v>0</v>
      </c>
      <c r="F1222" s="915" t="str">
        <f t="shared" si="19"/>
        <v/>
      </c>
      <c r="G1222" s="915">
        <f>'House Count'!F1222</f>
        <v>0</v>
      </c>
      <c r="H1222" s="915">
        <f>'House Count'!H1222</f>
        <v>0</v>
      </c>
    </row>
    <row r="1223" spans="1:8" x14ac:dyDescent="0.25">
      <c r="A1223" s="914">
        <f>'House Count'!A1223</f>
        <v>0</v>
      </c>
      <c r="B1223" s="915">
        <f>'House Count'!E1223</f>
        <v>0</v>
      </c>
      <c r="C1223" s="915">
        <f>'House Count'!B1223</f>
        <v>0</v>
      </c>
      <c r="D1223" s="915">
        <f>'House Count'!C1223</f>
        <v>0</v>
      </c>
      <c r="E1223" s="915">
        <f>'House Count'!D1223</f>
        <v>0</v>
      </c>
      <c r="F1223" s="915" t="str">
        <f t="shared" si="19"/>
        <v/>
      </c>
      <c r="G1223" s="915">
        <f>'House Count'!F1223</f>
        <v>0</v>
      </c>
      <c r="H1223" s="915">
        <f>'House Count'!H1223</f>
        <v>0</v>
      </c>
    </row>
    <row r="1224" spans="1:8" x14ac:dyDescent="0.25">
      <c r="A1224" s="914">
        <f>'House Count'!A1224</f>
        <v>0</v>
      </c>
      <c r="B1224" s="915">
        <f>'House Count'!E1224</f>
        <v>0</v>
      </c>
      <c r="C1224" s="915">
        <f>'House Count'!B1224</f>
        <v>0</v>
      </c>
      <c r="D1224" s="915">
        <f>'House Count'!C1224</f>
        <v>0</v>
      </c>
      <c r="E1224" s="915">
        <f>'House Count'!D1224</f>
        <v>0</v>
      </c>
      <c r="F1224" s="915" t="str">
        <f t="shared" si="19"/>
        <v/>
      </c>
      <c r="G1224" s="915">
        <f>'House Count'!F1224</f>
        <v>0</v>
      </c>
      <c r="H1224" s="915">
        <f>'House Count'!H1224</f>
        <v>0</v>
      </c>
    </row>
    <row r="1225" spans="1:8" x14ac:dyDescent="0.25">
      <c r="A1225" s="914">
        <f>'House Count'!A1225</f>
        <v>0</v>
      </c>
      <c r="B1225" s="915">
        <f>'House Count'!E1225</f>
        <v>0</v>
      </c>
      <c r="C1225" s="915">
        <f>'House Count'!B1225</f>
        <v>0</v>
      </c>
      <c r="D1225" s="915">
        <f>'House Count'!C1225</f>
        <v>0</v>
      </c>
      <c r="E1225" s="915">
        <f>'House Count'!D1225</f>
        <v>0</v>
      </c>
      <c r="F1225" s="915" t="str">
        <f t="shared" si="19"/>
        <v/>
      </c>
      <c r="G1225" s="915">
        <f>'House Count'!F1225</f>
        <v>0</v>
      </c>
      <c r="H1225" s="915">
        <f>'House Count'!H1225</f>
        <v>0</v>
      </c>
    </row>
    <row r="1226" spans="1:8" x14ac:dyDescent="0.25">
      <c r="A1226" s="914">
        <f>'House Count'!A1226</f>
        <v>0</v>
      </c>
      <c r="B1226" s="915">
        <f>'House Count'!E1226</f>
        <v>0</v>
      </c>
      <c r="C1226" s="915">
        <f>'House Count'!B1226</f>
        <v>0</v>
      </c>
      <c r="D1226" s="915">
        <f>'House Count'!C1226</f>
        <v>0</v>
      </c>
      <c r="E1226" s="915">
        <f>'House Count'!D1226</f>
        <v>0</v>
      </c>
      <c r="F1226" s="915" t="str">
        <f t="shared" si="19"/>
        <v/>
      </c>
      <c r="G1226" s="915">
        <f>'House Count'!F1226</f>
        <v>0</v>
      </c>
      <c r="H1226" s="915">
        <f>'House Count'!H1226</f>
        <v>0</v>
      </c>
    </row>
    <row r="1227" spans="1:8" x14ac:dyDescent="0.25">
      <c r="A1227" s="914">
        <f>'House Count'!A1227</f>
        <v>0</v>
      </c>
      <c r="B1227" s="915">
        <f>'House Count'!E1227</f>
        <v>0</v>
      </c>
      <c r="C1227" s="915">
        <f>'House Count'!B1227</f>
        <v>0</v>
      </c>
      <c r="D1227" s="915">
        <f>'House Count'!C1227</f>
        <v>0</v>
      </c>
      <c r="E1227" s="915">
        <f>'House Count'!D1227</f>
        <v>0</v>
      </c>
      <c r="F1227" s="915" t="str">
        <f t="shared" si="19"/>
        <v/>
      </c>
      <c r="G1227" s="915">
        <f>'House Count'!F1227</f>
        <v>0</v>
      </c>
      <c r="H1227" s="915">
        <f>'House Count'!H1227</f>
        <v>0</v>
      </c>
    </row>
    <row r="1228" spans="1:8" x14ac:dyDescent="0.25">
      <c r="A1228" s="914">
        <f>'House Count'!A1228</f>
        <v>0</v>
      </c>
      <c r="B1228" s="915">
        <f>'House Count'!E1228</f>
        <v>0</v>
      </c>
      <c r="C1228" s="915">
        <f>'House Count'!B1228</f>
        <v>0</v>
      </c>
      <c r="D1228" s="915">
        <f>'House Count'!C1228</f>
        <v>0</v>
      </c>
      <c r="E1228" s="915">
        <f>'House Count'!D1228</f>
        <v>0</v>
      </c>
      <c r="F1228" s="915" t="str">
        <f t="shared" si="19"/>
        <v/>
      </c>
      <c r="G1228" s="915">
        <f>'House Count'!F1228</f>
        <v>0</v>
      </c>
      <c r="H1228" s="915">
        <f>'House Count'!H1228</f>
        <v>0</v>
      </c>
    </row>
    <row r="1229" spans="1:8" x14ac:dyDescent="0.25">
      <c r="A1229" s="914">
        <f>'House Count'!A1229</f>
        <v>0</v>
      </c>
      <c r="B1229" s="915">
        <f>'House Count'!E1229</f>
        <v>0</v>
      </c>
      <c r="C1229" s="915">
        <f>'House Count'!B1229</f>
        <v>0</v>
      </c>
      <c r="D1229" s="915">
        <f>'House Count'!C1229</f>
        <v>0</v>
      </c>
      <c r="E1229" s="915">
        <f>'House Count'!D1229</f>
        <v>0</v>
      </c>
      <c r="F1229" s="915" t="str">
        <f t="shared" si="19"/>
        <v/>
      </c>
      <c r="G1229" s="915">
        <f>'House Count'!F1229</f>
        <v>0</v>
      </c>
      <c r="H1229" s="915">
        <f>'House Count'!H1229</f>
        <v>0</v>
      </c>
    </row>
    <row r="1230" spans="1:8" x14ac:dyDescent="0.25">
      <c r="A1230" s="914">
        <f>'House Count'!A1230</f>
        <v>0</v>
      </c>
      <c r="B1230" s="915">
        <f>'House Count'!E1230</f>
        <v>0</v>
      </c>
      <c r="C1230" s="915">
        <f>'House Count'!B1230</f>
        <v>0</v>
      </c>
      <c r="D1230" s="915">
        <f>'House Count'!C1230</f>
        <v>0</v>
      </c>
      <c r="E1230" s="915">
        <f>'House Count'!D1230</f>
        <v>0</v>
      </c>
      <c r="F1230" s="915" t="str">
        <f t="shared" si="19"/>
        <v/>
      </c>
      <c r="G1230" s="915">
        <f>'House Count'!F1230</f>
        <v>0</v>
      </c>
      <c r="H1230" s="915">
        <f>'House Count'!H1230</f>
        <v>0</v>
      </c>
    </row>
    <row r="1231" spans="1:8" x14ac:dyDescent="0.25">
      <c r="A1231" s="914">
        <f>'House Count'!A1231</f>
        <v>0</v>
      </c>
      <c r="B1231" s="915">
        <f>'House Count'!E1231</f>
        <v>0</v>
      </c>
      <c r="C1231" s="915">
        <f>'House Count'!B1231</f>
        <v>0</v>
      </c>
      <c r="D1231" s="915">
        <f>'House Count'!C1231</f>
        <v>0</v>
      </c>
      <c r="E1231" s="915">
        <f>'House Count'!D1231</f>
        <v>0</v>
      </c>
      <c r="F1231" s="915" t="str">
        <f t="shared" si="19"/>
        <v/>
      </c>
      <c r="G1231" s="915">
        <f>'House Count'!F1231</f>
        <v>0</v>
      </c>
      <c r="H1231" s="915">
        <f>'House Count'!H1231</f>
        <v>0</v>
      </c>
    </row>
    <row r="1232" spans="1:8" x14ac:dyDescent="0.25">
      <c r="A1232" s="914">
        <f>'House Count'!A1232</f>
        <v>0</v>
      </c>
      <c r="B1232" s="915">
        <f>'House Count'!E1232</f>
        <v>0</v>
      </c>
      <c r="C1232" s="915">
        <f>'House Count'!B1232</f>
        <v>0</v>
      </c>
      <c r="D1232" s="915">
        <f>'House Count'!C1232</f>
        <v>0</v>
      </c>
      <c r="E1232" s="915">
        <f>'House Count'!D1232</f>
        <v>0</v>
      </c>
      <c r="F1232" s="915" t="str">
        <f t="shared" si="19"/>
        <v/>
      </c>
      <c r="G1232" s="915">
        <f>'House Count'!F1232</f>
        <v>0</v>
      </c>
      <c r="H1232" s="915">
        <f>'House Count'!H1232</f>
        <v>0</v>
      </c>
    </row>
    <row r="1233" spans="1:8" x14ac:dyDescent="0.25">
      <c r="A1233" s="914">
        <f>'House Count'!A1233</f>
        <v>0</v>
      </c>
      <c r="B1233" s="915">
        <f>'House Count'!E1233</f>
        <v>0</v>
      </c>
      <c r="C1233" s="915">
        <f>'House Count'!B1233</f>
        <v>0</v>
      </c>
      <c r="D1233" s="915">
        <f>'House Count'!C1233</f>
        <v>0</v>
      </c>
      <c r="E1233" s="915">
        <f>'House Count'!D1233</f>
        <v>0</v>
      </c>
      <c r="F1233" s="915" t="str">
        <f t="shared" si="19"/>
        <v/>
      </c>
      <c r="G1233" s="915">
        <f>'House Count'!F1233</f>
        <v>0</v>
      </c>
      <c r="H1233" s="915">
        <f>'House Count'!H1233</f>
        <v>0</v>
      </c>
    </row>
    <row r="1234" spans="1:8" x14ac:dyDescent="0.25">
      <c r="A1234" s="914">
        <f>'House Count'!A1234</f>
        <v>0</v>
      </c>
      <c r="B1234" s="915">
        <f>'House Count'!E1234</f>
        <v>0</v>
      </c>
      <c r="C1234" s="915">
        <f>'House Count'!B1234</f>
        <v>0</v>
      </c>
      <c r="D1234" s="915">
        <f>'House Count'!C1234</f>
        <v>0</v>
      </c>
      <c r="E1234" s="915">
        <f>'House Count'!D1234</f>
        <v>0</v>
      </c>
      <c r="F1234" s="915" t="str">
        <f t="shared" si="19"/>
        <v/>
      </c>
      <c r="G1234" s="915">
        <f>'House Count'!F1234</f>
        <v>0</v>
      </c>
      <c r="H1234" s="915">
        <f>'House Count'!H1234</f>
        <v>0</v>
      </c>
    </row>
    <row r="1235" spans="1:8" x14ac:dyDescent="0.25">
      <c r="A1235" s="914">
        <f>'House Count'!A1235</f>
        <v>0</v>
      </c>
      <c r="B1235" s="915">
        <f>'House Count'!E1235</f>
        <v>0</v>
      </c>
      <c r="C1235" s="915">
        <f>'House Count'!B1235</f>
        <v>0</v>
      </c>
      <c r="D1235" s="915">
        <f>'House Count'!C1235</f>
        <v>0</v>
      </c>
      <c r="E1235" s="915">
        <f>'House Count'!D1235</f>
        <v>0</v>
      </c>
      <c r="F1235" s="915" t="str">
        <f t="shared" si="19"/>
        <v/>
      </c>
      <c r="G1235" s="915">
        <f>'House Count'!F1235</f>
        <v>0</v>
      </c>
      <c r="H1235" s="915">
        <f>'House Count'!H1235</f>
        <v>0</v>
      </c>
    </row>
    <row r="1236" spans="1:8" x14ac:dyDescent="0.25">
      <c r="A1236" s="914">
        <f>'House Count'!A1236</f>
        <v>0</v>
      </c>
      <c r="B1236" s="915">
        <f>'House Count'!E1236</f>
        <v>0</v>
      </c>
      <c r="C1236" s="915">
        <f>'House Count'!B1236</f>
        <v>0</v>
      </c>
      <c r="D1236" s="915">
        <f>'House Count'!C1236</f>
        <v>0</v>
      </c>
      <c r="E1236" s="915">
        <f>'House Count'!D1236</f>
        <v>0</v>
      </c>
      <c r="F1236" s="915" t="str">
        <f t="shared" si="19"/>
        <v/>
      </c>
      <c r="G1236" s="915">
        <f>'House Count'!F1236</f>
        <v>0</v>
      </c>
      <c r="H1236" s="915">
        <f>'House Count'!H1236</f>
        <v>0</v>
      </c>
    </row>
    <row r="1237" spans="1:8" x14ac:dyDescent="0.25">
      <c r="A1237" s="914">
        <f>'House Count'!A1237</f>
        <v>0</v>
      </c>
      <c r="B1237" s="915">
        <f>'House Count'!E1237</f>
        <v>0</v>
      </c>
      <c r="C1237" s="915">
        <f>'House Count'!B1237</f>
        <v>0</v>
      </c>
      <c r="D1237" s="915">
        <f>'House Count'!C1237</f>
        <v>0</v>
      </c>
      <c r="E1237" s="915">
        <f>'House Count'!D1237</f>
        <v>0</v>
      </c>
      <c r="F1237" s="915" t="str">
        <f t="shared" si="19"/>
        <v/>
      </c>
      <c r="G1237" s="915">
        <f>'House Count'!F1237</f>
        <v>0</v>
      </c>
      <c r="H1237" s="915">
        <f>'House Count'!H1237</f>
        <v>0</v>
      </c>
    </row>
    <row r="1238" spans="1:8" x14ac:dyDescent="0.25">
      <c r="A1238" s="914">
        <f>'House Count'!A1238</f>
        <v>0</v>
      </c>
      <c r="B1238" s="915">
        <f>'House Count'!E1238</f>
        <v>0</v>
      </c>
      <c r="C1238" s="915">
        <f>'House Count'!B1238</f>
        <v>0</v>
      </c>
      <c r="D1238" s="915">
        <f>'House Count'!C1238</f>
        <v>0</v>
      </c>
      <c r="E1238" s="915">
        <f>'House Count'!D1238</f>
        <v>0</v>
      </c>
      <c r="F1238" s="915" t="str">
        <f t="shared" si="19"/>
        <v/>
      </c>
      <c r="G1238" s="915">
        <f>'House Count'!F1238</f>
        <v>0</v>
      </c>
      <c r="H1238" s="915">
        <f>'House Count'!H1238</f>
        <v>0</v>
      </c>
    </row>
    <row r="1239" spans="1:8" x14ac:dyDescent="0.25">
      <c r="A1239" s="914">
        <f>'House Count'!A1239</f>
        <v>0</v>
      </c>
      <c r="B1239" s="915">
        <f>'House Count'!E1239</f>
        <v>0</v>
      </c>
      <c r="C1239" s="915">
        <f>'House Count'!B1239</f>
        <v>0</v>
      </c>
      <c r="D1239" s="915">
        <f>'House Count'!C1239</f>
        <v>0</v>
      </c>
      <c r="E1239" s="915">
        <f>'House Count'!D1239</f>
        <v>0</v>
      </c>
      <c r="F1239" s="915" t="str">
        <f t="shared" si="19"/>
        <v/>
      </c>
      <c r="G1239" s="915">
        <f>'House Count'!F1239</f>
        <v>0</v>
      </c>
      <c r="H1239" s="915">
        <f>'House Count'!H1239</f>
        <v>0</v>
      </c>
    </row>
    <row r="1240" spans="1:8" x14ac:dyDescent="0.25">
      <c r="A1240" s="914">
        <f>'House Count'!A1240</f>
        <v>0</v>
      </c>
      <c r="B1240" s="915">
        <f>'House Count'!E1240</f>
        <v>0</v>
      </c>
      <c r="C1240" s="915">
        <f>'House Count'!B1240</f>
        <v>0</v>
      </c>
      <c r="D1240" s="915">
        <f>'House Count'!C1240</f>
        <v>0</v>
      </c>
      <c r="E1240" s="915">
        <f>'House Count'!D1240</f>
        <v>0</v>
      </c>
      <c r="F1240" s="915" t="str">
        <f t="shared" si="19"/>
        <v/>
      </c>
      <c r="G1240" s="915">
        <f>'House Count'!F1240</f>
        <v>0</v>
      </c>
      <c r="H1240" s="915">
        <f>'House Count'!H1240</f>
        <v>0</v>
      </c>
    </row>
    <row r="1241" spans="1:8" x14ac:dyDescent="0.25">
      <c r="A1241" s="914">
        <f>'House Count'!A1241</f>
        <v>0</v>
      </c>
      <c r="B1241" s="915">
        <f>'House Count'!E1241</f>
        <v>0</v>
      </c>
      <c r="C1241" s="915">
        <f>'House Count'!B1241</f>
        <v>0</v>
      </c>
      <c r="D1241" s="915">
        <f>'House Count'!C1241</f>
        <v>0</v>
      </c>
      <c r="E1241" s="915">
        <f>'House Count'!D1241</f>
        <v>0</v>
      </c>
      <c r="F1241" s="915" t="str">
        <f t="shared" si="19"/>
        <v/>
      </c>
      <c r="G1241" s="915">
        <f>'House Count'!F1241</f>
        <v>0</v>
      </c>
      <c r="H1241" s="915">
        <f>'House Count'!H1241</f>
        <v>0</v>
      </c>
    </row>
    <row r="1242" spans="1:8" x14ac:dyDescent="0.25">
      <c r="A1242" s="914">
        <f>'House Count'!A1242</f>
        <v>0</v>
      </c>
      <c r="B1242" s="915">
        <f>'House Count'!E1242</f>
        <v>0</v>
      </c>
      <c r="C1242" s="915">
        <f>'House Count'!B1242</f>
        <v>0</v>
      </c>
      <c r="D1242" s="915">
        <f>'House Count'!C1242</f>
        <v>0</v>
      </c>
      <c r="E1242" s="915">
        <f>'House Count'!D1242</f>
        <v>0</v>
      </c>
      <c r="F1242" s="915" t="str">
        <f t="shared" si="19"/>
        <v/>
      </c>
      <c r="G1242" s="915">
        <f>'House Count'!F1242</f>
        <v>0</v>
      </c>
      <c r="H1242" s="915">
        <f>'House Count'!H1242</f>
        <v>0</v>
      </c>
    </row>
    <row r="1243" spans="1:8" x14ac:dyDescent="0.25">
      <c r="A1243" s="914">
        <f>'House Count'!A1243</f>
        <v>0</v>
      </c>
      <c r="B1243" s="915">
        <f>'House Count'!E1243</f>
        <v>0</v>
      </c>
      <c r="C1243" s="915">
        <f>'House Count'!B1243</f>
        <v>0</v>
      </c>
      <c r="D1243" s="915">
        <f>'House Count'!C1243</f>
        <v>0</v>
      </c>
      <c r="E1243" s="915">
        <f>'House Count'!D1243</f>
        <v>0</v>
      </c>
      <c r="F1243" s="915" t="str">
        <f t="shared" si="19"/>
        <v/>
      </c>
      <c r="G1243" s="915">
        <f>'House Count'!F1243</f>
        <v>0</v>
      </c>
      <c r="H1243" s="915">
        <f>'House Count'!H1243</f>
        <v>0</v>
      </c>
    </row>
    <row r="1244" spans="1:8" x14ac:dyDescent="0.25">
      <c r="A1244" s="914">
        <f>'House Count'!A1244</f>
        <v>0</v>
      </c>
      <c r="B1244" s="915">
        <f>'House Count'!E1244</f>
        <v>0</v>
      </c>
      <c r="C1244" s="915">
        <f>'House Count'!B1244</f>
        <v>0</v>
      </c>
      <c r="D1244" s="915">
        <f>'House Count'!C1244</f>
        <v>0</v>
      </c>
      <c r="E1244" s="915">
        <f>'House Count'!D1244</f>
        <v>0</v>
      </c>
      <c r="F1244" s="915" t="str">
        <f t="shared" si="19"/>
        <v/>
      </c>
      <c r="G1244" s="915">
        <f>'House Count'!F1244</f>
        <v>0</v>
      </c>
      <c r="H1244" s="915">
        <f>'House Count'!H1244</f>
        <v>0</v>
      </c>
    </row>
    <row r="1245" spans="1:8" x14ac:dyDescent="0.25">
      <c r="A1245" s="914">
        <f>'House Count'!A1245</f>
        <v>0</v>
      </c>
      <c r="B1245" s="915">
        <f>'House Count'!E1245</f>
        <v>0</v>
      </c>
      <c r="C1245" s="915">
        <f>'House Count'!B1245</f>
        <v>0</v>
      </c>
      <c r="D1245" s="915">
        <f>'House Count'!C1245</f>
        <v>0</v>
      </c>
      <c r="E1245" s="915">
        <f>'House Count'!D1245</f>
        <v>0</v>
      </c>
      <c r="F1245" s="915" t="str">
        <f t="shared" si="19"/>
        <v/>
      </c>
      <c r="G1245" s="915">
        <f>'House Count'!F1245</f>
        <v>0</v>
      </c>
      <c r="H1245" s="915">
        <f>'House Count'!H1245</f>
        <v>0</v>
      </c>
    </row>
    <row r="1246" spans="1:8" x14ac:dyDescent="0.25">
      <c r="A1246" s="914">
        <f>'House Count'!A1246</f>
        <v>0</v>
      </c>
      <c r="B1246" s="915">
        <f>'House Count'!E1246</f>
        <v>0</v>
      </c>
      <c r="C1246" s="915">
        <f>'House Count'!B1246</f>
        <v>0</v>
      </c>
      <c r="D1246" s="915">
        <f>'House Count'!C1246</f>
        <v>0</v>
      </c>
      <c r="E1246" s="915">
        <f>'House Count'!D1246</f>
        <v>0</v>
      </c>
      <c r="F1246" s="915" t="str">
        <f t="shared" si="19"/>
        <v/>
      </c>
      <c r="G1246" s="915">
        <f>'House Count'!F1246</f>
        <v>0</v>
      </c>
      <c r="H1246" s="915">
        <f>'House Count'!H1246</f>
        <v>0</v>
      </c>
    </row>
    <row r="1247" spans="1:8" x14ac:dyDescent="0.25">
      <c r="A1247" s="914">
        <f>'House Count'!A1247</f>
        <v>0</v>
      </c>
      <c r="B1247" s="915">
        <f>'House Count'!E1247</f>
        <v>0</v>
      </c>
      <c r="C1247" s="915">
        <f>'House Count'!B1247</f>
        <v>0</v>
      </c>
      <c r="D1247" s="915">
        <f>'House Count'!C1247</f>
        <v>0</v>
      </c>
      <c r="E1247" s="915">
        <f>'House Count'!D1247</f>
        <v>0</v>
      </c>
      <c r="F1247" s="915" t="str">
        <f t="shared" si="19"/>
        <v/>
      </c>
      <c r="G1247" s="915">
        <f>'House Count'!F1247</f>
        <v>0</v>
      </c>
      <c r="H1247" s="915">
        <f>'House Count'!H1247</f>
        <v>0</v>
      </c>
    </row>
    <row r="1248" spans="1:8" x14ac:dyDescent="0.25">
      <c r="A1248" s="914">
        <f>'House Count'!A1248</f>
        <v>0</v>
      </c>
      <c r="B1248" s="915">
        <f>'House Count'!E1248</f>
        <v>0</v>
      </c>
      <c r="C1248" s="915">
        <f>'House Count'!B1248</f>
        <v>0</v>
      </c>
      <c r="D1248" s="915">
        <f>'House Count'!C1248</f>
        <v>0</v>
      </c>
      <c r="E1248" s="915">
        <f>'House Count'!D1248</f>
        <v>0</v>
      </c>
      <c r="F1248" s="915" t="str">
        <f t="shared" si="19"/>
        <v/>
      </c>
      <c r="G1248" s="915">
        <f>'House Count'!F1248</f>
        <v>0</v>
      </c>
      <c r="H1248" s="915">
        <f>'House Count'!H1248</f>
        <v>0</v>
      </c>
    </row>
    <row r="1249" spans="1:8" x14ac:dyDescent="0.25">
      <c r="A1249" s="914">
        <f>'House Count'!A1249</f>
        <v>0</v>
      </c>
      <c r="B1249" s="915">
        <f>'House Count'!E1249</f>
        <v>0</v>
      </c>
      <c r="C1249" s="915">
        <f>'House Count'!B1249</f>
        <v>0</v>
      </c>
      <c r="D1249" s="915">
        <f>'House Count'!C1249</f>
        <v>0</v>
      </c>
      <c r="E1249" s="915">
        <f>'House Count'!D1249</f>
        <v>0</v>
      </c>
      <c r="F1249" s="915" t="str">
        <f t="shared" si="19"/>
        <v/>
      </c>
      <c r="G1249" s="915">
        <f>'House Count'!F1249</f>
        <v>0</v>
      </c>
      <c r="H1249" s="915">
        <f>'House Count'!H1249</f>
        <v>0</v>
      </c>
    </row>
    <row r="1250" spans="1:8" x14ac:dyDescent="0.25">
      <c r="A1250" s="914">
        <f>'House Count'!A1250</f>
        <v>0</v>
      </c>
      <c r="B1250" s="915">
        <f>'House Count'!E1250</f>
        <v>0</v>
      </c>
      <c r="C1250" s="915">
        <f>'House Count'!B1250</f>
        <v>0</v>
      </c>
      <c r="D1250" s="915">
        <f>'House Count'!C1250</f>
        <v>0</v>
      </c>
      <c r="E1250" s="915">
        <f>'House Count'!D1250</f>
        <v>0</v>
      </c>
      <c r="F1250" s="915" t="str">
        <f t="shared" si="19"/>
        <v/>
      </c>
      <c r="G1250" s="915">
        <f>'House Count'!F1250</f>
        <v>0</v>
      </c>
      <c r="H1250" s="915">
        <f>'House Count'!H1250</f>
        <v>0</v>
      </c>
    </row>
    <row r="1251" spans="1:8" x14ac:dyDescent="0.25">
      <c r="A1251" s="914">
        <f>'House Count'!A1251</f>
        <v>0</v>
      </c>
      <c r="B1251" s="915">
        <f>'House Count'!E1251</f>
        <v>0</v>
      </c>
      <c r="C1251" s="915">
        <f>'House Count'!B1251</f>
        <v>0</v>
      </c>
      <c r="D1251" s="915">
        <f>'House Count'!C1251</f>
        <v>0</v>
      </c>
      <c r="E1251" s="915">
        <f>'House Count'!D1251</f>
        <v>0</v>
      </c>
      <c r="F1251" s="915" t="str">
        <f t="shared" si="19"/>
        <v/>
      </c>
      <c r="G1251" s="915">
        <f>'House Count'!F1251</f>
        <v>0</v>
      </c>
      <c r="H1251" s="915">
        <f>'House Count'!H1251</f>
        <v>0</v>
      </c>
    </row>
    <row r="1252" spans="1:8" x14ac:dyDescent="0.25">
      <c r="A1252" s="914">
        <f>'House Count'!A1252</f>
        <v>0</v>
      </c>
      <c r="B1252" s="915">
        <f>'House Count'!E1252</f>
        <v>0</v>
      </c>
      <c r="C1252" s="915">
        <f>'House Count'!B1252</f>
        <v>0</v>
      </c>
      <c r="D1252" s="915">
        <f>'House Count'!C1252</f>
        <v>0</v>
      </c>
      <c r="E1252" s="915">
        <f>'House Count'!D1252</f>
        <v>0</v>
      </c>
      <c r="F1252" s="915" t="str">
        <f t="shared" si="19"/>
        <v/>
      </c>
      <c r="G1252" s="915">
        <f>'House Count'!F1252</f>
        <v>0</v>
      </c>
      <c r="H1252" s="915">
        <f>'House Count'!H1252</f>
        <v>0</v>
      </c>
    </row>
    <row r="1253" spans="1:8" x14ac:dyDescent="0.25">
      <c r="A1253" s="914">
        <f>'House Count'!A1253</f>
        <v>0</v>
      </c>
      <c r="B1253" s="915">
        <f>'House Count'!E1253</f>
        <v>0</v>
      </c>
      <c r="C1253" s="915">
        <f>'House Count'!B1253</f>
        <v>0</v>
      </c>
      <c r="D1253" s="915">
        <f>'House Count'!C1253</f>
        <v>0</v>
      </c>
      <c r="E1253" s="915">
        <f>'House Count'!D1253</f>
        <v>0</v>
      </c>
      <c r="F1253" s="915" t="str">
        <f t="shared" si="19"/>
        <v/>
      </c>
      <c r="G1253" s="915">
        <f>'House Count'!F1253</f>
        <v>0</v>
      </c>
      <c r="H1253" s="915">
        <f>'House Count'!H1253</f>
        <v>0</v>
      </c>
    </row>
    <row r="1254" spans="1:8" x14ac:dyDescent="0.25">
      <c r="A1254" s="914">
        <f>'House Count'!A1254</f>
        <v>0</v>
      </c>
      <c r="B1254" s="915">
        <f>'House Count'!E1254</f>
        <v>0</v>
      </c>
      <c r="C1254" s="915">
        <f>'House Count'!B1254</f>
        <v>0</v>
      </c>
      <c r="D1254" s="915">
        <f>'House Count'!C1254</f>
        <v>0</v>
      </c>
      <c r="E1254" s="915">
        <f>'House Count'!D1254</f>
        <v>0</v>
      </c>
      <c r="F1254" s="915" t="str">
        <f t="shared" si="19"/>
        <v/>
      </c>
      <c r="G1254" s="915">
        <f>'House Count'!F1254</f>
        <v>0</v>
      </c>
      <c r="H1254" s="915">
        <f>'House Count'!H1254</f>
        <v>0</v>
      </c>
    </row>
    <row r="1255" spans="1:8" x14ac:dyDescent="0.25">
      <c r="A1255" s="914">
        <f>'House Count'!A1255</f>
        <v>0</v>
      </c>
      <c r="B1255" s="915">
        <f>'House Count'!E1255</f>
        <v>0</v>
      </c>
      <c r="C1255" s="915">
        <f>'House Count'!B1255</f>
        <v>0</v>
      </c>
      <c r="D1255" s="915">
        <f>'House Count'!C1255</f>
        <v>0</v>
      </c>
      <c r="E1255" s="915">
        <f>'House Count'!D1255</f>
        <v>0</v>
      </c>
      <c r="F1255" s="915" t="str">
        <f t="shared" si="19"/>
        <v/>
      </c>
      <c r="G1255" s="915">
        <f>'House Count'!F1255</f>
        <v>0</v>
      </c>
      <c r="H1255" s="915">
        <f>'House Count'!H1255</f>
        <v>0</v>
      </c>
    </row>
    <row r="1256" spans="1:8" x14ac:dyDescent="0.25">
      <c r="A1256" s="914">
        <f>'House Count'!A1256</f>
        <v>0</v>
      </c>
      <c r="B1256" s="915">
        <f>'House Count'!E1256</f>
        <v>0</v>
      </c>
      <c r="C1256" s="915">
        <f>'House Count'!B1256</f>
        <v>0</v>
      </c>
      <c r="D1256" s="915">
        <f>'House Count'!C1256</f>
        <v>0</v>
      </c>
      <c r="E1256" s="915">
        <f>'House Count'!D1256</f>
        <v>0</v>
      </c>
      <c r="F1256" s="915" t="str">
        <f t="shared" si="19"/>
        <v/>
      </c>
      <c r="G1256" s="915">
        <f>'House Count'!F1256</f>
        <v>0</v>
      </c>
      <c r="H1256" s="915">
        <f>'House Count'!H1256</f>
        <v>0</v>
      </c>
    </row>
    <row r="1257" spans="1:8" x14ac:dyDescent="0.25">
      <c r="A1257" s="914">
        <f>'House Count'!A1257</f>
        <v>0</v>
      </c>
      <c r="B1257" s="915">
        <f>'House Count'!E1257</f>
        <v>0</v>
      </c>
      <c r="C1257" s="915">
        <f>'House Count'!B1257</f>
        <v>0</v>
      </c>
      <c r="D1257" s="915">
        <f>'House Count'!C1257</f>
        <v>0</v>
      </c>
      <c r="E1257" s="915">
        <f>'House Count'!D1257</f>
        <v>0</v>
      </c>
      <c r="F1257" s="915" t="str">
        <f t="shared" si="19"/>
        <v/>
      </c>
      <c r="G1257" s="915">
        <f>'House Count'!F1257</f>
        <v>0</v>
      </c>
      <c r="H1257" s="915">
        <f>'House Count'!H1257</f>
        <v>0</v>
      </c>
    </row>
    <row r="1258" spans="1:8" x14ac:dyDescent="0.25">
      <c r="A1258" s="914">
        <f>'House Count'!A1258</f>
        <v>0</v>
      </c>
      <c r="B1258" s="915">
        <f>'House Count'!E1258</f>
        <v>0</v>
      </c>
      <c r="C1258" s="915">
        <f>'House Count'!B1258</f>
        <v>0</v>
      </c>
      <c r="D1258" s="915">
        <f>'House Count'!C1258</f>
        <v>0</v>
      </c>
      <c r="E1258" s="915">
        <f>'House Count'!D1258</f>
        <v>0</v>
      </c>
      <c r="F1258" s="915" t="str">
        <f t="shared" si="19"/>
        <v/>
      </c>
      <c r="G1258" s="915">
        <f>'House Count'!F1258</f>
        <v>0</v>
      </c>
      <c r="H1258" s="915">
        <f>'House Count'!H1258</f>
        <v>0</v>
      </c>
    </row>
    <row r="1259" spans="1:8" x14ac:dyDescent="0.25">
      <c r="A1259" s="914">
        <f>'House Count'!A1259</f>
        <v>0</v>
      </c>
      <c r="B1259" s="915">
        <f>'House Count'!E1259</f>
        <v>0</v>
      </c>
      <c r="C1259" s="915">
        <f>'House Count'!B1259</f>
        <v>0</v>
      </c>
      <c r="D1259" s="915">
        <f>'House Count'!C1259</f>
        <v>0</v>
      </c>
      <c r="E1259" s="915">
        <f>'House Count'!D1259</f>
        <v>0</v>
      </c>
      <c r="F1259" s="915" t="str">
        <f t="shared" si="19"/>
        <v/>
      </c>
      <c r="G1259" s="915">
        <f>'House Count'!F1259</f>
        <v>0</v>
      </c>
      <c r="H1259" s="915">
        <f>'House Count'!H1259</f>
        <v>0</v>
      </c>
    </row>
    <row r="1260" spans="1:8" x14ac:dyDescent="0.25">
      <c r="A1260" s="914">
        <f>'House Count'!A1260</f>
        <v>0</v>
      </c>
      <c r="B1260" s="915">
        <f>'House Count'!E1260</f>
        <v>0</v>
      </c>
      <c r="C1260" s="915">
        <f>'House Count'!B1260</f>
        <v>0</v>
      </c>
      <c r="D1260" s="915">
        <f>'House Count'!C1260</f>
        <v>0</v>
      </c>
      <c r="E1260" s="915">
        <f>'House Count'!D1260</f>
        <v>0</v>
      </c>
      <c r="F1260" s="915" t="str">
        <f t="shared" si="19"/>
        <v/>
      </c>
      <c r="G1260" s="915">
        <f>'House Count'!F1260</f>
        <v>0</v>
      </c>
      <c r="H1260" s="915">
        <f>'House Count'!H1260</f>
        <v>0</v>
      </c>
    </row>
    <row r="1261" spans="1:8" x14ac:dyDescent="0.25">
      <c r="A1261" s="914">
        <f>'House Count'!A1261</f>
        <v>0</v>
      </c>
      <c r="B1261" s="915">
        <f>'House Count'!E1261</f>
        <v>0</v>
      </c>
      <c r="C1261" s="915">
        <f>'House Count'!B1261</f>
        <v>0</v>
      </c>
      <c r="D1261" s="915">
        <f>'House Count'!C1261</f>
        <v>0</v>
      </c>
      <c r="E1261" s="915">
        <f>'House Count'!D1261</f>
        <v>0</v>
      </c>
      <c r="F1261" s="915" t="str">
        <f t="shared" si="19"/>
        <v/>
      </c>
      <c r="G1261" s="915">
        <f>'House Count'!F1261</f>
        <v>0</v>
      </c>
      <c r="H1261" s="915">
        <f>'House Count'!H1261</f>
        <v>0</v>
      </c>
    </row>
    <row r="1262" spans="1:8" x14ac:dyDescent="0.25">
      <c r="A1262" s="914">
        <f>'House Count'!A1262</f>
        <v>0</v>
      </c>
      <c r="B1262" s="915">
        <f>'House Count'!E1262</f>
        <v>0</v>
      </c>
      <c r="C1262" s="915">
        <f>'House Count'!B1262</f>
        <v>0</v>
      </c>
      <c r="D1262" s="915">
        <f>'House Count'!C1262</f>
        <v>0</v>
      </c>
      <c r="E1262" s="915">
        <f>'House Count'!D1262</f>
        <v>0</v>
      </c>
      <c r="F1262" s="915" t="str">
        <f t="shared" si="19"/>
        <v/>
      </c>
      <c r="G1262" s="915">
        <f>'House Count'!F1262</f>
        <v>0</v>
      </c>
      <c r="H1262" s="915">
        <f>'House Count'!H1262</f>
        <v>0</v>
      </c>
    </row>
    <row r="1263" spans="1:8" x14ac:dyDescent="0.25">
      <c r="A1263" s="914">
        <f>'House Count'!A1263</f>
        <v>0</v>
      </c>
      <c r="B1263" s="915">
        <f>'House Count'!E1263</f>
        <v>0</v>
      </c>
      <c r="C1263" s="915">
        <f>'House Count'!B1263</f>
        <v>0</v>
      </c>
      <c r="D1263" s="915">
        <f>'House Count'!C1263</f>
        <v>0</v>
      </c>
      <c r="E1263" s="915">
        <f>'House Count'!D1263</f>
        <v>0</v>
      </c>
      <c r="F1263" s="915" t="str">
        <f t="shared" si="19"/>
        <v/>
      </c>
      <c r="G1263" s="915">
        <f>'House Count'!F1263</f>
        <v>0</v>
      </c>
      <c r="H1263" s="915">
        <f>'House Count'!H1263</f>
        <v>0</v>
      </c>
    </row>
    <row r="1264" spans="1:8" x14ac:dyDescent="0.25">
      <c r="A1264" s="914">
        <f>'House Count'!A1264</f>
        <v>0</v>
      </c>
      <c r="B1264" s="915">
        <f>'House Count'!E1264</f>
        <v>0</v>
      </c>
      <c r="C1264" s="915">
        <f>'House Count'!B1264</f>
        <v>0</v>
      </c>
      <c r="D1264" s="915">
        <f>'House Count'!C1264</f>
        <v>0</v>
      </c>
      <c r="E1264" s="915">
        <f>'House Count'!D1264</f>
        <v>0</v>
      </c>
      <c r="F1264" s="915" t="str">
        <f t="shared" si="19"/>
        <v/>
      </c>
      <c r="G1264" s="915">
        <f>'House Count'!F1264</f>
        <v>0</v>
      </c>
      <c r="H1264" s="915">
        <f>'House Count'!H1264</f>
        <v>0</v>
      </c>
    </row>
    <row r="1265" spans="1:8" x14ac:dyDescent="0.25">
      <c r="A1265" s="914">
        <f>'House Count'!A1265</f>
        <v>0</v>
      </c>
      <c r="B1265" s="915">
        <f>'House Count'!E1265</f>
        <v>0</v>
      </c>
      <c r="C1265" s="915">
        <f>'House Count'!B1265</f>
        <v>0</v>
      </c>
      <c r="D1265" s="915">
        <f>'House Count'!C1265</f>
        <v>0</v>
      </c>
      <c r="E1265" s="915">
        <f>'House Count'!D1265</f>
        <v>0</v>
      </c>
      <c r="F1265" s="915" t="str">
        <f t="shared" si="19"/>
        <v/>
      </c>
      <c r="G1265" s="915">
        <f>'House Count'!F1265</f>
        <v>0</v>
      </c>
      <c r="H1265" s="915">
        <f>'House Count'!H1265</f>
        <v>0</v>
      </c>
    </row>
    <row r="1266" spans="1:8" x14ac:dyDescent="0.25">
      <c r="A1266" s="914">
        <f>'House Count'!A1266</f>
        <v>0</v>
      </c>
      <c r="B1266" s="915">
        <f>'House Count'!E1266</f>
        <v>0</v>
      </c>
      <c r="C1266" s="915">
        <f>'House Count'!B1266</f>
        <v>0</v>
      </c>
      <c r="D1266" s="915">
        <f>'House Count'!C1266</f>
        <v>0</v>
      </c>
      <c r="E1266" s="915">
        <f>'House Count'!D1266</f>
        <v>0</v>
      </c>
      <c r="F1266" s="915" t="str">
        <f t="shared" si="19"/>
        <v/>
      </c>
      <c r="G1266" s="915">
        <f>'House Count'!F1266</f>
        <v>0</v>
      </c>
      <c r="H1266" s="915">
        <f>'House Count'!H1266</f>
        <v>0</v>
      </c>
    </row>
    <row r="1267" spans="1:8" x14ac:dyDescent="0.25">
      <c r="A1267" s="914">
        <f>'House Count'!A1267</f>
        <v>0</v>
      </c>
      <c r="B1267" s="915">
        <f>'House Count'!E1267</f>
        <v>0</v>
      </c>
      <c r="C1267" s="915">
        <f>'House Count'!B1267</f>
        <v>0</v>
      </c>
      <c r="D1267" s="915">
        <f>'House Count'!C1267</f>
        <v>0</v>
      </c>
      <c r="E1267" s="915">
        <f>'House Count'!D1267</f>
        <v>0</v>
      </c>
      <c r="F1267" s="915" t="str">
        <f t="shared" si="19"/>
        <v/>
      </c>
      <c r="G1267" s="915">
        <f>'House Count'!F1267</f>
        <v>0</v>
      </c>
      <c r="H1267" s="915">
        <f>'House Count'!H1267</f>
        <v>0</v>
      </c>
    </row>
    <row r="1268" spans="1:8" x14ac:dyDescent="0.25">
      <c r="A1268" s="914">
        <f>'House Count'!A1268</f>
        <v>0</v>
      </c>
      <c r="B1268" s="915">
        <f>'House Count'!E1268</f>
        <v>0</v>
      </c>
      <c r="C1268" s="915">
        <f>'House Count'!B1268</f>
        <v>0</v>
      </c>
      <c r="D1268" s="915">
        <f>'House Count'!C1268</f>
        <v>0</v>
      </c>
      <c r="E1268" s="915">
        <f>'House Count'!D1268</f>
        <v>0</v>
      </c>
      <c r="F1268" s="915" t="str">
        <f t="shared" si="19"/>
        <v/>
      </c>
      <c r="G1268" s="915">
        <f>'House Count'!F1268</f>
        <v>0</v>
      </c>
      <c r="H1268" s="915">
        <f>'House Count'!H1268</f>
        <v>0</v>
      </c>
    </row>
    <row r="1269" spans="1:8" x14ac:dyDescent="0.25">
      <c r="A1269" s="914">
        <f>'House Count'!A1269</f>
        <v>0</v>
      </c>
      <c r="B1269" s="915">
        <f>'House Count'!E1269</f>
        <v>0</v>
      </c>
      <c r="C1269" s="915">
        <f>'House Count'!B1269</f>
        <v>0</v>
      </c>
      <c r="D1269" s="915">
        <f>'House Count'!C1269</f>
        <v>0</v>
      </c>
      <c r="E1269" s="915">
        <f>'House Count'!D1269</f>
        <v>0</v>
      </c>
      <c r="F1269" s="915" t="str">
        <f t="shared" si="19"/>
        <v/>
      </c>
      <c r="G1269" s="915">
        <f>'House Count'!F1269</f>
        <v>0</v>
      </c>
      <c r="H1269" s="915">
        <f>'House Count'!H1269</f>
        <v>0</v>
      </c>
    </row>
    <row r="1270" spans="1:8" x14ac:dyDescent="0.25">
      <c r="A1270" s="914">
        <f>'House Count'!A1270</f>
        <v>0</v>
      </c>
      <c r="B1270" s="915">
        <f>'House Count'!E1270</f>
        <v>0</v>
      </c>
      <c r="C1270" s="915">
        <f>'House Count'!B1270</f>
        <v>0</v>
      </c>
      <c r="D1270" s="915">
        <f>'House Count'!C1270</f>
        <v>0</v>
      </c>
      <c r="E1270" s="915">
        <f>'House Count'!D1270</f>
        <v>0</v>
      </c>
      <c r="F1270" s="915" t="str">
        <f t="shared" si="19"/>
        <v/>
      </c>
      <c r="G1270" s="915">
        <f>'House Count'!F1270</f>
        <v>0</v>
      </c>
      <c r="H1270" s="915">
        <f>'House Count'!H1270</f>
        <v>0</v>
      </c>
    </row>
    <row r="1271" spans="1:8" x14ac:dyDescent="0.25">
      <c r="A1271" s="914">
        <f>'House Count'!A1271</f>
        <v>0</v>
      </c>
      <c r="B1271" s="915">
        <f>'House Count'!E1271</f>
        <v>0</v>
      </c>
      <c r="C1271" s="915">
        <f>'House Count'!B1271</f>
        <v>0</v>
      </c>
      <c r="D1271" s="915">
        <f>'House Count'!C1271</f>
        <v>0</v>
      </c>
      <c r="E1271" s="915">
        <f>'House Count'!D1271</f>
        <v>0</v>
      </c>
      <c r="F1271" s="915" t="str">
        <f t="shared" si="19"/>
        <v/>
      </c>
      <c r="G1271" s="915">
        <f>'House Count'!F1271</f>
        <v>0</v>
      </c>
      <c r="H1271" s="915">
        <f>'House Count'!H1271</f>
        <v>0</v>
      </c>
    </row>
    <row r="1272" spans="1:8" x14ac:dyDescent="0.25">
      <c r="A1272" s="914">
        <f>'House Count'!A1272</f>
        <v>0</v>
      </c>
      <c r="B1272" s="915">
        <f>'House Count'!E1272</f>
        <v>0</v>
      </c>
      <c r="C1272" s="915">
        <f>'House Count'!B1272</f>
        <v>0</v>
      </c>
      <c r="D1272" s="915">
        <f>'House Count'!C1272</f>
        <v>0</v>
      </c>
      <c r="E1272" s="915">
        <f>'House Count'!D1272</f>
        <v>0</v>
      </c>
      <c r="F1272" s="915" t="str">
        <f t="shared" si="19"/>
        <v/>
      </c>
      <c r="G1272" s="915">
        <f>'House Count'!F1272</f>
        <v>0</v>
      </c>
      <c r="H1272" s="915">
        <f>'House Count'!H1272</f>
        <v>0</v>
      </c>
    </row>
    <row r="1273" spans="1:8" x14ac:dyDescent="0.25">
      <c r="A1273" s="914">
        <f>'House Count'!A1273</f>
        <v>0</v>
      </c>
      <c r="B1273" s="915">
        <f>'House Count'!E1273</f>
        <v>0</v>
      </c>
      <c r="C1273" s="915">
        <f>'House Count'!B1273</f>
        <v>0</v>
      </c>
      <c r="D1273" s="915">
        <f>'House Count'!C1273</f>
        <v>0</v>
      </c>
      <c r="E1273" s="915">
        <f>'House Count'!D1273</f>
        <v>0</v>
      </c>
      <c r="F1273" s="915" t="str">
        <f t="shared" si="19"/>
        <v/>
      </c>
      <c r="G1273" s="915">
        <f>'House Count'!F1273</f>
        <v>0</v>
      </c>
      <c r="H1273" s="915">
        <f>'House Count'!H1273</f>
        <v>0</v>
      </c>
    </row>
    <row r="1274" spans="1:8" x14ac:dyDescent="0.25">
      <c r="A1274" s="914">
        <f>'House Count'!A1274</f>
        <v>0</v>
      </c>
      <c r="B1274" s="915">
        <f>'House Count'!E1274</f>
        <v>0</v>
      </c>
      <c r="C1274" s="915">
        <f>'House Count'!B1274</f>
        <v>0</v>
      </c>
      <c r="D1274" s="915">
        <f>'House Count'!C1274</f>
        <v>0</v>
      </c>
      <c r="E1274" s="915">
        <f>'House Count'!D1274</f>
        <v>0</v>
      </c>
      <c r="F1274" s="915" t="str">
        <f t="shared" si="19"/>
        <v/>
      </c>
      <c r="G1274" s="915">
        <f>'House Count'!F1274</f>
        <v>0</v>
      </c>
      <c r="H1274" s="915">
        <f>'House Count'!H1274</f>
        <v>0</v>
      </c>
    </row>
    <row r="1275" spans="1:8" x14ac:dyDescent="0.25">
      <c r="A1275" s="914">
        <f>'House Count'!A1275</f>
        <v>0</v>
      </c>
      <c r="B1275" s="915">
        <f>'House Count'!E1275</f>
        <v>0</v>
      </c>
      <c r="C1275" s="915">
        <f>'House Count'!B1275</f>
        <v>0</v>
      </c>
      <c r="D1275" s="915">
        <f>'House Count'!C1275</f>
        <v>0</v>
      </c>
      <c r="E1275" s="915">
        <f>'House Count'!D1275</f>
        <v>0</v>
      </c>
      <c r="F1275" s="915" t="str">
        <f t="shared" si="19"/>
        <v/>
      </c>
      <c r="G1275" s="915">
        <f>'House Count'!F1275</f>
        <v>0</v>
      </c>
      <c r="H1275" s="915">
        <f>'House Count'!H1275</f>
        <v>0</v>
      </c>
    </row>
    <row r="1276" spans="1:8" x14ac:dyDescent="0.25">
      <c r="A1276" s="914">
        <f>'House Count'!A1276</f>
        <v>0</v>
      </c>
      <c r="B1276" s="915">
        <f>'House Count'!E1276</f>
        <v>0</v>
      </c>
      <c r="C1276" s="915">
        <f>'House Count'!B1276</f>
        <v>0</v>
      </c>
      <c r="D1276" s="915">
        <f>'House Count'!C1276</f>
        <v>0</v>
      </c>
      <c r="E1276" s="915">
        <f>'House Count'!D1276</f>
        <v>0</v>
      </c>
      <c r="F1276" s="915" t="str">
        <f t="shared" si="19"/>
        <v/>
      </c>
      <c r="G1276" s="915">
        <f>'House Count'!F1276</f>
        <v>0</v>
      </c>
      <c r="H1276" s="915">
        <f>'House Count'!H1276</f>
        <v>0</v>
      </c>
    </row>
    <row r="1277" spans="1:8" x14ac:dyDescent="0.25">
      <c r="A1277" s="914">
        <f>'House Count'!A1277</f>
        <v>0</v>
      </c>
      <c r="B1277" s="915">
        <f>'House Count'!E1277</f>
        <v>0</v>
      </c>
      <c r="C1277" s="915">
        <f>'House Count'!B1277</f>
        <v>0</v>
      </c>
      <c r="D1277" s="915">
        <f>'House Count'!C1277</f>
        <v>0</v>
      </c>
      <c r="E1277" s="915">
        <f>'House Count'!D1277</f>
        <v>0</v>
      </c>
      <c r="F1277" s="915" t="str">
        <f t="shared" si="19"/>
        <v/>
      </c>
      <c r="G1277" s="915">
        <f>'House Count'!F1277</f>
        <v>0</v>
      </c>
      <c r="H1277" s="915">
        <f>'House Count'!H1277</f>
        <v>0</v>
      </c>
    </row>
    <row r="1278" spans="1:8" x14ac:dyDescent="0.25">
      <c r="A1278" s="914">
        <f>'House Count'!A1278</f>
        <v>0</v>
      </c>
      <c r="B1278" s="915">
        <f>'House Count'!E1278</f>
        <v>0</v>
      </c>
      <c r="C1278" s="915">
        <f>'House Count'!B1278</f>
        <v>0</v>
      </c>
      <c r="D1278" s="915">
        <f>'House Count'!C1278</f>
        <v>0</v>
      </c>
      <c r="E1278" s="915">
        <f>'House Count'!D1278</f>
        <v>0</v>
      </c>
      <c r="F1278" s="915" t="str">
        <f t="shared" si="19"/>
        <v/>
      </c>
      <c r="G1278" s="915">
        <f>'House Count'!F1278</f>
        <v>0</v>
      </c>
      <c r="H1278" s="915">
        <f>'House Count'!H1278</f>
        <v>0</v>
      </c>
    </row>
    <row r="1279" spans="1:8" x14ac:dyDescent="0.25">
      <c r="A1279" s="914">
        <f>'House Count'!A1279</f>
        <v>0</v>
      </c>
      <c r="B1279" s="915">
        <f>'House Count'!E1279</f>
        <v>0</v>
      </c>
      <c r="C1279" s="915">
        <f>'House Count'!B1279</f>
        <v>0</v>
      </c>
      <c r="D1279" s="915">
        <f>'House Count'!C1279</f>
        <v>0</v>
      </c>
      <c r="E1279" s="915">
        <f>'House Count'!D1279</f>
        <v>0</v>
      </c>
      <c r="F1279" s="915" t="str">
        <f t="shared" si="19"/>
        <v/>
      </c>
      <c r="G1279" s="915">
        <f>'House Count'!F1279</f>
        <v>0</v>
      </c>
      <c r="H1279" s="915">
        <f>'House Count'!H1279</f>
        <v>0</v>
      </c>
    </row>
    <row r="1280" spans="1:8" x14ac:dyDescent="0.25">
      <c r="A1280" s="914">
        <f>'House Count'!A1280</f>
        <v>0</v>
      </c>
      <c r="B1280" s="915">
        <f>'House Count'!E1280</f>
        <v>0</v>
      </c>
      <c r="C1280" s="915">
        <f>'House Count'!B1280</f>
        <v>0</v>
      </c>
      <c r="D1280" s="915">
        <f>'House Count'!C1280</f>
        <v>0</v>
      </c>
      <c r="E1280" s="915">
        <f>'House Count'!D1280</f>
        <v>0</v>
      </c>
      <c r="F1280" s="915" t="str">
        <f t="shared" si="19"/>
        <v/>
      </c>
      <c r="G1280" s="915">
        <f>'House Count'!F1280</f>
        <v>0</v>
      </c>
      <c r="H1280" s="915">
        <f>'House Count'!H1280</f>
        <v>0</v>
      </c>
    </row>
    <row r="1281" spans="1:8" x14ac:dyDescent="0.25">
      <c r="A1281" s="914">
        <f>'House Count'!A1281</f>
        <v>0</v>
      </c>
      <c r="B1281" s="915">
        <f>'House Count'!E1281</f>
        <v>0</v>
      </c>
      <c r="C1281" s="915">
        <f>'House Count'!B1281</f>
        <v>0</v>
      </c>
      <c r="D1281" s="915">
        <f>'House Count'!C1281</f>
        <v>0</v>
      </c>
      <c r="E1281" s="915">
        <f>'House Count'!D1281</f>
        <v>0</v>
      </c>
      <c r="F1281" s="915" t="str">
        <f t="shared" si="19"/>
        <v/>
      </c>
      <c r="G1281" s="915">
        <f>'House Count'!F1281</f>
        <v>0</v>
      </c>
      <c r="H1281" s="915">
        <f>'House Count'!H1281</f>
        <v>0</v>
      </c>
    </row>
    <row r="1282" spans="1:8" x14ac:dyDescent="0.25">
      <c r="A1282" s="914">
        <f>'House Count'!A1282</f>
        <v>0</v>
      </c>
      <c r="B1282" s="915">
        <f>'House Count'!E1282</f>
        <v>0</v>
      </c>
      <c r="C1282" s="915">
        <f>'House Count'!B1282</f>
        <v>0</v>
      </c>
      <c r="D1282" s="915">
        <f>'House Count'!C1282</f>
        <v>0</v>
      </c>
      <c r="E1282" s="915">
        <f>'House Count'!D1282</f>
        <v>0</v>
      </c>
      <c r="F1282" s="915" t="str">
        <f t="shared" si="19"/>
        <v/>
      </c>
      <c r="G1282" s="915">
        <f>'House Count'!F1282</f>
        <v>0</v>
      </c>
      <c r="H1282" s="915">
        <f>'House Count'!H1282</f>
        <v>0</v>
      </c>
    </row>
    <row r="1283" spans="1:8" x14ac:dyDescent="0.25">
      <c r="A1283" s="914">
        <f>'House Count'!A1283</f>
        <v>0</v>
      </c>
      <c r="B1283" s="915">
        <f>'House Count'!E1283</f>
        <v>0</v>
      </c>
      <c r="C1283" s="915">
        <f>'House Count'!B1283</f>
        <v>0</v>
      </c>
      <c r="D1283" s="915">
        <f>'House Count'!C1283</f>
        <v>0</v>
      </c>
      <c r="E1283" s="915">
        <f>'House Count'!D1283</f>
        <v>0</v>
      </c>
      <c r="F1283" s="915" t="str">
        <f t="shared" ref="F1283:F1346" si="20">IF(G1283="RES-SFU","RESIDENTIAL",IF(G1283="RES-HOA","RESIDENTIAL",IF(G1283="RES-MDU","RESIDENTIAL",IF(G1283="COMM-SU","BUSINESS",IF(G1283="COM-MTU","BUSINESS",IF(G1283="ENT","BUSINESS",""))))))</f>
        <v/>
      </c>
      <c r="G1283" s="915">
        <f>'House Count'!F1283</f>
        <v>0</v>
      </c>
      <c r="H1283" s="915">
        <f>'House Count'!H1283</f>
        <v>0</v>
      </c>
    </row>
    <row r="1284" spans="1:8" x14ac:dyDescent="0.25">
      <c r="A1284" s="914">
        <f>'House Count'!A1284</f>
        <v>0</v>
      </c>
      <c r="B1284" s="915">
        <f>'House Count'!E1284</f>
        <v>0</v>
      </c>
      <c r="C1284" s="915">
        <f>'House Count'!B1284</f>
        <v>0</v>
      </c>
      <c r="D1284" s="915">
        <f>'House Count'!C1284</f>
        <v>0</v>
      </c>
      <c r="E1284" s="915">
        <f>'House Count'!D1284</f>
        <v>0</v>
      </c>
      <c r="F1284" s="915" t="str">
        <f t="shared" si="20"/>
        <v/>
      </c>
      <c r="G1284" s="915">
        <f>'House Count'!F1284</f>
        <v>0</v>
      </c>
      <c r="H1284" s="915">
        <f>'House Count'!H1284</f>
        <v>0</v>
      </c>
    </row>
    <row r="1285" spans="1:8" x14ac:dyDescent="0.25">
      <c r="A1285" s="914">
        <f>'House Count'!A1285</f>
        <v>0</v>
      </c>
      <c r="B1285" s="915">
        <f>'House Count'!E1285</f>
        <v>0</v>
      </c>
      <c r="C1285" s="915">
        <f>'House Count'!B1285</f>
        <v>0</v>
      </c>
      <c r="D1285" s="915">
        <f>'House Count'!C1285</f>
        <v>0</v>
      </c>
      <c r="E1285" s="915">
        <f>'House Count'!D1285</f>
        <v>0</v>
      </c>
      <c r="F1285" s="915" t="str">
        <f t="shared" si="20"/>
        <v/>
      </c>
      <c r="G1285" s="915">
        <f>'House Count'!F1285</f>
        <v>0</v>
      </c>
      <c r="H1285" s="915">
        <f>'House Count'!H1285</f>
        <v>0</v>
      </c>
    </row>
    <row r="1286" spans="1:8" x14ac:dyDescent="0.25">
      <c r="A1286" s="914">
        <f>'House Count'!A1286</f>
        <v>0</v>
      </c>
      <c r="B1286" s="915">
        <f>'House Count'!E1286</f>
        <v>0</v>
      </c>
      <c r="C1286" s="915">
        <f>'House Count'!B1286</f>
        <v>0</v>
      </c>
      <c r="D1286" s="915">
        <f>'House Count'!C1286</f>
        <v>0</v>
      </c>
      <c r="E1286" s="915">
        <f>'House Count'!D1286</f>
        <v>0</v>
      </c>
      <c r="F1286" s="915" t="str">
        <f t="shared" si="20"/>
        <v/>
      </c>
      <c r="G1286" s="915">
        <f>'House Count'!F1286</f>
        <v>0</v>
      </c>
      <c r="H1286" s="915">
        <f>'House Count'!H1286</f>
        <v>0</v>
      </c>
    </row>
    <row r="1287" spans="1:8" x14ac:dyDescent="0.25">
      <c r="A1287" s="914">
        <f>'House Count'!A1287</f>
        <v>0</v>
      </c>
      <c r="B1287" s="915">
        <f>'House Count'!E1287</f>
        <v>0</v>
      </c>
      <c r="C1287" s="915">
        <f>'House Count'!B1287</f>
        <v>0</v>
      </c>
      <c r="D1287" s="915">
        <f>'House Count'!C1287</f>
        <v>0</v>
      </c>
      <c r="E1287" s="915">
        <f>'House Count'!D1287</f>
        <v>0</v>
      </c>
      <c r="F1287" s="915" t="str">
        <f t="shared" si="20"/>
        <v/>
      </c>
      <c r="G1287" s="915">
        <f>'House Count'!F1287</f>
        <v>0</v>
      </c>
      <c r="H1287" s="915">
        <f>'House Count'!H1287</f>
        <v>0</v>
      </c>
    </row>
    <row r="1288" spans="1:8" x14ac:dyDescent="0.25">
      <c r="A1288" s="914">
        <f>'House Count'!A1288</f>
        <v>0</v>
      </c>
      <c r="B1288" s="915">
        <f>'House Count'!E1288</f>
        <v>0</v>
      </c>
      <c r="C1288" s="915">
        <f>'House Count'!B1288</f>
        <v>0</v>
      </c>
      <c r="D1288" s="915">
        <f>'House Count'!C1288</f>
        <v>0</v>
      </c>
      <c r="E1288" s="915">
        <f>'House Count'!D1288</f>
        <v>0</v>
      </c>
      <c r="F1288" s="915" t="str">
        <f t="shared" si="20"/>
        <v/>
      </c>
      <c r="G1288" s="915">
        <f>'House Count'!F1288</f>
        <v>0</v>
      </c>
      <c r="H1288" s="915">
        <f>'House Count'!H1288</f>
        <v>0</v>
      </c>
    </row>
    <row r="1289" spans="1:8" x14ac:dyDescent="0.25">
      <c r="A1289" s="914">
        <f>'House Count'!A1289</f>
        <v>0</v>
      </c>
      <c r="B1289" s="915">
        <f>'House Count'!E1289</f>
        <v>0</v>
      </c>
      <c r="C1289" s="915">
        <f>'House Count'!B1289</f>
        <v>0</v>
      </c>
      <c r="D1289" s="915">
        <f>'House Count'!C1289</f>
        <v>0</v>
      </c>
      <c r="E1289" s="915">
        <f>'House Count'!D1289</f>
        <v>0</v>
      </c>
      <c r="F1289" s="915" t="str">
        <f t="shared" si="20"/>
        <v/>
      </c>
      <c r="G1289" s="915">
        <f>'House Count'!F1289</f>
        <v>0</v>
      </c>
      <c r="H1289" s="915">
        <f>'House Count'!H1289</f>
        <v>0</v>
      </c>
    </row>
    <row r="1290" spans="1:8" x14ac:dyDescent="0.25">
      <c r="A1290" s="914">
        <f>'House Count'!A1290</f>
        <v>0</v>
      </c>
      <c r="B1290" s="915">
        <f>'House Count'!E1290</f>
        <v>0</v>
      </c>
      <c r="C1290" s="915">
        <f>'House Count'!B1290</f>
        <v>0</v>
      </c>
      <c r="D1290" s="915">
        <f>'House Count'!C1290</f>
        <v>0</v>
      </c>
      <c r="E1290" s="915">
        <f>'House Count'!D1290</f>
        <v>0</v>
      </c>
      <c r="F1290" s="915" t="str">
        <f t="shared" si="20"/>
        <v/>
      </c>
      <c r="G1290" s="915">
        <f>'House Count'!F1290</f>
        <v>0</v>
      </c>
      <c r="H1290" s="915">
        <f>'House Count'!H1290</f>
        <v>0</v>
      </c>
    </row>
    <row r="1291" spans="1:8" x14ac:dyDescent="0.25">
      <c r="A1291" s="914">
        <f>'House Count'!A1291</f>
        <v>0</v>
      </c>
      <c r="B1291" s="915">
        <f>'House Count'!E1291</f>
        <v>0</v>
      </c>
      <c r="C1291" s="915">
        <f>'House Count'!B1291</f>
        <v>0</v>
      </c>
      <c r="D1291" s="915">
        <f>'House Count'!C1291</f>
        <v>0</v>
      </c>
      <c r="E1291" s="915">
        <f>'House Count'!D1291</f>
        <v>0</v>
      </c>
      <c r="F1291" s="915" t="str">
        <f t="shared" si="20"/>
        <v/>
      </c>
      <c r="G1291" s="915">
        <f>'House Count'!F1291</f>
        <v>0</v>
      </c>
      <c r="H1291" s="915">
        <f>'House Count'!H1291</f>
        <v>0</v>
      </c>
    </row>
    <row r="1292" spans="1:8" x14ac:dyDescent="0.25">
      <c r="A1292" s="914">
        <f>'House Count'!A1292</f>
        <v>0</v>
      </c>
      <c r="B1292" s="915">
        <f>'House Count'!E1292</f>
        <v>0</v>
      </c>
      <c r="C1292" s="915">
        <f>'House Count'!B1292</f>
        <v>0</v>
      </c>
      <c r="D1292" s="915">
        <f>'House Count'!C1292</f>
        <v>0</v>
      </c>
      <c r="E1292" s="915">
        <f>'House Count'!D1292</f>
        <v>0</v>
      </c>
      <c r="F1292" s="915" t="str">
        <f t="shared" si="20"/>
        <v/>
      </c>
      <c r="G1292" s="915">
        <f>'House Count'!F1292</f>
        <v>0</v>
      </c>
      <c r="H1292" s="915">
        <f>'House Count'!H1292</f>
        <v>0</v>
      </c>
    </row>
    <row r="1293" spans="1:8" x14ac:dyDescent="0.25">
      <c r="A1293" s="914">
        <f>'House Count'!A1293</f>
        <v>0</v>
      </c>
      <c r="B1293" s="915">
        <f>'House Count'!E1293</f>
        <v>0</v>
      </c>
      <c r="C1293" s="915">
        <f>'House Count'!B1293</f>
        <v>0</v>
      </c>
      <c r="D1293" s="915">
        <f>'House Count'!C1293</f>
        <v>0</v>
      </c>
      <c r="E1293" s="915">
        <f>'House Count'!D1293</f>
        <v>0</v>
      </c>
      <c r="F1293" s="915" t="str">
        <f t="shared" si="20"/>
        <v/>
      </c>
      <c r="G1293" s="915">
        <f>'House Count'!F1293</f>
        <v>0</v>
      </c>
      <c r="H1293" s="915">
        <f>'House Count'!H1293</f>
        <v>0</v>
      </c>
    </row>
    <row r="1294" spans="1:8" x14ac:dyDescent="0.25">
      <c r="A1294" s="914">
        <f>'House Count'!A1294</f>
        <v>0</v>
      </c>
      <c r="B1294" s="915">
        <f>'House Count'!E1294</f>
        <v>0</v>
      </c>
      <c r="C1294" s="915">
        <f>'House Count'!B1294</f>
        <v>0</v>
      </c>
      <c r="D1294" s="915">
        <f>'House Count'!C1294</f>
        <v>0</v>
      </c>
      <c r="E1294" s="915">
        <f>'House Count'!D1294</f>
        <v>0</v>
      </c>
      <c r="F1294" s="915" t="str">
        <f t="shared" si="20"/>
        <v/>
      </c>
      <c r="G1294" s="915">
        <f>'House Count'!F1294</f>
        <v>0</v>
      </c>
      <c r="H1294" s="915">
        <f>'House Count'!H1294</f>
        <v>0</v>
      </c>
    </row>
    <row r="1295" spans="1:8" x14ac:dyDescent="0.25">
      <c r="A1295" s="914">
        <f>'House Count'!A1295</f>
        <v>0</v>
      </c>
      <c r="B1295" s="915">
        <f>'House Count'!E1295</f>
        <v>0</v>
      </c>
      <c r="C1295" s="915">
        <f>'House Count'!B1295</f>
        <v>0</v>
      </c>
      <c r="D1295" s="915">
        <f>'House Count'!C1295</f>
        <v>0</v>
      </c>
      <c r="E1295" s="915">
        <f>'House Count'!D1295</f>
        <v>0</v>
      </c>
      <c r="F1295" s="915" t="str">
        <f t="shared" si="20"/>
        <v/>
      </c>
      <c r="G1295" s="915">
        <f>'House Count'!F1295</f>
        <v>0</v>
      </c>
      <c r="H1295" s="915">
        <f>'House Count'!H1295</f>
        <v>0</v>
      </c>
    </row>
    <row r="1296" spans="1:8" x14ac:dyDescent="0.25">
      <c r="A1296" s="914">
        <f>'House Count'!A1296</f>
        <v>0</v>
      </c>
      <c r="B1296" s="915">
        <f>'House Count'!E1296</f>
        <v>0</v>
      </c>
      <c r="C1296" s="915">
        <f>'House Count'!B1296</f>
        <v>0</v>
      </c>
      <c r="D1296" s="915">
        <f>'House Count'!C1296</f>
        <v>0</v>
      </c>
      <c r="E1296" s="915">
        <f>'House Count'!D1296</f>
        <v>0</v>
      </c>
      <c r="F1296" s="915" t="str">
        <f t="shared" si="20"/>
        <v/>
      </c>
      <c r="G1296" s="915">
        <f>'House Count'!F1296</f>
        <v>0</v>
      </c>
      <c r="H1296" s="915">
        <f>'House Count'!H1296</f>
        <v>0</v>
      </c>
    </row>
    <row r="1297" spans="1:8" x14ac:dyDescent="0.25">
      <c r="A1297" s="914">
        <f>'House Count'!A1297</f>
        <v>0</v>
      </c>
      <c r="B1297" s="915">
        <f>'House Count'!E1297</f>
        <v>0</v>
      </c>
      <c r="C1297" s="915">
        <f>'House Count'!B1297</f>
        <v>0</v>
      </c>
      <c r="D1297" s="915">
        <f>'House Count'!C1297</f>
        <v>0</v>
      </c>
      <c r="E1297" s="915">
        <f>'House Count'!D1297</f>
        <v>0</v>
      </c>
      <c r="F1297" s="915" t="str">
        <f t="shared" si="20"/>
        <v/>
      </c>
      <c r="G1297" s="915">
        <f>'House Count'!F1297</f>
        <v>0</v>
      </c>
      <c r="H1297" s="915">
        <f>'House Count'!H1297</f>
        <v>0</v>
      </c>
    </row>
    <row r="1298" spans="1:8" x14ac:dyDescent="0.25">
      <c r="A1298" s="914">
        <f>'House Count'!A1298</f>
        <v>0</v>
      </c>
      <c r="B1298" s="915">
        <f>'House Count'!E1298</f>
        <v>0</v>
      </c>
      <c r="C1298" s="915">
        <f>'House Count'!B1298</f>
        <v>0</v>
      </c>
      <c r="D1298" s="915">
        <f>'House Count'!C1298</f>
        <v>0</v>
      </c>
      <c r="E1298" s="915">
        <f>'House Count'!D1298</f>
        <v>0</v>
      </c>
      <c r="F1298" s="915" t="str">
        <f t="shared" si="20"/>
        <v/>
      </c>
      <c r="G1298" s="915">
        <f>'House Count'!F1298</f>
        <v>0</v>
      </c>
      <c r="H1298" s="915">
        <f>'House Count'!H1298</f>
        <v>0</v>
      </c>
    </row>
    <row r="1299" spans="1:8" x14ac:dyDescent="0.25">
      <c r="A1299" s="914">
        <f>'House Count'!A1299</f>
        <v>0</v>
      </c>
      <c r="B1299" s="915">
        <f>'House Count'!E1299</f>
        <v>0</v>
      </c>
      <c r="C1299" s="915">
        <f>'House Count'!B1299</f>
        <v>0</v>
      </c>
      <c r="D1299" s="915">
        <f>'House Count'!C1299</f>
        <v>0</v>
      </c>
      <c r="E1299" s="915">
        <f>'House Count'!D1299</f>
        <v>0</v>
      </c>
      <c r="F1299" s="915" t="str">
        <f t="shared" si="20"/>
        <v/>
      </c>
      <c r="G1299" s="915">
        <f>'House Count'!F1299</f>
        <v>0</v>
      </c>
      <c r="H1299" s="915">
        <f>'House Count'!H1299</f>
        <v>0</v>
      </c>
    </row>
    <row r="1300" spans="1:8" x14ac:dyDescent="0.25">
      <c r="A1300" s="914">
        <f>'House Count'!A1300</f>
        <v>0</v>
      </c>
      <c r="B1300" s="915">
        <f>'House Count'!E1300</f>
        <v>0</v>
      </c>
      <c r="C1300" s="915">
        <f>'House Count'!B1300</f>
        <v>0</v>
      </c>
      <c r="D1300" s="915">
        <f>'House Count'!C1300</f>
        <v>0</v>
      </c>
      <c r="E1300" s="915">
        <f>'House Count'!D1300</f>
        <v>0</v>
      </c>
      <c r="F1300" s="915" t="str">
        <f t="shared" si="20"/>
        <v/>
      </c>
      <c r="G1300" s="915">
        <f>'House Count'!F1300</f>
        <v>0</v>
      </c>
      <c r="H1300" s="915">
        <f>'House Count'!H1300</f>
        <v>0</v>
      </c>
    </row>
    <row r="1301" spans="1:8" x14ac:dyDescent="0.25">
      <c r="A1301" s="914">
        <f>'House Count'!A1301</f>
        <v>0</v>
      </c>
      <c r="B1301" s="915">
        <f>'House Count'!E1301</f>
        <v>0</v>
      </c>
      <c r="C1301" s="915">
        <f>'House Count'!B1301</f>
        <v>0</v>
      </c>
      <c r="D1301" s="915">
        <f>'House Count'!C1301</f>
        <v>0</v>
      </c>
      <c r="E1301" s="915">
        <f>'House Count'!D1301</f>
        <v>0</v>
      </c>
      <c r="F1301" s="915" t="str">
        <f t="shared" si="20"/>
        <v/>
      </c>
      <c r="G1301" s="915">
        <f>'House Count'!F1301</f>
        <v>0</v>
      </c>
      <c r="H1301" s="915">
        <f>'House Count'!H1301</f>
        <v>0</v>
      </c>
    </row>
    <row r="1302" spans="1:8" x14ac:dyDescent="0.25">
      <c r="A1302" s="914">
        <f>'House Count'!A1302</f>
        <v>0</v>
      </c>
      <c r="B1302" s="915">
        <f>'House Count'!E1302</f>
        <v>0</v>
      </c>
      <c r="C1302" s="915">
        <f>'House Count'!B1302</f>
        <v>0</v>
      </c>
      <c r="D1302" s="915">
        <f>'House Count'!C1302</f>
        <v>0</v>
      </c>
      <c r="E1302" s="915">
        <f>'House Count'!D1302</f>
        <v>0</v>
      </c>
      <c r="F1302" s="915" t="str">
        <f t="shared" si="20"/>
        <v/>
      </c>
      <c r="G1302" s="915">
        <f>'House Count'!F1302</f>
        <v>0</v>
      </c>
      <c r="H1302" s="915">
        <f>'House Count'!H1302</f>
        <v>0</v>
      </c>
    </row>
    <row r="1303" spans="1:8" x14ac:dyDescent="0.25">
      <c r="A1303" s="914">
        <f>'House Count'!A1303</f>
        <v>0</v>
      </c>
      <c r="B1303" s="915">
        <f>'House Count'!E1303</f>
        <v>0</v>
      </c>
      <c r="C1303" s="915">
        <f>'House Count'!B1303</f>
        <v>0</v>
      </c>
      <c r="D1303" s="915">
        <f>'House Count'!C1303</f>
        <v>0</v>
      </c>
      <c r="E1303" s="915">
        <f>'House Count'!D1303</f>
        <v>0</v>
      </c>
      <c r="F1303" s="915" t="str">
        <f t="shared" si="20"/>
        <v/>
      </c>
      <c r="G1303" s="915">
        <f>'House Count'!F1303</f>
        <v>0</v>
      </c>
      <c r="H1303" s="915">
        <f>'House Count'!H1303</f>
        <v>0</v>
      </c>
    </row>
    <row r="1304" spans="1:8" x14ac:dyDescent="0.25">
      <c r="A1304" s="914">
        <f>'House Count'!A1304</f>
        <v>0</v>
      </c>
      <c r="B1304" s="915">
        <f>'House Count'!E1304</f>
        <v>0</v>
      </c>
      <c r="C1304" s="915">
        <f>'House Count'!B1304</f>
        <v>0</v>
      </c>
      <c r="D1304" s="915">
        <f>'House Count'!C1304</f>
        <v>0</v>
      </c>
      <c r="E1304" s="915">
        <f>'House Count'!D1304</f>
        <v>0</v>
      </c>
      <c r="F1304" s="915" t="str">
        <f t="shared" si="20"/>
        <v/>
      </c>
      <c r="G1304" s="915">
        <f>'House Count'!F1304</f>
        <v>0</v>
      </c>
      <c r="H1304" s="915">
        <f>'House Count'!H1304</f>
        <v>0</v>
      </c>
    </row>
    <row r="1305" spans="1:8" x14ac:dyDescent="0.25">
      <c r="A1305" s="914">
        <f>'House Count'!A1305</f>
        <v>0</v>
      </c>
      <c r="B1305" s="915">
        <f>'House Count'!E1305</f>
        <v>0</v>
      </c>
      <c r="C1305" s="915">
        <f>'House Count'!B1305</f>
        <v>0</v>
      </c>
      <c r="D1305" s="915">
        <f>'House Count'!C1305</f>
        <v>0</v>
      </c>
      <c r="E1305" s="915">
        <f>'House Count'!D1305</f>
        <v>0</v>
      </c>
      <c r="F1305" s="915" t="str">
        <f t="shared" si="20"/>
        <v/>
      </c>
      <c r="G1305" s="915">
        <f>'House Count'!F1305</f>
        <v>0</v>
      </c>
      <c r="H1305" s="915">
        <f>'House Count'!H1305</f>
        <v>0</v>
      </c>
    </row>
    <row r="1306" spans="1:8" x14ac:dyDescent="0.25">
      <c r="A1306" s="914">
        <f>'House Count'!A1306</f>
        <v>0</v>
      </c>
      <c r="B1306" s="915">
        <f>'House Count'!E1306</f>
        <v>0</v>
      </c>
      <c r="C1306" s="915">
        <f>'House Count'!B1306</f>
        <v>0</v>
      </c>
      <c r="D1306" s="915">
        <f>'House Count'!C1306</f>
        <v>0</v>
      </c>
      <c r="E1306" s="915">
        <f>'House Count'!D1306</f>
        <v>0</v>
      </c>
      <c r="F1306" s="915" t="str">
        <f t="shared" si="20"/>
        <v/>
      </c>
      <c r="G1306" s="915">
        <f>'House Count'!F1306</f>
        <v>0</v>
      </c>
      <c r="H1306" s="915">
        <f>'House Count'!H1306</f>
        <v>0</v>
      </c>
    </row>
    <row r="1307" spans="1:8" x14ac:dyDescent="0.25">
      <c r="A1307" s="914">
        <f>'House Count'!A1307</f>
        <v>0</v>
      </c>
      <c r="B1307" s="915">
        <f>'House Count'!E1307</f>
        <v>0</v>
      </c>
      <c r="C1307" s="915">
        <f>'House Count'!B1307</f>
        <v>0</v>
      </c>
      <c r="D1307" s="915">
        <f>'House Count'!C1307</f>
        <v>0</v>
      </c>
      <c r="E1307" s="915">
        <f>'House Count'!D1307</f>
        <v>0</v>
      </c>
      <c r="F1307" s="915" t="str">
        <f t="shared" si="20"/>
        <v/>
      </c>
      <c r="G1307" s="915">
        <f>'House Count'!F1307</f>
        <v>0</v>
      </c>
      <c r="H1307" s="915">
        <f>'House Count'!H1307</f>
        <v>0</v>
      </c>
    </row>
    <row r="1308" spans="1:8" x14ac:dyDescent="0.25">
      <c r="A1308" s="914">
        <f>'House Count'!A1308</f>
        <v>0</v>
      </c>
      <c r="B1308" s="915">
        <f>'House Count'!E1308</f>
        <v>0</v>
      </c>
      <c r="C1308" s="915">
        <f>'House Count'!B1308</f>
        <v>0</v>
      </c>
      <c r="D1308" s="915">
        <f>'House Count'!C1308</f>
        <v>0</v>
      </c>
      <c r="E1308" s="915">
        <f>'House Count'!D1308</f>
        <v>0</v>
      </c>
      <c r="F1308" s="915" t="str">
        <f t="shared" si="20"/>
        <v/>
      </c>
      <c r="G1308" s="915">
        <f>'House Count'!F1308</f>
        <v>0</v>
      </c>
      <c r="H1308" s="915">
        <f>'House Count'!H1308</f>
        <v>0</v>
      </c>
    </row>
    <row r="1309" spans="1:8" x14ac:dyDescent="0.25">
      <c r="A1309" s="914">
        <f>'House Count'!A1309</f>
        <v>0</v>
      </c>
      <c r="B1309" s="915">
        <f>'House Count'!E1309</f>
        <v>0</v>
      </c>
      <c r="C1309" s="915">
        <f>'House Count'!B1309</f>
        <v>0</v>
      </c>
      <c r="D1309" s="915">
        <f>'House Count'!C1309</f>
        <v>0</v>
      </c>
      <c r="E1309" s="915">
        <f>'House Count'!D1309</f>
        <v>0</v>
      </c>
      <c r="F1309" s="915" t="str">
        <f t="shared" si="20"/>
        <v/>
      </c>
      <c r="G1309" s="915">
        <f>'House Count'!F1309</f>
        <v>0</v>
      </c>
      <c r="H1309" s="915">
        <f>'House Count'!H1309</f>
        <v>0</v>
      </c>
    </row>
    <row r="1310" spans="1:8" x14ac:dyDescent="0.25">
      <c r="A1310" s="914">
        <f>'House Count'!A1310</f>
        <v>0</v>
      </c>
      <c r="B1310" s="915">
        <f>'House Count'!E1310</f>
        <v>0</v>
      </c>
      <c r="C1310" s="915">
        <f>'House Count'!B1310</f>
        <v>0</v>
      </c>
      <c r="D1310" s="915">
        <f>'House Count'!C1310</f>
        <v>0</v>
      </c>
      <c r="E1310" s="915">
        <f>'House Count'!D1310</f>
        <v>0</v>
      </c>
      <c r="F1310" s="915" t="str">
        <f t="shared" si="20"/>
        <v/>
      </c>
      <c r="G1310" s="915">
        <f>'House Count'!F1310</f>
        <v>0</v>
      </c>
      <c r="H1310" s="915">
        <f>'House Count'!H1310</f>
        <v>0</v>
      </c>
    </row>
    <row r="1311" spans="1:8" x14ac:dyDescent="0.25">
      <c r="A1311" s="914">
        <f>'House Count'!A1311</f>
        <v>0</v>
      </c>
      <c r="B1311" s="915">
        <f>'House Count'!E1311</f>
        <v>0</v>
      </c>
      <c r="C1311" s="915">
        <f>'House Count'!B1311</f>
        <v>0</v>
      </c>
      <c r="D1311" s="915">
        <f>'House Count'!C1311</f>
        <v>0</v>
      </c>
      <c r="E1311" s="915">
        <f>'House Count'!D1311</f>
        <v>0</v>
      </c>
      <c r="F1311" s="915" t="str">
        <f t="shared" si="20"/>
        <v/>
      </c>
      <c r="G1311" s="915">
        <f>'House Count'!F1311</f>
        <v>0</v>
      </c>
      <c r="H1311" s="915">
        <f>'House Count'!H1311</f>
        <v>0</v>
      </c>
    </row>
    <row r="1312" spans="1:8" x14ac:dyDescent="0.25">
      <c r="A1312" s="914">
        <f>'House Count'!A1312</f>
        <v>0</v>
      </c>
      <c r="B1312" s="915">
        <f>'House Count'!E1312</f>
        <v>0</v>
      </c>
      <c r="C1312" s="915">
        <f>'House Count'!B1312</f>
        <v>0</v>
      </c>
      <c r="D1312" s="915">
        <f>'House Count'!C1312</f>
        <v>0</v>
      </c>
      <c r="E1312" s="915">
        <f>'House Count'!D1312</f>
        <v>0</v>
      </c>
      <c r="F1312" s="915" t="str">
        <f t="shared" si="20"/>
        <v/>
      </c>
      <c r="G1312" s="915">
        <f>'House Count'!F1312</f>
        <v>0</v>
      </c>
      <c r="H1312" s="915">
        <f>'House Count'!H1312</f>
        <v>0</v>
      </c>
    </row>
    <row r="1313" spans="1:8" x14ac:dyDescent="0.25">
      <c r="A1313" s="914">
        <f>'House Count'!A1313</f>
        <v>0</v>
      </c>
      <c r="B1313" s="915">
        <f>'House Count'!E1313</f>
        <v>0</v>
      </c>
      <c r="C1313" s="915">
        <f>'House Count'!B1313</f>
        <v>0</v>
      </c>
      <c r="D1313" s="915">
        <f>'House Count'!C1313</f>
        <v>0</v>
      </c>
      <c r="E1313" s="915">
        <f>'House Count'!D1313</f>
        <v>0</v>
      </c>
      <c r="F1313" s="915" t="str">
        <f t="shared" si="20"/>
        <v/>
      </c>
      <c r="G1313" s="915">
        <f>'House Count'!F1313</f>
        <v>0</v>
      </c>
      <c r="H1313" s="915">
        <f>'House Count'!H1313</f>
        <v>0</v>
      </c>
    </row>
    <row r="1314" spans="1:8" x14ac:dyDescent="0.25">
      <c r="A1314" s="914">
        <f>'House Count'!A1314</f>
        <v>0</v>
      </c>
      <c r="B1314" s="915">
        <f>'House Count'!E1314</f>
        <v>0</v>
      </c>
      <c r="C1314" s="915">
        <f>'House Count'!B1314</f>
        <v>0</v>
      </c>
      <c r="D1314" s="915">
        <f>'House Count'!C1314</f>
        <v>0</v>
      </c>
      <c r="E1314" s="915">
        <f>'House Count'!D1314</f>
        <v>0</v>
      </c>
      <c r="F1314" s="915" t="str">
        <f t="shared" si="20"/>
        <v/>
      </c>
      <c r="G1314" s="915">
        <f>'House Count'!F1314</f>
        <v>0</v>
      </c>
      <c r="H1314" s="915">
        <f>'House Count'!H1314</f>
        <v>0</v>
      </c>
    </row>
    <row r="1315" spans="1:8" x14ac:dyDescent="0.25">
      <c r="A1315" s="914">
        <f>'House Count'!A1315</f>
        <v>0</v>
      </c>
      <c r="B1315" s="915">
        <f>'House Count'!E1315</f>
        <v>0</v>
      </c>
      <c r="C1315" s="915">
        <f>'House Count'!B1315</f>
        <v>0</v>
      </c>
      <c r="D1315" s="915">
        <f>'House Count'!C1315</f>
        <v>0</v>
      </c>
      <c r="E1315" s="915">
        <f>'House Count'!D1315</f>
        <v>0</v>
      </c>
      <c r="F1315" s="915" t="str">
        <f t="shared" si="20"/>
        <v/>
      </c>
      <c r="G1315" s="915">
        <f>'House Count'!F1315</f>
        <v>0</v>
      </c>
      <c r="H1315" s="915">
        <f>'House Count'!H1315</f>
        <v>0</v>
      </c>
    </row>
    <row r="1316" spans="1:8" x14ac:dyDescent="0.25">
      <c r="A1316" s="914">
        <f>'House Count'!A1316</f>
        <v>0</v>
      </c>
      <c r="B1316" s="915">
        <f>'House Count'!E1316</f>
        <v>0</v>
      </c>
      <c r="C1316" s="915">
        <f>'House Count'!B1316</f>
        <v>0</v>
      </c>
      <c r="D1316" s="915">
        <f>'House Count'!C1316</f>
        <v>0</v>
      </c>
      <c r="E1316" s="915">
        <f>'House Count'!D1316</f>
        <v>0</v>
      </c>
      <c r="F1316" s="915" t="str">
        <f t="shared" si="20"/>
        <v/>
      </c>
      <c r="G1316" s="915">
        <f>'House Count'!F1316</f>
        <v>0</v>
      </c>
      <c r="H1316" s="915">
        <f>'House Count'!H1316</f>
        <v>0</v>
      </c>
    </row>
    <row r="1317" spans="1:8" x14ac:dyDescent="0.25">
      <c r="A1317" s="914">
        <f>'House Count'!A1317</f>
        <v>0</v>
      </c>
      <c r="B1317" s="915">
        <f>'House Count'!E1317</f>
        <v>0</v>
      </c>
      <c r="C1317" s="915">
        <f>'House Count'!B1317</f>
        <v>0</v>
      </c>
      <c r="D1317" s="915">
        <f>'House Count'!C1317</f>
        <v>0</v>
      </c>
      <c r="E1317" s="915">
        <f>'House Count'!D1317</f>
        <v>0</v>
      </c>
      <c r="F1317" s="915" t="str">
        <f t="shared" si="20"/>
        <v/>
      </c>
      <c r="G1317" s="915">
        <f>'House Count'!F1317</f>
        <v>0</v>
      </c>
      <c r="H1317" s="915">
        <f>'House Count'!H1317</f>
        <v>0</v>
      </c>
    </row>
    <row r="1318" spans="1:8" x14ac:dyDescent="0.25">
      <c r="A1318" s="914">
        <f>'House Count'!A1318</f>
        <v>0</v>
      </c>
      <c r="B1318" s="915">
        <f>'House Count'!E1318</f>
        <v>0</v>
      </c>
      <c r="C1318" s="915">
        <f>'House Count'!B1318</f>
        <v>0</v>
      </c>
      <c r="D1318" s="915">
        <f>'House Count'!C1318</f>
        <v>0</v>
      </c>
      <c r="E1318" s="915">
        <f>'House Count'!D1318</f>
        <v>0</v>
      </c>
      <c r="F1318" s="915" t="str">
        <f t="shared" si="20"/>
        <v/>
      </c>
      <c r="G1318" s="915">
        <f>'House Count'!F1318</f>
        <v>0</v>
      </c>
      <c r="H1318" s="915">
        <f>'House Count'!H1318</f>
        <v>0</v>
      </c>
    </row>
    <row r="1319" spans="1:8" x14ac:dyDescent="0.25">
      <c r="A1319" s="914">
        <f>'House Count'!A1319</f>
        <v>0</v>
      </c>
      <c r="B1319" s="915">
        <f>'House Count'!E1319</f>
        <v>0</v>
      </c>
      <c r="C1319" s="915">
        <f>'House Count'!B1319</f>
        <v>0</v>
      </c>
      <c r="D1319" s="915">
        <f>'House Count'!C1319</f>
        <v>0</v>
      </c>
      <c r="E1319" s="915">
        <f>'House Count'!D1319</f>
        <v>0</v>
      </c>
      <c r="F1319" s="915" t="str">
        <f t="shared" si="20"/>
        <v/>
      </c>
      <c r="G1319" s="915">
        <f>'House Count'!F1319</f>
        <v>0</v>
      </c>
      <c r="H1319" s="915">
        <f>'House Count'!H1319</f>
        <v>0</v>
      </c>
    </row>
    <row r="1320" spans="1:8" x14ac:dyDescent="0.25">
      <c r="A1320" s="914">
        <f>'House Count'!A1320</f>
        <v>0</v>
      </c>
      <c r="B1320" s="915">
        <f>'House Count'!E1320</f>
        <v>0</v>
      </c>
      <c r="C1320" s="915">
        <f>'House Count'!B1320</f>
        <v>0</v>
      </c>
      <c r="D1320" s="915">
        <f>'House Count'!C1320</f>
        <v>0</v>
      </c>
      <c r="E1320" s="915">
        <f>'House Count'!D1320</f>
        <v>0</v>
      </c>
      <c r="F1320" s="915" t="str">
        <f t="shared" si="20"/>
        <v/>
      </c>
      <c r="G1320" s="915">
        <f>'House Count'!F1320</f>
        <v>0</v>
      </c>
      <c r="H1320" s="915">
        <f>'House Count'!H1320</f>
        <v>0</v>
      </c>
    </row>
    <row r="1321" spans="1:8" x14ac:dyDescent="0.25">
      <c r="A1321" s="914">
        <f>'House Count'!A1321</f>
        <v>0</v>
      </c>
      <c r="B1321" s="915">
        <f>'House Count'!E1321</f>
        <v>0</v>
      </c>
      <c r="C1321" s="915">
        <f>'House Count'!B1321</f>
        <v>0</v>
      </c>
      <c r="D1321" s="915">
        <f>'House Count'!C1321</f>
        <v>0</v>
      </c>
      <c r="E1321" s="915">
        <f>'House Count'!D1321</f>
        <v>0</v>
      </c>
      <c r="F1321" s="915" t="str">
        <f t="shared" si="20"/>
        <v/>
      </c>
      <c r="G1321" s="915">
        <f>'House Count'!F1321</f>
        <v>0</v>
      </c>
      <c r="H1321" s="915">
        <f>'House Count'!H1321</f>
        <v>0</v>
      </c>
    </row>
    <row r="1322" spans="1:8" x14ac:dyDescent="0.25">
      <c r="A1322" s="914">
        <f>'House Count'!A1322</f>
        <v>0</v>
      </c>
      <c r="B1322" s="915">
        <f>'House Count'!E1322</f>
        <v>0</v>
      </c>
      <c r="C1322" s="915">
        <f>'House Count'!B1322</f>
        <v>0</v>
      </c>
      <c r="D1322" s="915">
        <f>'House Count'!C1322</f>
        <v>0</v>
      </c>
      <c r="E1322" s="915">
        <f>'House Count'!D1322</f>
        <v>0</v>
      </c>
      <c r="F1322" s="915" t="str">
        <f t="shared" si="20"/>
        <v/>
      </c>
      <c r="G1322" s="915">
        <f>'House Count'!F1322</f>
        <v>0</v>
      </c>
      <c r="H1322" s="915">
        <f>'House Count'!H1322</f>
        <v>0</v>
      </c>
    </row>
    <row r="1323" spans="1:8" x14ac:dyDescent="0.25">
      <c r="A1323" s="914">
        <f>'House Count'!A1323</f>
        <v>0</v>
      </c>
      <c r="B1323" s="915">
        <f>'House Count'!E1323</f>
        <v>0</v>
      </c>
      <c r="C1323" s="915">
        <f>'House Count'!B1323</f>
        <v>0</v>
      </c>
      <c r="D1323" s="915">
        <f>'House Count'!C1323</f>
        <v>0</v>
      </c>
      <c r="E1323" s="915">
        <f>'House Count'!D1323</f>
        <v>0</v>
      </c>
      <c r="F1323" s="915" t="str">
        <f t="shared" si="20"/>
        <v/>
      </c>
      <c r="G1323" s="915">
        <f>'House Count'!F1323</f>
        <v>0</v>
      </c>
      <c r="H1323" s="915">
        <f>'House Count'!H1323</f>
        <v>0</v>
      </c>
    </row>
    <row r="1324" spans="1:8" x14ac:dyDescent="0.25">
      <c r="A1324" s="914">
        <f>'House Count'!A1324</f>
        <v>0</v>
      </c>
      <c r="B1324" s="915">
        <f>'House Count'!E1324</f>
        <v>0</v>
      </c>
      <c r="C1324" s="915">
        <f>'House Count'!B1324</f>
        <v>0</v>
      </c>
      <c r="D1324" s="915">
        <f>'House Count'!C1324</f>
        <v>0</v>
      </c>
      <c r="E1324" s="915">
        <f>'House Count'!D1324</f>
        <v>0</v>
      </c>
      <c r="F1324" s="915" t="str">
        <f t="shared" si="20"/>
        <v/>
      </c>
      <c r="G1324" s="915">
        <f>'House Count'!F1324</f>
        <v>0</v>
      </c>
      <c r="H1324" s="915">
        <f>'House Count'!H1324</f>
        <v>0</v>
      </c>
    </row>
    <row r="1325" spans="1:8" x14ac:dyDescent="0.25">
      <c r="A1325" s="914">
        <f>'House Count'!A1325</f>
        <v>0</v>
      </c>
      <c r="B1325" s="915">
        <f>'House Count'!E1325</f>
        <v>0</v>
      </c>
      <c r="C1325" s="915">
        <f>'House Count'!B1325</f>
        <v>0</v>
      </c>
      <c r="D1325" s="915">
        <f>'House Count'!C1325</f>
        <v>0</v>
      </c>
      <c r="E1325" s="915">
        <f>'House Count'!D1325</f>
        <v>0</v>
      </c>
      <c r="F1325" s="915" t="str">
        <f t="shared" si="20"/>
        <v/>
      </c>
      <c r="G1325" s="915">
        <f>'House Count'!F1325</f>
        <v>0</v>
      </c>
      <c r="H1325" s="915">
        <f>'House Count'!H1325</f>
        <v>0</v>
      </c>
    </row>
    <row r="1326" spans="1:8" x14ac:dyDescent="0.25">
      <c r="A1326" s="914">
        <f>'House Count'!A1326</f>
        <v>0</v>
      </c>
      <c r="B1326" s="915">
        <f>'House Count'!E1326</f>
        <v>0</v>
      </c>
      <c r="C1326" s="915">
        <f>'House Count'!B1326</f>
        <v>0</v>
      </c>
      <c r="D1326" s="915">
        <f>'House Count'!C1326</f>
        <v>0</v>
      </c>
      <c r="E1326" s="915">
        <f>'House Count'!D1326</f>
        <v>0</v>
      </c>
      <c r="F1326" s="915" t="str">
        <f t="shared" si="20"/>
        <v/>
      </c>
      <c r="G1326" s="915">
        <f>'House Count'!F1326</f>
        <v>0</v>
      </c>
      <c r="H1326" s="915">
        <f>'House Count'!H1326</f>
        <v>0</v>
      </c>
    </row>
    <row r="1327" spans="1:8" x14ac:dyDescent="0.25">
      <c r="A1327" s="914">
        <f>'House Count'!A1327</f>
        <v>0</v>
      </c>
      <c r="B1327" s="915">
        <f>'House Count'!E1327</f>
        <v>0</v>
      </c>
      <c r="C1327" s="915">
        <f>'House Count'!B1327</f>
        <v>0</v>
      </c>
      <c r="D1327" s="915">
        <f>'House Count'!C1327</f>
        <v>0</v>
      </c>
      <c r="E1327" s="915">
        <f>'House Count'!D1327</f>
        <v>0</v>
      </c>
      <c r="F1327" s="915" t="str">
        <f t="shared" si="20"/>
        <v/>
      </c>
      <c r="G1327" s="915">
        <f>'House Count'!F1327</f>
        <v>0</v>
      </c>
      <c r="H1327" s="915">
        <f>'House Count'!H1327</f>
        <v>0</v>
      </c>
    </row>
    <row r="1328" spans="1:8" x14ac:dyDescent="0.25">
      <c r="A1328" s="914">
        <f>'House Count'!A1328</f>
        <v>0</v>
      </c>
      <c r="B1328" s="915">
        <f>'House Count'!E1328</f>
        <v>0</v>
      </c>
      <c r="C1328" s="915">
        <f>'House Count'!B1328</f>
        <v>0</v>
      </c>
      <c r="D1328" s="915">
        <f>'House Count'!C1328</f>
        <v>0</v>
      </c>
      <c r="E1328" s="915">
        <f>'House Count'!D1328</f>
        <v>0</v>
      </c>
      <c r="F1328" s="915" t="str">
        <f t="shared" si="20"/>
        <v/>
      </c>
      <c r="G1328" s="915">
        <f>'House Count'!F1328</f>
        <v>0</v>
      </c>
      <c r="H1328" s="915">
        <f>'House Count'!H1328</f>
        <v>0</v>
      </c>
    </row>
    <row r="1329" spans="1:8" x14ac:dyDescent="0.25">
      <c r="A1329" s="914">
        <f>'House Count'!A1329</f>
        <v>0</v>
      </c>
      <c r="B1329" s="915">
        <f>'House Count'!E1329</f>
        <v>0</v>
      </c>
      <c r="C1329" s="915">
        <f>'House Count'!B1329</f>
        <v>0</v>
      </c>
      <c r="D1329" s="915">
        <f>'House Count'!C1329</f>
        <v>0</v>
      </c>
      <c r="E1329" s="915">
        <f>'House Count'!D1329</f>
        <v>0</v>
      </c>
      <c r="F1329" s="915" t="str">
        <f t="shared" si="20"/>
        <v/>
      </c>
      <c r="G1329" s="915">
        <f>'House Count'!F1329</f>
        <v>0</v>
      </c>
      <c r="H1329" s="915">
        <f>'House Count'!H1329</f>
        <v>0</v>
      </c>
    </row>
    <row r="1330" spans="1:8" x14ac:dyDescent="0.25">
      <c r="A1330" s="914">
        <f>'House Count'!A1330</f>
        <v>0</v>
      </c>
      <c r="B1330" s="915">
        <f>'House Count'!E1330</f>
        <v>0</v>
      </c>
      <c r="C1330" s="915">
        <f>'House Count'!B1330</f>
        <v>0</v>
      </c>
      <c r="D1330" s="915">
        <f>'House Count'!C1330</f>
        <v>0</v>
      </c>
      <c r="E1330" s="915">
        <f>'House Count'!D1330</f>
        <v>0</v>
      </c>
      <c r="F1330" s="915" t="str">
        <f t="shared" si="20"/>
        <v/>
      </c>
      <c r="G1330" s="915">
        <f>'House Count'!F1330</f>
        <v>0</v>
      </c>
      <c r="H1330" s="915">
        <f>'House Count'!H1330</f>
        <v>0</v>
      </c>
    </row>
    <row r="1331" spans="1:8" x14ac:dyDescent="0.25">
      <c r="A1331" s="914">
        <f>'House Count'!A1331</f>
        <v>0</v>
      </c>
      <c r="B1331" s="915">
        <f>'House Count'!E1331</f>
        <v>0</v>
      </c>
      <c r="C1331" s="915">
        <f>'House Count'!B1331</f>
        <v>0</v>
      </c>
      <c r="D1331" s="915">
        <f>'House Count'!C1331</f>
        <v>0</v>
      </c>
      <c r="E1331" s="915">
        <f>'House Count'!D1331</f>
        <v>0</v>
      </c>
      <c r="F1331" s="915" t="str">
        <f t="shared" si="20"/>
        <v/>
      </c>
      <c r="G1331" s="915">
        <f>'House Count'!F1331</f>
        <v>0</v>
      </c>
      <c r="H1331" s="915">
        <f>'House Count'!H1331</f>
        <v>0</v>
      </c>
    </row>
    <row r="1332" spans="1:8" x14ac:dyDescent="0.25">
      <c r="A1332" s="914">
        <f>'House Count'!A1332</f>
        <v>0</v>
      </c>
      <c r="B1332" s="915">
        <f>'House Count'!E1332</f>
        <v>0</v>
      </c>
      <c r="C1332" s="915">
        <f>'House Count'!B1332</f>
        <v>0</v>
      </c>
      <c r="D1332" s="915">
        <f>'House Count'!C1332</f>
        <v>0</v>
      </c>
      <c r="E1332" s="915">
        <f>'House Count'!D1332</f>
        <v>0</v>
      </c>
      <c r="F1332" s="915" t="str">
        <f t="shared" si="20"/>
        <v/>
      </c>
      <c r="G1332" s="915">
        <f>'House Count'!F1332</f>
        <v>0</v>
      </c>
      <c r="H1332" s="915">
        <f>'House Count'!H1332</f>
        <v>0</v>
      </c>
    </row>
    <row r="1333" spans="1:8" x14ac:dyDescent="0.25">
      <c r="A1333" s="914">
        <f>'House Count'!A1333</f>
        <v>0</v>
      </c>
      <c r="B1333" s="915">
        <f>'House Count'!E1333</f>
        <v>0</v>
      </c>
      <c r="C1333" s="915">
        <f>'House Count'!B1333</f>
        <v>0</v>
      </c>
      <c r="D1333" s="915">
        <f>'House Count'!C1333</f>
        <v>0</v>
      </c>
      <c r="E1333" s="915">
        <f>'House Count'!D1333</f>
        <v>0</v>
      </c>
      <c r="F1333" s="915" t="str">
        <f t="shared" si="20"/>
        <v/>
      </c>
      <c r="G1333" s="915">
        <f>'House Count'!F1333</f>
        <v>0</v>
      </c>
      <c r="H1333" s="915">
        <f>'House Count'!H1333</f>
        <v>0</v>
      </c>
    </row>
    <row r="1334" spans="1:8" x14ac:dyDescent="0.25">
      <c r="A1334" s="914">
        <f>'House Count'!A1334</f>
        <v>0</v>
      </c>
      <c r="B1334" s="915">
        <f>'House Count'!E1334</f>
        <v>0</v>
      </c>
      <c r="C1334" s="915">
        <f>'House Count'!B1334</f>
        <v>0</v>
      </c>
      <c r="D1334" s="915">
        <f>'House Count'!C1334</f>
        <v>0</v>
      </c>
      <c r="E1334" s="915">
        <f>'House Count'!D1334</f>
        <v>0</v>
      </c>
      <c r="F1334" s="915" t="str">
        <f t="shared" si="20"/>
        <v/>
      </c>
      <c r="G1334" s="915">
        <f>'House Count'!F1334</f>
        <v>0</v>
      </c>
      <c r="H1334" s="915">
        <f>'House Count'!H1334</f>
        <v>0</v>
      </c>
    </row>
    <row r="1335" spans="1:8" x14ac:dyDescent="0.25">
      <c r="A1335" s="914">
        <f>'House Count'!A1335</f>
        <v>0</v>
      </c>
      <c r="B1335" s="915">
        <f>'House Count'!E1335</f>
        <v>0</v>
      </c>
      <c r="C1335" s="915">
        <f>'House Count'!B1335</f>
        <v>0</v>
      </c>
      <c r="D1335" s="915">
        <f>'House Count'!C1335</f>
        <v>0</v>
      </c>
      <c r="E1335" s="915">
        <f>'House Count'!D1335</f>
        <v>0</v>
      </c>
      <c r="F1335" s="915" t="str">
        <f t="shared" si="20"/>
        <v/>
      </c>
      <c r="G1335" s="915">
        <f>'House Count'!F1335</f>
        <v>0</v>
      </c>
      <c r="H1335" s="915">
        <f>'House Count'!H1335</f>
        <v>0</v>
      </c>
    </row>
    <row r="1336" spans="1:8" x14ac:dyDescent="0.25">
      <c r="A1336" s="914">
        <f>'House Count'!A1336</f>
        <v>0</v>
      </c>
      <c r="B1336" s="915">
        <f>'House Count'!E1336</f>
        <v>0</v>
      </c>
      <c r="C1336" s="915">
        <f>'House Count'!B1336</f>
        <v>0</v>
      </c>
      <c r="D1336" s="915">
        <f>'House Count'!C1336</f>
        <v>0</v>
      </c>
      <c r="E1336" s="915">
        <f>'House Count'!D1336</f>
        <v>0</v>
      </c>
      <c r="F1336" s="915" t="str">
        <f t="shared" si="20"/>
        <v/>
      </c>
      <c r="G1336" s="915">
        <f>'House Count'!F1336</f>
        <v>0</v>
      </c>
      <c r="H1336" s="915">
        <f>'House Count'!H1336</f>
        <v>0</v>
      </c>
    </row>
    <row r="1337" spans="1:8" x14ac:dyDescent="0.25">
      <c r="A1337" s="914">
        <f>'House Count'!A1337</f>
        <v>0</v>
      </c>
      <c r="B1337" s="915">
        <f>'House Count'!E1337</f>
        <v>0</v>
      </c>
      <c r="C1337" s="915">
        <f>'House Count'!B1337</f>
        <v>0</v>
      </c>
      <c r="D1337" s="915">
        <f>'House Count'!C1337</f>
        <v>0</v>
      </c>
      <c r="E1337" s="915">
        <f>'House Count'!D1337</f>
        <v>0</v>
      </c>
      <c r="F1337" s="915" t="str">
        <f t="shared" si="20"/>
        <v/>
      </c>
      <c r="G1337" s="915">
        <f>'House Count'!F1337</f>
        <v>0</v>
      </c>
      <c r="H1337" s="915">
        <f>'House Count'!H1337</f>
        <v>0</v>
      </c>
    </row>
    <row r="1338" spans="1:8" x14ac:dyDescent="0.25">
      <c r="A1338" s="914">
        <f>'House Count'!A1338</f>
        <v>0</v>
      </c>
      <c r="B1338" s="915">
        <f>'House Count'!E1338</f>
        <v>0</v>
      </c>
      <c r="C1338" s="915">
        <f>'House Count'!B1338</f>
        <v>0</v>
      </c>
      <c r="D1338" s="915">
        <f>'House Count'!C1338</f>
        <v>0</v>
      </c>
      <c r="E1338" s="915">
        <f>'House Count'!D1338</f>
        <v>0</v>
      </c>
      <c r="F1338" s="915" t="str">
        <f t="shared" si="20"/>
        <v/>
      </c>
      <c r="G1338" s="915">
        <f>'House Count'!F1338</f>
        <v>0</v>
      </c>
      <c r="H1338" s="915">
        <f>'House Count'!H1338</f>
        <v>0</v>
      </c>
    </row>
    <row r="1339" spans="1:8" x14ac:dyDescent="0.25">
      <c r="A1339" s="914">
        <f>'House Count'!A1339</f>
        <v>0</v>
      </c>
      <c r="B1339" s="915">
        <f>'House Count'!E1339</f>
        <v>0</v>
      </c>
      <c r="C1339" s="915">
        <f>'House Count'!B1339</f>
        <v>0</v>
      </c>
      <c r="D1339" s="915">
        <f>'House Count'!C1339</f>
        <v>0</v>
      </c>
      <c r="E1339" s="915">
        <f>'House Count'!D1339</f>
        <v>0</v>
      </c>
      <c r="F1339" s="915" t="str">
        <f t="shared" si="20"/>
        <v/>
      </c>
      <c r="G1339" s="915">
        <f>'House Count'!F1339</f>
        <v>0</v>
      </c>
      <c r="H1339" s="915">
        <f>'House Count'!H1339</f>
        <v>0</v>
      </c>
    </row>
    <row r="1340" spans="1:8" x14ac:dyDescent="0.25">
      <c r="A1340" s="914">
        <f>'House Count'!A1340</f>
        <v>0</v>
      </c>
      <c r="B1340" s="915">
        <f>'House Count'!E1340</f>
        <v>0</v>
      </c>
      <c r="C1340" s="915">
        <f>'House Count'!B1340</f>
        <v>0</v>
      </c>
      <c r="D1340" s="915">
        <f>'House Count'!C1340</f>
        <v>0</v>
      </c>
      <c r="E1340" s="915">
        <f>'House Count'!D1340</f>
        <v>0</v>
      </c>
      <c r="F1340" s="915" t="str">
        <f t="shared" si="20"/>
        <v/>
      </c>
      <c r="G1340" s="915">
        <f>'House Count'!F1340</f>
        <v>0</v>
      </c>
      <c r="H1340" s="915">
        <f>'House Count'!H1340</f>
        <v>0</v>
      </c>
    </row>
    <row r="1341" spans="1:8" x14ac:dyDescent="0.25">
      <c r="A1341" s="914">
        <f>'House Count'!A1341</f>
        <v>0</v>
      </c>
      <c r="B1341" s="915">
        <f>'House Count'!E1341</f>
        <v>0</v>
      </c>
      <c r="C1341" s="915">
        <f>'House Count'!B1341</f>
        <v>0</v>
      </c>
      <c r="D1341" s="915">
        <f>'House Count'!C1341</f>
        <v>0</v>
      </c>
      <c r="E1341" s="915">
        <f>'House Count'!D1341</f>
        <v>0</v>
      </c>
      <c r="F1341" s="915" t="str">
        <f t="shared" si="20"/>
        <v/>
      </c>
      <c r="G1341" s="915">
        <f>'House Count'!F1341</f>
        <v>0</v>
      </c>
      <c r="H1341" s="915">
        <f>'House Count'!H1341</f>
        <v>0</v>
      </c>
    </row>
    <row r="1342" spans="1:8" x14ac:dyDescent="0.25">
      <c r="A1342" s="914">
        <f>'House Count'!A1342</f>
        <v>0</v>
      </c>
      <c r="B1342" s="915">
        <f>'House Count'!E1342</f>
        <v>0</v>
      </c>
      <c r="C1342" s="915">
        <f>'House Count'!B1342</f>
        <v>0</v>
      </c>
      <c r="D1342" s="915">
        <f>'House Count'!C1342</f>
        <v>0</v>
      </c>
      <c r="E1342" s="915">
        <f>'House Count'!D1342</f>
        <v>0</v>
      </c>
      <c r="F1342" s="915" t="str">
        <f t="shared" si="20"/>
        <v/>
      </c>
      <c r="G1342" s="915">
        <f>'House Count'!F1342</f>
        <v>0</v>
      </c>
      <c r="H1342" s="915">
        <f>'House Count'!H1342</f>
        <v>0</v>
      </c>
    </row>
    <row r="1343" spans="1:8" x14ac:dyDescent="0.25">
      <c r="A1343" s="914">
        <f>'House Count'!A1343</f>
        <v>0</v>
      </c>
      <c r="B1343" s="915">
        <f>'House Count'!E1343</f>
        <v>0</v>
      </c>
      <c r="C1343" s="915">
        <f>'House Count'!B1343</f>
        <v>0</v>
      </c>
      <c r="D1343" s="915">
        <f>'House Count'!C1343</f>
        <v>0</v>
      </c>
      <c r="E1343" s="915">
        <f>'House Count'!D1343</f>
        <v>0</v>
      </c>
      <c r="F1343" s="915" t="str">
        <f t="shared" si="20"/>
        <v/>
      </c>
      <c r="G1343" s="915">
        <f>'House Count'!F1343</f>
        <v>0</v>
      </c>
      <c r="H1343" s="915">
        <f>'House Count'!H1343</f>
        <v>0</v>
      </c>
    </row>
    <row r="1344" spans="1:8" x14ac:dyDescent="0.25">
      <c r="A1344" s="914">
        <f>'House Count'!A1344</f>
        <v>0</v>
      </c>
      <c r="B1344" s="915">
        <f>'House Count'!E1344</f>
        <v>0</v>
      </c>
      <c r="C1344" s="915">
        <f>'House Count'!B1344</f>
        <v>0</v>
      </c>
      <c r="D1344" s="915">
        <f>'House Count'!C1344</f>
        <v>0</v>
      </c>
      <c r="E1344" s="915">
        <f>'House Count'!D1344</f>
        <v>0</v>
      </c>
      <c r="F1344" s="915" t="str">
        <f t="shared" si="20"/>
        <v/>
      </c>
      <c r="G1344" s="915">
        <f>'House Count'!F1344</f>
        <v>0</v>
      </c>
      <c r="H1344" s="915">
        <f>'House Count'!H1344</f>
        <v>0</v>
      </c>
    </row>
    <row r="1345" spans="1:8" x14ac:dyDescent="0.25">
      <c r="A1345" s="914">
        <f>'House Count'!A1345</f>
        <v>0</v>
      </c>
      <c r="B1345" s="915">
        <f>'House Count'!E1345</f>
        <v>0</v>
      </c>
      <c r="C1345" s="915">
        <f>'House Count'!B1345</f>
        <v>0</v>
      </c>
      <c r="D1345" s="915">
        <f>'House Count'!C1345</f>
        <v>0</v>
      </c>
      <c r="E1345" s="915">
        <f>'House Count'!D1345</f>
        <v>0</v>
      </c>
      <c r="F1345" s="915" t="str">
        <f t="shared" si="20"/>
        <v/>
      </c>
      <c r="G1345" s="915">
        <f>'House Count'!F1345</f>
        <v>0</v>
      </c>
      <c r="H1345" s="915">
        <f>'House Count'!H1345</f>
        <v>0</v>
      </c>
    </row>
    <row r="1346" spans="1:8" x14ac:dyDescent="0.25">
      <c r="A1346" s="914">
        <f>'House Count'!A1346</f>
        <v>0</v>
      </c>
      <c r="B1346" s="915">
        <f>'House Count'!E1346</f>
        <v>0</v>
      </c>
      <c r="C1346" s="915">
        <f>'House Count'!B1346</f>
        <v>0</v>
      </c>
      <c r="D1346" s="915">
        <f>'House Count'!C1346</f>
        <v>0</v>
      </c>
      <c r="E1346" s="915">
        <f>'House Count'!D1346</f>
        <v>0</v>
      </c>
      <c r="F1346" s="915" t="str">
        <f t="shared" si="20"/>
        <v/>
      </c>
      <c r="G1346" s="915">
        <f>'House Count'!F1346</f>
        <v>0</v>
      </c>
      <c r="H1346" s="915">
        <f>'House Count'!H1346</f>
        <v>0</v>
      </c>
    </row>
    <row r="1347" spans="1:8" x14ac:dyDescent="0.25">
      <c r="A1347" s="914">
        <f>'House Count'!A1347</f>
        <v>0</v>
      </c>
      <c r="B1347" s="915">
        <f>'House Count'!E1347</f>
        <v>0</v>
      </c>
      <c r="C1347" s="915">
        <f>'House Count'!B1347</f>
        <v>0</v>
      </c>
      <c r="D1347" s="915">
        <f>'House Count'!C1347</f>
        <v>0</v>
      </c>
      <c r="E1347" s="915">
        <f>'House Count'!D1347</f>
        <v>0</v>
      </c>
      <c r="F1347" s="915" t="str">
        <f t="shared" ref="F1347:F1410" si="21">IF(G1347="RES-SFU","RESIDENTIAL",IF(G1347="RES-HOA","RESIDENTIAL",IF(G1347="RES-MDU","RESIDENTIAL",IF(G1347="COMM-SU","BUSINESS",IF(G1347="COM-MTU","BUSINESS",IF(G1347="ENT","BUSINESS",""))))))</f>
        <v/>
      </c>
      <c r="G1347" s="915">
        <f>'House Count'!F1347</f>
        <v>0</v>
      </c>
      <c r="H1347" s="915">
        <f>'House Count'!H1347</f>
        <v>0</v>
      </c>
    </row>
    <row r="1348" spans="1:8" x14ac:dyDescent="0.25">
      <c r="A1348" s="914">
        <f>'House Count'!A1348</f>
        <v>0</v>
      </c>
      <c r="B1348" s="915">
        <f>'House Count'!E1348</f>
        <v>0</v>
      </c>
      <c r="C1348" s="915">
        <f>'House Count'!B1348</f>
        <v>0</v>
      </c>
      <c r="D1348" s="915">
        <f>'House Count'!C1348</f>
        <v>0</v>
      </c>
      <c r="E1348" s="915">
        <f>'House Count'!D1348</f>
        <v>0</v>
      </c>
      <c r="F1348" s="915" t="str">
        <f t="shared" si="21"/>
        <v/>
      </c>
      <c r="G1348" s="915">
        <f>'House Count'!F1348</f>
        <v>0</v>
      </c>
      <c r="H1348" s="915">
        <f>'House Count'!H1348</f>
        <v>0</v>
      </c>
    </row>
    <row r="1349" spans="1:8" x14ac:dyDescent="0.25">
      <c r="A1349" s="914">
        <f>'House Count'!A1349</f>
        <v>0</v>
      </c>
      <c r="B1349" s="915">
        <f>'House Count'!E1349</f>
        <v>0</v>
      </c>
      <c r="C1349" s="915">
        <f>'House Count'!B1349</f>
        <v>0</v>
      </c>
      <c r="D1349" s="915">
        <f>'House Count'!C1349</f>
        <v>0</v>
      </c>
      <c r="E1349" s="915">
        <f>'House Count'!D1349</f>
        <v>0</v>
      </c>
      <c r="F1349" s="915" t="str">
        <f t="shared" si="21"/>
        <v/>
      </c>
      <c r="G1349" s="915">
        <f>'House Count'!F1349</f>
        <v>0</v>
      </c>
      <c r="H1349" s="915">
        <f>'House Count'!H1349</f>
        <v>0</v>
      </c>
    </row>
    <row r="1350" spans="1:8" x14ac:dyDescent="0.25">
      <c r="A1350" s="914">
        <f>'House Count'!A1350</f>
        <v>0</v>
      </c>
      <c r="B1350" s="915">
        <f>'House Count'!E1350</f>
        <v>0</v>
      </c>
      <c r="C1350" s="915">
        <f>'House Count'!B1350</f>
        <v>0</v>
      </c>
      <c r="D1350" s="915">
        <f>'House Count'!C1350</f>
        <v>0</v>
      </c>
      <c r="E1350" s="915">
        <f>'House Count'!D1350</f>
        <v>0</v>
      </c>
      <c r="F1350" s="915" t="str">
        <f t="shared" si="21"/>
        <v/>
      </c>
      <c r="G1350" s="915">
        <f>'House Count'!F1350</f>
        <v>0</v>
      </c>
      <c r="H1350" s="915">
        <f>'House Count'!H1350</f>
        <v>0</v>
      </c>
    </row>
    <row r="1351" spans="1:8" x14ac:dyDescent="0.25">
      <c r="A1351" s="914">
        <f>'House Count'!A1351</f>
        <v>0</v>
      </c>
      <c r="B1351" s="915">
        <f>'House Count'!E1351</f>
        <v>0</v>
      </c>
      <c r="C1351" s="915">
        <f>'House Count'!B1351</f>
        <v>0</v>
      </c>
      <c r="D1351" s="915">
        <f>'House Count'!C1351</f>
        <v>0</v>
      </c>
      <c r="E1351" s="915">
        <f>'House Count'!D1351</f>
        <v>0</v>
      </c>
      <c r="F1351" s="915" t="str">
        <f t="shared" si="21"/>
        <v/>
      </c>
      <c r="G1351" s="915">
        <f>'House Count'!F1351</f>
        <v>0</v>
      </c>
      <c r="H1351" s="915">
        <f>'House Count'!H1351</f>
        <v>0</v>
      </c>
    </row>
    <row r="1352" spans="1:8" x14ac:dyDescent="0.25">
      <c r="A1352" s="914">
        <f>'House Count'!A1352</f>
        <v>0</v>
      </c>
      <c r="B1352" s="915">
        <f>'House Count'!E1352</f>
        <v>0</v>
      </c>
      <c r="C1352" s="915">
        <f>'House Count'!B1352</f>
        <v>0</v>
      </c>
      <c r="D1352" s="915">
        <f>'House Count'!C1352</f>
        <v>0</v>
      </c>
      <c r="E1352" s="915">
        <f>'House Count'!D1352</f>
        <v>0</v>
      </c>
      <c r="F1352" s="915" t="str">
        <f t="shared" si="21"/>
        <v/>
      </c>
      <c r="G1352" s="915">
        <f>'House Count'!F1352</f>
        <v>0</v>
      </c>
      <c r="H1352" s="915">
        <f>'House Count'!H1352</f>
        <v>0</v>
      </c>
    </row>
    <row r="1353" spans="1:8" x14ac:dyDescent="0.25">
      <c r="A1353" s="914">
        <f>'House Count'!A1353</f>
        <v>0</v>
      </c>
      <c r="B1353" s="915">
        <f>'House Count'!E1353</f>
        <v>0</v>
      </c>
      <c r="C1353" s="915">
        <f>'House Count'!B1353</f>
        <v>0</v>
      </c>
      <c r="D1353" s="915">
        <f>'House Count'!C1353</f>
        <v>0</v>
      </c>
      <c r="E1353" s="915">
        <f>'House Count'!D1353</f>
        <v>0</v>
      </c>
      <c r="F1353" s="915" t="str">
        <f t="shared" si="21"/>
        <v/>
      </c>
      <c r="G1353" s="915">
        <f>'House Count'!F1353</f>
        <v>0</v>
      </c>
      <c r="H1353" s="915">
        <f>'House Count'!H1353</f>
        <v>0</v>
      </c>
    </row>
    <row r="1354" spans="1:8" x14ac:dyDescent="0.25">
      <c r="A1354" s="914">
        <f>'House Count'!A1354</f>
        <v>0</v>
      </c>
      <c r="B1354" s="915">
        <f>'House Count'!E1354</f>
        <v>0</v>
      </c>
      <c r="C1354" s="915">
        <f>'House Count'!B1354</f>
        <v>0</v>
      </c>
      <c r="D1354" s="915">
        <f>'House Count'!C1354</f>
        <v>0</v>
      </c>
      <c r="E1354" s="915">
        <f>'House Count'!D1354</f>
        <v>0</v>
      </c>
      <c r="F1354" s="915" t="str">
        <f t="shared" si="21"/>
        <v/>
      </c>
      <c r="G1354" s="915">
        <f>'House Count'!F1354</f>
        <v>0</v>
      </c>
      <c r="H1354" s="915">
        <f>'House Count'!H1354</f>
        <v>0</v>
      </c>
    </row>
    <row r="1355" spans="1:8" x14ac:dyDescent="0.25">
      <c r="A1355" s="914">
        <f>'House Count'!A1355</f>
        <v>0</v>
      </c>
      <c r="B1355" s="915">
        <f>'House Count'!E1355</f>
        <v>0</v>
      </c>
      <c r="C1355" s="915">
        <f>'House Count'!B1355</f>
        <v>0</v>
      </c>
      <c r="D1355" s="915">
        <f>'House Count'!C1355</f>
        <v>0</v>
      </c>
      <c r="E1355" s="915">
        <f>'House Count'!D1355</f>
        <v>0</v>
      </c>
      <c r="F1355" s="915" t="str">
        <f t="shared" si="21"/>
        <v/>
      </c>
      <c r="G1355" s="915">
        <f>'House Count'!F1355</f>
        <v>0</v>
      </c>
      <c r="H1355" s="915">
        <f>'House Count'!H1355</f>
        <v>0</v>
      </c>
    </row>
    <row r="1356" spans="1:8" x14ac:dyDescent="0.25">
      <c r="A1356" s="914">
        <f>'House Count'!A1356</f>
        <v>0</v>
      </c>
      <c r="B1356" s="915">
        <f>'House Count'!E1356</f>
        <v>0</v>
      </c>
      <c r="C1356" s="915">
        <f>'House Count'!B1356</f>
        <v>0</v>
      </c>
      <c r="D1356" s="915">
        <f>'House Count'!C1356</f>
        <v>0</v>
      </c>
      <c r="E1356" s="915">
        <f>'House Count'!D1356</f>
        <v>0</v>
      </c>
      <c r="F1356" s="915" t="str">
        <f t="shared" si="21"/>
        <v/>
      </c>
      <c r="G1356" s="915">
        <f>'House Count'!F1356</f>
        <v>0</v>
      </c>
      <c r="H1356" s="915">
        <f>'House Count'!H1356</f>
        <v>0</v>
      </c>
    </row>
    <row r="1357" spans="1:8" x14ac:dyDescent="0.25">
      <c r="A1357" s="914">
        <f>'House Count'!A1357</f>
        <v>0</v>
      </c>
      <c r="B1357" s="915">
        <f>'House Count'!E1357</f>
        <v>0</v>
      </c>
      <c r="C1357" s="915">
        <f>'House Count'!B1357</f>
        <v>0</v>
      </c>
      <c r="D1357" s="915">
        <f>'House Count'!C1357</f>
        <v>0</v>
      </c>
      <c r="E1357" s="915">
        <f>'House Count'!D1357</f>
        <v>0</v>
      </c>
      <c r="F1357" s="915" t="str">
        <f t="shared" si="21"/>
        <v/>
      </c>
      <c r="G1357" s="915">
        <f>'House Count'!F1357</f>
        <v>0</v>
      </c>
      <c r="H1357" s="915">
        <f>'House Count'!H1357</f>
        <v>0</v>
      </c>
    </row>
    <row r="1358" spans="1:8" x14ac:dyDescent="0.25">
      <c r="A1358" s="914">
        <f>'House Count'!A1358</f>
        <v>0</v>
      </c>
      <c r="B1358" s="915">
        <f>'House Count'!E1358</f>
        <v>0</v>
      </c>
      <c r="C1358" s="915">
        <f>'House Count'!B1358</f>
        <v>0</v>
      </c>
      <c r="D1358" s="915">
        <f>'House Count'!C1358</f>
        <v>0</v>
      </c>
      <c r="E1358" s="915">
        <f>'House Count'!D1358</f>
        <v>0</v>
      </c>
      <c r="F1358" s="915" t="str">
        <f t="shared" si="21"/>
        <v/>
      </c>
      <c r="G1358" s="915">
        <f>'House Count'!F1358</f>
        <v>0</v>
      </c>
      <c r="H1358" s="915">
        <f>'House Count'!H1358</f>
        <v>0</v>
      </c>
    </row>
    <row r="1359" spans="1:8" x14ac:dyDescent="0.25">
      <c r="A1359" s="914">
        <f>'House Count'!A1359</f>
        <v>0</v>
      </c>
      <c r="B1359" s="915">
        <f>'House Count'!E1359</f>
        <v>0</v>
      </c>
      <c r="C1359" s="915">
        <f>'House Count'!B1359</f>
        <v>0</v>
      </c>
      <c r="D1359" s="915">
        <f>'House Count'!C1359</f>
        <v>0</v>
      </c>
      <c r="E1359" s="915">
        <f>'House Count'!D1359</f>
        <v>0</v>
      </c>
      <c r="F1359" s="915" t="str">
        <f t="shared" si="21"/>
        <v/>
      </c>
      <c r="G1359" s="915">
        <f>'House Count'!F1359</f>
        <v>0</v>
      </c>
      <c r="H1359" s="915">
        <f>'House Count'!H1359</f>
        <v>0</v>
      </c>
    </row>
    <row r="1360" spans="1:8" x14ac:dyDescent="0.25">
      <c r="A1360" s="914">
        <f>'House Count'!A1360</f>
        <v>0</v>
      </c>
      <c r="B1360" s="915">
        <f>'House Count'!E1360</f>
        <v>0</v>
      </c>
      <c r="C1360" s="915">
        <f>'House Count'!B1360</f>
        <v>0</v>
      </c>
      <c r="D1360" s="915">
        <f>'House Count'!C1360</f>
        <v>0</v>
      </c>
      <c r="E1360" s="915">
        <f>'House Count'!D1360</f>
        <v>0</v>
      </c>
      <c r="F1360" s="915" t="str">
        <f t="shared" si="21"/>
        <v/>
      </c>
      <c r="G1360" s="915">
        <f>'House Count'!F1360</f>
        <v>0</v>
      </c>
      <c r="H1360" s="915">
        <f>'House Count'!H1360</f>
        <v>0</v>
      </c>
    </row>
    <row r="1361" spans="1:8" x14ac:dyDescent="0.25">
      <c r="A1361" s="914">
        <f>'House Count'!A1361</f>
        <v>0</v>
      </c>
      <c r="B1361" s="915">
        <f>'House Count'!E1361</f>
        <v>0</v>
      </c>
      <c r="C1361" s="915">
        <f>'House Count'!B1361</f>
        <v>0</v>
      </c>
      <c r="D1361" s="915">
        <f>'House Count'!C1361</f>
        <v>0</v>
      </c>
      <c r="E1361" s="915">
        <f>'House Count'!D1361</f>
        <v>0</v>
      </c>
      <c r="F1361" s="915" t="str">
        <f t="shared" si="21"/>
        <v/>
      </c>
      <c r="G1361" s="915">
        <f>'House Count'!F1361</f>
        <v>0</v>
      </c>
      <c r="H1361" s="915">
        <f>'House Count'!H1361</f>
        <v>0</v>
      </c>
    </row>
    <row r="1362" spans="1:8" x14ac:dyDescent="0.25">
      <c r="A1362" s="914">
        <f>'House Count'!A1362</f>
        <v>0</v>
      </c>
      <c r="B1362" s="915">
        <f>'House Count'!E1362</f>
        <v>0</v>
      </c>
      <c r="C1362" s="915">
        <f>'House Count'!B1362</f>
        <v>0</v>
      </c>
      <c r="D1362" s="915">
        <f>'House Count'!C1362</f>
        <v>0</v>
      </c>
      <c r="E1362" s="915">
        <f>'House Count'!D1362</f>
        <v>0</v>
      </c>
      <c r="F1362" s="915" t="str">
        <f t="shared" si="21"/>
        <v/>
      </c>
      <c r="G1362" s="915">
        <f>'House Count'!F1362</f>
        <v>0</v>
      </c>
      <c r="H1362" s="915">
        <f>'House Count'!H1362</f>
        <v>0</v>
      </c>
    </row>
    <row r="1363" spans="1:8" x14ac:dyDescent="0.25">
      <c r="A1363" s="914">
        <f>'House Count'!A1363</f>
        <v>0</v>
      </c>
      <c r="B1363" s="915">
        <f>'House Count'!E1363</f>
        <v>0</v>
      </c>
      <c r="C1363" s="915">
        <f>'House Count'!B1363</f>
        <v>0</v>
      </c>
      <c r="D1363" s="915">
        <f>'House Count'!C1363</f>
        <v>0</v>
      </c>
      <c r="E1363" s="915">
        <f>'House Count'!D1363</f>
        <v>0</v>
      </c>
      <c r="F1363" s="915" t="str">
        <f t="shared" si="21"/>
        <v/>
      </c>
      <c r="G1363" s="915">
        <f>'House Count'!F1363</f>
        <v>0</v>
      </c>
      <c r="H1363" s="915">
        <f>'House Count'!H1363</f>
        <v>0</v>
      </c>
    </row>
    <row r="1364" spans="1:8" x14ac:dyDescent="0.25">
      <c r="A1364" s="914">
        <f>'House Count'!A1364</f>
        <v>0</v>
      </c>
      <c r="B1364" s="915">
        <f>'House Count'!E1364</f>
        <v>0</v>
      </c>
      <c r="C1364" s="915">
        <f>'House Count'!B1364</f>
        <v>0</v>
      </c>
      <c r="D1364" s="915">
        <f>'House Count'!C1364</f>
        <v>0</v>
      </c>
      <c r="E1364" s="915">
        <f>'House Count'!D1364</f>
        <v>0</v>
      </c>
      <c r="F1364" s="915" t="str">
        <f t="shared" si="21"/>
        <v/>
      </c>
      <c r="G1364" s="915">
        <f>'House Count'!F1364</f>
        <v>0</v>
      </c>
      <c r="H1364" s="915">
        <f>'House Count'!H1364</f>
        <v>0</v>
      </c>
    </row>
    <row r="1365" spans="1:8" x14ac:dyDescent="0.25">
      <c r="A1365" s="914">
        <f>'House Count'!A1365</f>
        <v>0</v>
      </c>
      <c r="B1365" s="915">
        <f>'House Count'!E1365</f>
        <v>0</v>
      </c>
      <c r="C1365" s="915">
        <f>'House Count'!B1365</f>
        <v>0</v>
      </c>
      <c r="D1365" s="915">
        <f>'House Count'!C1365</f>
        <v>0</v>
      </c>
      <c r="E1365" s="915">
        <f>'House Count'!D1365</f>
        <v>0</v>
      </c>
      <c r="F1365" s="915" t="str">
        <f t="shared" si="21"/>
        <v/>
      </c>
      <c r="G1365" s="915">
        <f>'House Count'!F1365</f>
        <v>0</v>
      </c>
      <c r="H1365" s="915">
        <f>'House Count'!H1365</f>
        <v>0</v>
      </c>
    </row>
    <row r="1366" spans="1:8" x14ac:dyDescent="0.25">
      <c r="A1366" s="914">
        <f>'House Count'!A1366</f>
        <v>0</v>
      </c>
      <c r="B1366" s="915">
        <f>'House Count'!E1366</f>
        <v>0</v>
      </c>
      <c r="C1366" s="915">
        <f>'House Count'!B1366</f>
        <v>0</v>
      </c>
      <c r="D1366" s="915">
        <f>'House Count'!C1366</f>
        <v>0</v>
      </c>
      <c r="E1366" s="915">
        <f>'House Count'!D1366</f>
        <v>0</v>
      </c>
      <c r="F1366" s="915" t="str">
        <f t="shared" si="21"/>
        <v/>
      </c>
      <c r="G1366" s="915">
        <f>'House Count'!F1366</f>
        <v>0</v>
      </c>
      <c r="H1366" s="915">
        <f>'House Count'!H1366</f>
        <v>0</v>
      </c>
    </row>
    <row r="1367" spans="1:8" x14ac:dyDescent="0.25">
      <c r="A1367" s="914">
        <f>'House Count'!A1367</f>
        <v>0</v>
      </c>
      <c r="B1367" s="915">
        <f>'House Count'!E1367</f>
        <v>0</v>
      </c>
      <c r="C1367" s="915">
        <f>'House Count'!B1367</f>
        <v>0</v>
      </c>
      <c r="D1367" s="915">
        <f>'House Count'!C1367</f>
        <v>0</v>
      </c>
      <c r="E1367" s="915">
        <f>'House Count'!D1367</f>
        <v>0</v>
      </c>
      <c r="F1367" s="915" t="str">
        <f t="shared" si="21"/>
        <v/>
      </c>
      <c r="G1367" s="915">
        <f>'House Count'!F1367</f>
        <v>0</v>
      </c>
      <c r="H1367" s="915">
        <f>'House Count'!H1367</f>
        <v>0</v>
      </c>
    </row>
    <row r="1368" spans="1:8" x14ac:dyDescent="0.25">
      <c r="A1368" s="914">
        <f>'House Count'!A1368</f>
        <v>0</v>
      </c>
      <c r="B1368" s="915">
        <f>'House Count'!E1368</f>
        <v>0</v>
      </c>
      <c r="C1368" s="915">
        <f>'House Count'!B1368</f>
        <v>0</v>
      </c>
      <c r="D1368" s="915">
        <f>'House Count'!C1368</f>
        <v>0</v>
      </c>
      <c r="E1368" s="915">
        <f>'House Count'!D1368</f>
        <v>0</v>
      </c>
      <c r="F1368" s="915" t="str">
        <f t="shared" si="21"/>
        <v/>
      </c>
      <c r="G1368" s="915">
        <f>'House Count'!F1368</f>
        <v>0</v>
      </c>
      <c r="H1368" s="915">
        <f>'House Count'!H1368</f>
        <v>0</v>
      </c>
    </row>
    <row r="1369" spans="1:8" x14ac:dyDescent="0.25">
      <c r="A1369" s="914">
        <f>'House Count'!A1369</f>
        <v>0</v>
      </c>
      <c r="B1369" s="915">
        <f>'House Count'!E1369</f>
        <v>0</v>
      </c>
      <c r="C1369" s="915">
        <f>'House Count'!B1369</f>
        <v>0</v>
      </c>
      <c r="D1369" s="915">
        <f>'House Count'!C1369</f>
        <v>0</v>
      </c>
      <c r="E1369" s="915">
        <f>'House Count'!D1369</f>
        <v>0</v>
      </c>
      <c r="F1369" s="915" t="str">
        <f t="shared" si="21"/>
        <v/>
      </c>
      <c r="G1369" s="915">
        <f>'House Count'!F1369</f>
        <v>0</v>
      </c>
      <c r="H1369" s="915">
        <f>'House Count'!H1369</f>
        <v>0</v>
      </c>
    </row>
    <row r="1370" spans="1:8" x14ac:dyDescent="0.25">
      <c r="A1370" s="914">
        <f>'House Count'!A1370</f>
        <v>0</v>
      </c>
      <c r="B1370" s="915">
        <f>'House Count'!E1370</f>
        <v>0</v>
      </c>
      <c r="C1370" s="915">
        <f>'House Count'!B1370</f>
        <v>0</v>
      </c>
      <c r="D1370" s="915">
        <f>'House Count'!C1370</f>
        <v>0</v>
      </c>
      <c r="E1370" s="915">
        <f>'House Count'!D1370</f>
        <v>0</v>
      </c>
      <c r="F1370" s="915" t="str">
        <f t="shared" si="21"/>
        <v/>
      </c>
      <c r="G1370" s="915">
        <f>'House Count'!F1370</f>
        <v>0</v>
      </c>
      <c r="H1370" s="915">
        <f>'House Count'!H1370</f>
        <v>0</v>
      </c>
    </row>
    <row r="1371" spans="1:8" x14ac:dyDescent="0.25">
      <c r="A1371" s="914">
        <f>'House Count'!A1371</f>
        <v>0</v>
      </c>
      <c r="B1371" s="915">
        <f>'House Count'!E1371</f>
        <v>0</v>
      </c>
      <c r="C1371" s="915">
        <f>'House Count'!B1371</f>
        <v>0</v>
      </c>
      <c r="D1371" s="915">
        <f>'House Count'!C1371</f>
        <v>0</v>
      </c>
      <c r="E1371" s="915">
        <f>'House Count'!D1371</f>
        <v>0</v>
      </c>
      <c r="F1371" s="915" t="str">
        <f t="shared" si="21"/>
        <v/>
      </c>
      <c r="G1371" s="915">
        <f>'House Count'!F1371</f>
        <v>0</v>
      </c>
      <c r="H1371" s="915">
        <f>'House Count'!H1371</f>
        <v>0</v>
      </c>
    </row>
    <row r="1372" spans="1:8" x14ac:dyDescent="0.25">
      <c r="A1372" s="914">
        <f>'House Count'!A1372</f>
        <v>0</v>
      </c>
      <c r="B1372" s="915">
        <f>'House Count'!E1372</f>
        <v>0</v>
      </c>
      <c r="C1372" s="915">
        <f>'House Count'!B1372</f>
        <v>0</v>
      </c>
      <c r="D1372" s="915">
        <f>'House Count'!C1372</f>
        <v>0</v>
      </c>
      <c r="E1372" s="915">
        <f>'House Count'!D1372</f>
        <v>0</v>
      </c>
      <c r="F1372" s="915" t="str">
        <f t="shared" si="21"/>
        <v/>
      </c>
      <c r="G1372" s="915">
        <f>'House Count'!F1372</f>
        <v>0</v>
      </c>
      <c r="H1372" s="915">
        <f>'House Count'!H1372</f>
        <v>0</v>
      </c>
    </row>
    <row r="1373" spans="1:8" x14ac:dyDescent="0.25">
      <c r="A1373" s="914">
        <f>'House Count'!A1373</f>
        <v>0</v>
      </c>
      <c r="B1373" s="915">
        <f>'House Count'!E1373</f>
        <v>0</v>
      </c>
      <c r="C1373" s="915">
        <f>'House Count'!B1373</f>
        <v>0</v>
      </c>
      <c r="D1373" s="915">
        <f>'House Count'!C1373</f>
        <v>0</v>
      </c>
      <c r="E1373" s="915">
        <f>'House Count'!D1373</f>
        <v>0</v>
      </c>
      <c r="F1373" s="915" t="str">
        <f t="shared" si="21"/>
        <v/>
      </c>
      <c r="G1373" s="915">
        <f>'House Count'!F1373</f>
        <v>0</v>
      </c>
      <c r="H1373" s="915">
        <f>'House Count'!H1373</f>
        <v>0</v>
      </c>
    </row>
    <row r="1374" spans="1:8" x14ac:dyDescent="0.25">
      <c r="A1374" s="914">
        <f>'House Count'!A1374</f>
        <v>0</v>
      </c>
      <c r="B1374" s="915">
        <f>'House Count'!E1374</f>
        <v>0</v>
      </c>
      <c r="C1374" s="915">
        <f>'House Count'!B1374</f>
        <v>0</v>
      </c>
      <c r="D1374" s="915">
        <f>'House Count'!C1374</f>
        <v>0</v>
      </c>
      <c r="E1374" s="915">
        <f>'House Count'!D1374</f>
        <v>0</v>
      </c>
      <c r="F1374" s="915" t="str">
        <f t="shared" si="21"/>
        <v/>
      </c>
      <c r="G1374" s="915">
        <f>'House Count'!F1374</f>
        <v>0</v>
      </c>
      <c r="H1374" s="915">
        <f>'House Count'!H1374</f>
        <v>0</v>
      </c>
    </row>
    <row r="1375" spans="1:8" x14ac:dyDescent="0.25">
      <c r="A1375" s="914">
        <f>'House Count'!A1375</f>
        <v>0</v>
      </c>
      <c r="B1375" s="915">
        <f>'House Count'!E1375</f>
        <v>0</v>
      </c>
      <c r="C1375" s="915">
        <f>'House Count'!B1375</f>
        <v>0</v>
      </c>
      <c r="D1375" s="915">
        <f>'House Count'!C1375</f>
        <v>0</v>
      </c>
      <c r="E1375" s="915">
        <f>'House Count'!D1375</f>
        <v>0</v>
      </c>
      <c r="F1375" s="915" t="str">
        <f t="shared" si="21"/>
        <v/>
      </c>
      <c r="G1375" s="915">
        <f>'House Count'!F1375</f>
        <v>0</v>
      </c>
      <c r="H1375" s="915">
        <f>'House Count'!H1375</f>
        <v>0</v>
      </c>
    </row>
    <row r="1376" spans="1:8" x14ac:dyDescent="0.25">
      <c r="A1376" s="914">
        <f>'House Count'!A1376</f>
        <v>0</v>
      </c>
      <c r="B1376" s="915">
        <f>'House Count'!E1376</f>
        <v>0</v>
      </c>
      <c r="C1376" s="915">
        <f>'House Count'!B1376</f>
        <v>0</v>
      </c>
      <c r="D1376" s="915">
        <f>'House Count'!C1376</f>
        <v>0</v>
      </c>
      <c r="E1376" s="915">
        <f>'House Count'!D1376</f>
        <v>0</v>
      </c>
      <c r="F1376" s="915" t="str">
        <f t="shared" si="21"/>
        <v/>
      </c>
      <c r="G1376" s="915">
        <f>'House Count'!F1376</f>
        <v>0</v>
      </c>
      <c r="H1376" s="915">
        <f>'House Count'!H1376</f>
        <v>0</v>
      </c>
    </row>
    <row r="1377" spans="1:8" x14ac:dyDescent="0.25">
      <c r="A1377" s="914">
        <f>'House Count'!A1377</f>
        <v>0</v>
      </c>
      <c r="B1377" s="915">
        <f>'House Count'!E1377</f>
        <v>0</v>
      </c>
      <c r="C1377" s="915">
        <f>'House Count'!B1377</f>
        <v>0</v>
      </c>
      <c r="D1377" s="915">
        <f>'House Count'!C1377</f>
        <v>0</v>
      </c>
      <c r="E1377" s="915">
        <f>'House Count'!D1377</f>
        <v>0</v>
      </c>
      <c r="F1377" s="915" t="str">
        <f t="shared" si="21"/>
        <v/>
      </c>
      <c r="G1377" s="915">
        <f>'House Count'!F1377</f>
        <v>0</v>
      </c>
      <c r="H1377" s="915">
        <f>'House Count'!H1377</f>
        <v>0</v>
      </c>
    </row>
    <row r="1378" spans="1:8" x14ac:dyDescent="0.25">
      <c r="A1378" s="914">
        <f>'House Count'!A1378</f>
        <v>0</v>
      </c>
      <c r="B1378" s="915">
        <f>'House Count'!E1378</f>
        <v>0</v>
      </c>
      <c r="C1378" s="915">
        <f>'House Count'!B1378</f>
        <v>0</v>
      </c>
      <c r="D1378" s="915">
        <f>'House Count'!C1378</f>
        <v>0</v>
      </c>
      <c r="E1378" s="915">
        <f>'House Count'!D1378</f>
        <v>0</v>
      </c>
      <c r="F1378" s="915" t="str">
        <f t="shared" si="21"/>
        <v/>
      </c>
      <c r="G1378" s="915">
        <f>'House Count'!F1378</f>
        <v>0</v>
      </c>
      <c r="H1378" s="915">
        <f>'House Count'!H1378</f>
        <v>0</v>
      </c>
    </row>
    <row r="1379" spans="1:8" x14ac:dyDescent="0.25">
      <c r="A1379" s="914">
        <f>'House Count'!A1379</f>
        <v>0</v>
      </c>
      <c r="B1379" s="915">
        <f>'House Count'!E1379</f>
        <v>0</v>
      </c>
      <c r="C1379" s="915">
        <f>'House Count'!B1379</f>
        <v>0</v>
      </c>
      <c r="D1379" s="915">
        <f>'House Count'!C1379</f>
        <v>0</v>
      </c>
      <c r="E1379" s="915">
        <f>'House Count'!D1379</f>
        <v>0</v>
      </c>
      <c r="F1379" s="915" t="str">
        <f t="shared" si="21"/>
        <v/>
      </c>
      <c r="G1379" s="915">
        <f>'House Count'!F1379</f>
        <v>0</v>
      </c>
      <c r="H1379" s="915">
        <f>'House Count'!H1379</f>
        <v>0</v>
      </c>
    </row>
    <row r="1380" spans="1:8" x14ac:dyDescent="0.25">
      <c r="A1380" s="914">
        <f>'House Count'!A1380</f>
        <v>0</v>
      </c>
      <c r="B1380" s="915">
        <f>'House Count'!E1380</f>
        <v>0</v>
      </c>
      <c r="C1380" s="915">
        <f>'House Count'!B1380</f>
        <v>0</v>
      </c>
      <c r="D1380" s="915">
        <f>'House Count'!C1380</f>
        <v>0</v>
      </c>
      <c r="E1380" s="915">
        <f>'House Count'!D1380</f>
        <v>0</v>
      </c>
      <c r="F1380" s="915" t="str">
        <f t="shared" si="21"/>
        <v/>
      </c>
      <c r="G1380" s="915">
        <f>'House Count'!F1380</f>
        <v>0</v>
      </c>
      <c r="H1380" s="915">
        <f>'House Count'!H1380</f>
        <v>0</v>
      </c>
    </row>
    <row r="1381" spans="1:8" x14ac:dyDescent="0.25">
      <c r="A1381" s="914">
        <f>'House Count'!A1381</f>
        <v>0</v>
      </c>
      <c r="B1381" s="915">
        <f>'House Count'!E1381</f>
        <v>0</v>
      </c>
      <c r="C1381" s="915">
        <f>'House Count'!B1381</f>
        <v>0</v>
      </c>
      <c r="D1381" s="915">
        <f>'House Count'!C1381</f>
        <v>0</v>
      </c>
      <c r="E1381" s="915">
        <f>'House Count'!D1381</f>
        <v>0</v>
      </c>
      <c r="F1381" s="915" t="str">
        <f t="shared" si="21"/>
        <v/>
      </c>
      <c r="G1381" s="915">
        <f>'House Count'!F1381</f>
        <v>0</v>
      </c>
      <c r="H1381" s="915">
        <f>'House Count'!H1381</f>
        <v>0</v>
      </c>
    </row>
    <row r="1382" spans="1:8" x14ac:dyDescent="0.25">
      <c r="A1382" s="914">
        <f>'House Count'!A1382</f>
        <v>0</v>
      </c>
      <c r="B1382" s="915">
        <f>'House Count'!E1382</f>
        <v>0</v>
      </c>
      <c r="C1382" s="915">
        <f>'House Count'!B1382</f>
        <v>0</v>
      </c>
      <c r="D1382" s="915">
        <f>'House Count'!C1382</f>
        <v>0</v>
      </c>
      <c r="E1382" s="915">
        <f>'House Count'!D1382</f>
        <v>0</v>
      </c>
      <c r="F1382" s="915" t="str">
        <f t="shared" si="21"/>
        <v/>
      </c>
      <c r="G1382" s="915">
        <f>'House Count'!F1382</f>
        <v>0</v>
      </c>
      <c r="H1382" s="915">
        <f>'House Count'!H1382</f>
        <v>0</v>
      </c>
    </row>
    <row r="1383" spans="1:8" x14ac:dyDescent="0.25">
      <c r="A1383" s="914">
        <f>'House Count'!A1383</f>
        <v>0</v>
      </c>
      <c r="B1383" s="915">
        <f>'House Count'!E1383</f>
        <v>0</v>
      </c>
      <c r="C1383" s="915">
        <f>'House Count'!B1383</f>
        <v>0</v>
      </c>
      <c r="D1383" s="915">
        <f>'House Count'!C1383</f>
        <v>0</v>
      </c>
      <c r="E1383" s="915">
        <f>'House Count'!D1383</f>
        <v>0</v>
      </c>
      <c r="F1383" s="915" t="str">
        <f t="shared" si="21"/>
        <v/>
      </c>
      <c r="G1383" s="915">
        <f>'House Count'!F1383</f>
        <v>0</v>
      </c>
      <c r="H1383" s="915">
        <f>'House Count'!H1383</f>
        <v>0</v>
      </c>
    </row>
    <row r="1384" spans="1:8" x14ac:dyDescent="0.25">
      <c r="A1384" s="914">
        <f>'House Count'!A1384</f>
        <v>0</v>
      </c>
      <c r="B1384" s="915">
        <f>'House Count'!E1384</f>
        <v>0</v>
      </c>
      <c r="C1384" s="915">
        <f>'House Count'!B1384</f>
        <v>0</v>
      </c>
      <c r="D1384" s="915">
        <f>'House Count'!C1384</f>
        <v>0</v>
      </c>
      <c r="E1384" s="915">
        <f>'House Count'!D1384</f>
        <v>0</v>
      </c>
      <c r="F1384" s="915" t="str">
        <f t="shared" si="21"/>
        <v/>
      </c>
      <c r="G1384" s="915">
        <f>'House Count'!F1384</f>
        <v>0</v>
      </c>
      <c r="H1384" s="915">
        <f>'House Count'!H1384</f>
        <v>0</v>
      </c>
    </row>
    <row r="1385" spans="1:8" x14ac:dyDescent="0.25">
      <c r="A1385" s="914">
        <f>'House Count'!A1385</f>
        <v>0</v>
      </c>
      <c r="B1385" s="915">
        <f>'House Count'!E1385</f>
        <v>0</v>
      </c>
      <c r="C1385" s="915">
        <f>'House Count'!B1385</f>
        <v>0</v>
      </c>
      <c r="D1385" s="915">
        <f>'House Count'!C1385</f>
        <v>0</v>
      </c>
      <c r="E1385" s="915">
        <f>'House Count'!D1385</f>
        <v>0</v>
      </c>
      <c r="F1385" s="915" t="str">
        <f t="shared" si="21"/>
        <v/>
      </c>
      <c r="G1385" s="915">
        <f>'House Count'!F1385</f>
        <v>0</v>
      </c>
      <c r="H1385" s="915">
        <f>'House Count'!H1385</f>
        <v>0</v>
      </c>
    </row>
    <row r="1386" spans="1:8" x14ac:dyDescent="0.25">
      <c r="A1386" s="914">
        <f>'House Count'!A1386</f>
        <v>0</v>
      </c>
      <c r="B1386" s="915">
        <f>'House Count'!E1386</f>
        <v>0</v>
      </c>
      <c r="C1386" s="915">
        <f>'House Count'!B1386</f>
        <v>0</v>
      </c>
      <c r="D1386" s="915">
        <f>'House Count'!C1386</f>
        <v>0</v>
      </c>
      <c r="E1386" s="915">
        <f>'House Count'!D1386</f>
        <v>0</v>
      </c>
      <c r="F1386" s="915" t="str">
        <f t="shared" si="21"/>
        <v/>
      </c>
      <c r="G1386" s="915">
        <f>'House Count'!F1386</f>
        <v>0</v>
      </c>
      <c r="H1386" s="915">
        <f>'House Count'!H1386</f>
        <v>0</v>
      </c>
    </row>
    <row r="1387" spans="1:8" x14ac:dyDescent="0.25">
      <c r="A1387" s="914">
        <f>'House Count'!A1387</f>
        <v>0</v>
      </c>
      <c r="B1387" s="915">
        <f>'House Count'!E1387</f>
        <v>0</v>
      </c>
      <c r="C1387" s="915">
        <f>'House Count'!B1387</f>
        <v>0</v>
      </c>
      <c r="D1387" s="915">
        <f>'House Count'!C1387</f>
        <v>0</v>
      </c>
      <c r="E1387" s="915">
        <f>'House Count'!D1387</f>
        <v>0</v>
      </c>
      <c r="F1387" s="915" t="str">
        <f t="shared" si="21"/>
        <v/>
      </c>
      <c r="G1387" s="915">
        <f>'House Count'!F1387</f>
        <v>0</v>
      </c>
      <c r="H1387" s="915">
        <f>'House Count'!H1387</f>
        <v>0</v>
      </c>
    </row>
    <row r="1388" spans="1:8" x14ac:dyDescent="0.25">
      <c r="A1388" s="914">
        <f>'House Count'!A1388</f>
        <v>0</v>
      </c>
      <c r="B1388" s="915">
        <f>'House Count'!E1388</f>
        <v>0</v>
      </c>
      <c r="C1388" s="915">
        <f>'House Count'!B1388</f>
        <v>0</v>
      </c>
      <c r="D1388" s="915">
        <f>'House Count'!C1388</f>
        <v>0</v>
      </c>
      <c r="E1388" s="915">
        <f>'House Count'!D1388</f>
        <v>0</v>
      </c>
      <c r="F1388" s="915" t="str">
        <f t="shared" si="21"/>
        <v/>
      </c>
      <c r="G1388" s="915">
        <f>'House Count'!F1388</f>
        <v>0</v>
      </c>
      <c r="H1388" s="915">
        <f>'House Count'!H1388</f>
        <v>0</v>
      </c>
    </row>
    <row r="1389" spans="1:8" x14ac:dyDescent="0.25">
      <c r="A1389" s="914">
        <f>'House Count'!A1389</f>
        <v>0</v>
      </c>
      <c r="B1389" s="915">
        <f>'House Count'!E1389</f>
        <v>0</v>
      </c>
      <c r="C1389" s="915">
        <f>'House Count'!B1389</f>
        <v>0</v>
      </c>
      <c r="D1389" s="915">
        <f>'House Count'!C1389</f>
        <v>0</v>
      </c>
      <c r="E1389" s="915">
        <f>'House Count'!D1389</f>
        <v>0</v>
      </c>
      <c r="F1389" s="915" t="str">
        <f t="shared" si="21"/>
        <v/>
      </c>
      <c r="G1389" s="915">
        <f>'House Count'!F1389</f>
        <v>0</v>
      </c>
      <c r="H1389" s="915">
        <f>'House Count'!H1389</f>
        <v>0</v>
      </c>
    </row>
    <row r="1390" spans="1:8" x14ac:dyDescent="0.25">
      <c r="A1390" s="914">
        <f>'House Count'!A1390</f>
        <v>0</v>
      </c>
      <c r="B1390" s="915">
        <f>'House Count'!E1390</f>
        <v>0</v>
      </c>
      <c r="C1390" s="915">
        <f>'House Count'!B1390</f>
        <v>0</v>
      </c>
      <c r="D1390" s="915">
        <f>'House Count'!C1390</f>
        <v>0</v>
      </c>
      <c r="E1390" s="915">
        <f>'House Count'!D1390</f>
        <v>0</v>
      </c>
      <c r="F1390" s="915" t="str">
        <f t="shared" si="21"/>
        <v/>
      </c>
      <c r="G1390" s="915">
        <f>'House Count'!F1390</f>
        <v>0</v>
      </c>
      <c r="H1390" s="915">
        <f>'House Count'!H1390</f>
        <v>0</v>
      </c>
    </row>
    <row r="1391" spans="1:8" x14ac:dyDescent="0.25">
      <c r="A1391" s="914">
        <f>'House Count'!A1391</f>
        <v>0</v>
      </c>
      <c r="B1391" s="915">
        <f>'House Count'!E1391</f>
        <v>0</v>
      </c>
      <c r="C1391" s="915">
        <f>'House Count'!B1391</f>
        <v>0</v>
      </c>
      <c r="D1391" s="915">
        <f>'House Count'!C1391</f>
        <v>0</v>
      </c>
      <c r="E1391" s="915">
        <f>'House Count'!D1391</f>
        <v>0</v>
      </c>
      <c r="F1391" s="915" t="str">
        <f t="shared" si="21"/>
        <v/>
      </c>
      <c r="G1391" s="915">
        <f>'House Count'!F1391</f>
        <v>0</v>
      </c>
      <c r="H1391" s="915">
        <f>'House Count'!H1391</f>
        <v>0</v>
      </c>
    </row>
    <row r="1392" spans="1:8" x14ac:dyDescent="0.25">
      <c r="A1392" s="914">
        <f>'House Count'!A1392</f>
        <v>0</v>
      </c>
      <c r="B1392" s="915">
        <f>'House Count'!E1392</f>
        <v>0</v>
      </c>
      <c r="C1392" s="915">
        <f>'House Count'!B1392</f>
        <v>0</v>
      </c>
      <c r="D1392" s="915">
        <f>'House Count'!C1392</f>
        <v>0</v>
      </c>
      <c r="E1392" s="915">
        <f>'House Count'!D1392</f>
        <v>0</v>
      </c>
      <c r="F1392" s="915" t="str">
        <f t="shared" si="21"/>
        <v/>
      </c>
      <c r="G1392" s="915">
        <f>'House Count'!F1392</f>
        <v>0</v>
      </c>
      <c r="H1392" s="915">
        <f>'House Count'!H1392</f>
        <v>0</v>
      </c>
    </row>
    <row r="1393" spans="1:8" x14ac:dyDescent="0.25">
      <c r="A1393" s="914">
        <f>'House Count'!A1393</f>
        <v>0</v>
      </c>
      <c r="B1393" s="915">
        <f>'House Count'!E1393</f>
        <v>0</v>
      </c>
      <c r="C1393" s="915">
        <f>'House Count'!B1393</f>
        <v>0</v>
      </c>
      <c r="D1393" s="915">
        <f>'House Count'!C1393</f>
        <v>0</v>
      </c>
      <c r="E1393" s="915">
        <f>'House Count'!D1393</f>
        <v>0</v>
      </c>
      <c r="F1393" s="915" t="str">
        <f t="shared" si="21"/>
        <v/>
      </c>
      <c r="G1393" s="915">
        <f>'House Count'!F1393</f>
        <v>0</v>
      </c>
      <c r="H1393" s="915">
        <f>'House Count'!H1393</f>
        <v>0</v>
      </c>
    </row>
    <row r="1394" spans="1:8" x14ac:dyDescent="0.25">
      <c r="A1394" s="914">
        <f>'House Count'!A1394</f>
        <v>0</v>
      </c>
      <c r="B1394" s="915">
        <f>'House Count'!E1394</f>
        <v>0</v>
      </c>
      <c r="C1394" s="915">
        <f>'House Count'!B1394</f>
        <v>0</v>
      </c>
      <c r="D1394" s="915">
        <f>'House Count'!C1394</f>
        <v>0</v>
      </c>
      <c r="E1394" s="915">
        <f>'House Count'!D1394</f>
        <v>0</v>
      </c>
      <c r="F1394" s="915" t="str">
        <f t="shared" si="21"/>
        <v/>
      </c>
      <c r="G1394" s="915">
        <f>'House Count'!F1394</f>
        <v>0</v>
      </c>
      <c r="H1394" s="915">
        <f>'House Count'!H1394</f>
        <v>0</v>
      </c>
    </row>
    <row r="1395" spans="1:8" x14ac:dyDescent="0.25">
      <c r="A1395" s="914">
        <f>'House Count'!A1395</f>
        <v>0</v>
      </c>
      <c r="B1395" s="915">
        <f>'House Count'!E1395</f>
        <v>0</v>
      </c>
      <c r="C1395" s="915">
        <f>'House Count'!B1395</f>
        <v>0</v>
      </c>
      <c r="D1395" s="915">
        <f>'House Count'!C1395</f>
        <v>0</v>
      </c>
      <c r="E1395" s="915">
        <f>'House Count'!D1395</f>
        <v>0</v>
      </c>
      <c r="F1395" s="915" t="str">
        <f t="shared" si="21"/>
        <v/>
      </c>
      <c r="G1395" s="915">
        <f>'House Count'!F1395</f>
        <v>0</v>
      </c>
      <c r="H1395" s="915">
        <f>'House Count'!H1395</f>
        <v>0</v>
      </c>
    </row>
    <row r="1396" spans="1:8" x14ac:dyDescent="0.25">
      <c r="A1396" s="914">
        <f>'House Count'!A1396</f>
        <v>0</v>
      </c>
      <c r="B1396" s="915">
        <f>'House Count'!E1396</f>
        <v>0</v>
      </c>
      <c r="C1396" s="915">
        <f>'House Count'!B1396</f>
        <v>0</v>
      </c>
      <c r="D1396" s="915">
        <f>'House Count'!C1396</f>
        <v>0</v>
      </c>
      <c r="E1396" s="915">
        <f>'House Count'!D1396</f>
        <v>0</v>
      </c>
      <c r="F1396" s="915" t="str">
        <f t="shared" si="21"/>
        <v/>
      </c>
      <c r="G1396" s="915">
        <f>'House Count'!F1396</f>
        <v>0</v>
      </c>
      <c r="H1396" s="915">
        <f>'House Count'!H1396</f>
        <v>0</v>
      </c>
    </row>
    <row r="1397" spans="1:8" x14ac:dyDescent="0.25">
      <c r="A1397" s="914">
        <f>'House Count'!A1397</f>
        <v>0</v>
      </c>
      <c r="B1397" s="915">
        <f>'House Count'!E1397</f>
        <v>0</v>
      </c>
      <c r="C1397" s="915">
        <f>'House Count'!B1397</f>
        <v>0</v>
      </c>
      <c r="D1397" s="915">
        <f>'House Count'!C1397</f>
        <v>0</v>
      </c>
      <c r="E1397" s="915">
        <f>'House Count'!D1397</f>
        <v>0</v>
      </c>
      <c r="F1397" s="915" t="str">
        <f t="shared" si="21"/>
        <v/>
      </c>
      <c r="G1397" s="915">
        <f>'House Count'!F1397</f>
        <v>0</v>
      </c>
      <c r="H1397" s="915">
        <f>'House Count'!H1397</f>
        <v>0</v>
      </c>
    </row>
    <row r="1398" spans="1:8" x14ac:dyDescent="0.25">
      <c r="A1398" s="914">
        <f>'House Count'!A1398</f>
        <v>0</v>
      </c>
      <c r="B1398" s="915">
        <f>'House Count'!E1398</f>
        <v>0</v>
      </c>
      <c r="C1398" s="915">
        <f>'House Count'!B1398</f>
        <v>0</v>
      </c>
      <c r="D1398" s="915">
        <f>'House Count'!C1398</f>
        <v>0</v>
      </c>
      <c r="E1398" s="915">
        <f>'House Count'!D1398</f>
        <v>0</v>
      </c>
      <c r="F1398" s="915" t="str">
        <f t="shared" si="21"/>
        <v/>
      </c>
      <c r="G1398" s="915">
        <f>'House Count'!F1398</f>
        <v>0</v>
      </c>
      <c r="H1398" s="915">
        <f>'House Count'!H1398</f>
        <v>0</v>
      </c>
    </row>
    <row r="1399" spans="1:8" x14ac:dyDescent="0.25">
      <c r="A1399" s="914">
        <f>'House Count'!A1399</f>
        <v>0</v>
      </c>
      <c r="B1399" s="915">
        <f>'House Count'!E1399</f>
        <v>0</v>
      </c>
      <c r="C1399" s="915">
        <f>'House Count'!B1399</f>
        <v>0</v>
      </c>
      <c r="D1399" s="915">
        <f>'House Count'!C1399</f>
        <v>0</v>
      </c>
      <c r="E1399" s="915">
        <f>'House Count'!D1399</f>
        <v>0</v>
      </c>
      <c r="F1399" s="915" t="str">
        <f t="shared" si="21"/>
        <v/>
      </c>
      <c r="G1399" s="915">
        <f>'House Count'!F1399</f>
        <v>0</v>
      </c>
      <c r="H1399" s="915">
        <f>'House Count'!H1399</f>
        <v>0</v>
      </c>
    </row>
    <row r="1400" spans="1:8" x14ac:dyDescent="0.25">
      <c r="A1400" s="914">
        <f>'House Count'!A1400</f>
        <v>0</v>
      </c>
      <c r="B1400" s="915">
        <f>'House Count'!E1400</f>
        <v>0</v>
      </c>
      <c r="C1400" s="915">
        <f>'House Count'!B1400</f>
        <v>0</v>
      </c>
      <c r="D1400" s="915">
        <f>'House Count'!C1400</f>
        <v>0</v>
      </c>
      <c r="E1400" s="915">
        <f>'House Count'!D1400</f>
        <v>0</v>
      </c>
      <c r="F1400" s="915" t="str">
        <f t="shared" si="21"/>
        <v/>
      </c>
      <c r="G1400" s="915">
        <f>'House Count'!F1400</f>
        <v>0</v>
      </c>
      <c r="H1400" s="915">
        <f>'House Count'!H1400</f>
        <v>0</v>
      </c>
    </row>
    <row r="1401" spans="1:8" x14ac:dyDescent="0.25">
      <c r="A1401" s="914">
        <f>'House Count'!A1401</f>
        <v>0</v>
      </c>
      <c r="B1401" s="915">
        <f>'House Count'!E1401</f>
        <v>0</v>
      </c>
      <c r="C1401" s="915">
        <f>'House Count'!B1401</f>
        <v>0</v>
      </c>
      <c r="D1401" s="915">
        <f>'House Count'!C1401</f>
        <v>0</v>
      </c>
      <c r="E1401" s="915">
        <f>'House Count'!D1401</f>
        <v>0</v>
      </c>
      <c r="F1401" s="915" t="str">
        <f t="shared" si="21"/>
        <v/>
      </c>
      <c r="G1401" s="915">
        <f>'House Count'!F1401</f>
        <v>0</v>
      </c>
      <c r="H1401" s="915">
        <f>'House Count'!H1401</f>
        <v>0</v>
      </c>
    </row>
    <row r="1402" spans="1:8" x14ac:dyDescent="0.25">
      <c r="A1402" s="914">
        <f>'House Count'!A1402</f>
        <v>0</v>
      </c>
      <c r="B1402" s="915">
        <f>'House Count'!E1402</f>
        <v>0</v>
      </c>
      <c r="C1402" s="915">
        <f>'House Count'!B1402</f>
        <v>0</v>
      </c>
      <c r="D1402" s="915">
        <f>'House Count'!C1402</f>
        <v>0</v>
      </c>
      <c r="E1402" s="915">
        <f>'House Count'!D1402</f>
        <v>0</v>
      </c>
      <c r="F1402" s="915" t="str">
        <f t="shared" si="21"/>
        <v/>
      </c>
      <c r="G1402" s="915">
        <f>'House Count'!F1402</f>
        <v>0</v>
      </c>
      <c r="H1402" s="915">
        <f>'House Count'!H1402</f>
        <v>0</v>
      </c>
    </row>
    <row r="1403" spans="1:8" x14ac:dyDescent="0.25">
      <c r="A1403" s="914">
        <f>'House Count'!A1403</f>
        <v>0</v>
      </c>
      <c r="B1403" s="915">
        <f>'House Count'!E1403</f>
        <v>0</v>
      </c>
      <c r="C1403" s="915">
        <f>'House Count'!B1403</f>
        <v>0</v>
      </c>
      <c r="D1403" s="915">
        <f>'House Count'!C1403</f>
        <v>0</v>
      </c>
      <c r="E1403" s="915">
        <f>'House Count'!D1403</f>
        <v>0</v>
      </c>
      <c r="F1403" s="915" t="str">
        <f t="shared" si="21"/>
        <v/>
      </c>
      <c r="G1403" s="915">
        <f>'House Count'!F1403</f>
        <v>0</v>
      </c>
      <c r="H1403" s="915">
        <f>'House Count'!H1403</f>
        <v>0</v>
      </c>
    </row>
    <row r="1404" spans="1:8" x14ac:dyDescent="0.25">
      <c r="A1404" s="914">
        <f>'House Count'!A1404</f>
        <v>0</v>
      </c>
      <c r="B1404" s="915">
        <f>'House Count'!E1404</f>
        <v>0</v>
      </c>
      <c r="C1404" s="915">
        <f>'House Count'!B1404</f>
        <v>0</v>
      </c>
      <c r="D1404" s="915">
        <f>'House Count'!C1404</f>
        <v>0</v>
      </c>
      <c r="E1404" s="915">
        <f>'House Count'!D1404</f>
        <v>0</v>
      </c>
      <c r="F1404" s="915" t="str">
        <f t="shared" si="21"/>
        <v/>
      </c>
      <c r="G1404" s="915">
        <f>'House Count'!F1404</f>
        <v>0</v>
      </c>
      <c r="H1404" s="915">
        <f>'House Count'!H1404</f>
        <v>0</v>
      </c>
    </row>
    <row r="1405" spans="1:8" x14ac:dyDescent="0.25">
      <c r="A1405" s="914">
        <f>'House Count'!A1405</f>
        <v>0</v>
      </c>
      <c r="B1405" s="915">
        <f>'House Count'!E1405</f>
        <v>0</v>
      </c>
      <c r="C1405" s="915">
        <f>'House Count'!B1405</f>
        <v>0</v>
      </c>
      <c r="D1405" s="915">
        <f>'House Count'!C1405</f>
        <v>0</v>
      </c>
      <c r="E1405" s="915">
        <f>'House Count'!D1405</f>
        <v>0</v>
      </c>
      <c r="F1405" s="915" t="str">
        <f t="shared" si="21"/>
        <v/>
      </c>
      <c r="G1405" s="915">
        <f>'House Count'!F1405</f>
        <v>0</v>
      </c>
      <c r="H1405" s="915">
        <f>'House Count'!H1405</f>
        <v>0</v>
      </c>
    </row>
    <row r="1406" spans="1:8" x14ac:dyDescent="0.25">
      <c r="A1406" s="914">
        <f>'House Count'!A1406</f>
        <v>0</v>
      </c>
      <c r="B1406" s="915">
        <f>'House Count'!E1406</f>
        <v>0</v>
      </c>
      <c r="C1406" s="915">
        <f>'House Count'!B1406</f>
        <v>0</v>
      </c>
      <c r="D1406" s="915">
        <f>'House Count'!C1406</f>
        <v>0</v>
      </c>
      <c r="E1406" s="915">
        <f>'House Count'!D1406</f>
        <v>0</v>
      </c>
      <c r="F1406" s="915" t="str">
        <f t="shared" si="21"/>
        <v/>
      </c>
      <c r="G1406" s="915">
        <f>'House Count'!F1406</f>
        <v>0</v>
      </c>
      <c r="H1406" s="915">
        <f>'House Count'!H1406</f>
        <v>0</v>
      </c>
    </row>
    <row r="1407" spans="1:8" x14ac:dyDescent="0.25">
      <c r="A1407" s="914">
        <f>'House Count'!A1407</f>
        <v>0</v>
      </c>
      <c r="B1407" s="915">
        <f>'House Count'!E1407</f>
        <v>0</v>
      </c>
      <c r="C1407" s="915">
        <f>'House Count'!B1407</f>
        <v>0</v>
      </c>
      <c r="D1407" s="915">
        <f>'House Count'!C1407</f>
        <v>0</v>
      </c>
      <c r="E1407" s="915">
        <f>'House Count'!D1407</f>
        <v>0</v>
      </c>
      <c r="F1407" s="915" t="str">
        <f t="shared" si="21"/>
        <v/>
      </c>
      <c r="G1407" s="915">
        <f>'House Count'!F1407</f>
        <v>0</v>
      </c>
      <c r="H1407" s="915">
        <f>'House Count'!H1407</f>
        <v>0</v>
      </c>
    </row>
    <row r="1408" spans="1:8" x14ac:dyDescent="0.25">
      <c r="A1408" s="914">
        <f>'House Count'!A1408</f>
        <v>0</v>
      </c>
      <c r="B1408" s="915">
        <f>'House Count'!E1408</f>
        <v>0</v>
      </c>
      <c r="C1408" s="915">
        <f>'House Count'!B1408</f>
        <v>0</v>
      </c>
      <c r="D1408" s="915">
        <f>'House Count'!C1408</f>
        <v>0</v>
      </c>
      <c r="E1408" s="915">
        <f>'House Count'!D1408</f>
        <v>0</v>
      </c>
      <c r="F1408" s="915" t="str">
        <f t="shared" si="21"/>
        <v/>
      </c>
      <c r="G1408" s="915">
        <f>'House Count'!F1408</f>
        <v>0</v>
      </c>
      <c r="H1408" s="915">
        <f>'House Count'!H1408</f>
        <v>0</v>
      </c>
    </row>
    <row r="1409" spans="1:8" x14ac:dyDescent="0.25">
      <c r="A1409" s="914">
        <f>'House Count'!A1409</f>
        <v>0</v>
      </c>
      <c r="B1409" s="915">
        <f>'House Count'!E1409</f>
        <v>0</v>
      </c>
      <c r="C1409" s="915">
        <f>'House Count'!B1409</f>
        <v>0</v>
      </c>
      <c r="D1409" s="915">
        <f>'House Count'!C1409</f>
        <v>0</v>
      </c>
      <c r="E1409" s="915">
        <f>'House Count'!D1409</f>
        <v>0</v>
      </c>
      <c r="F1409" s="915" t="str">
        <f t="shared" si="21"/>
        <v/>
      </c>
      <c r="G1409" s="915">
        <f>'House Count'!F1409</f>
        <v>0</v>
      </c>
      <c r="H1409" s="915">
        <f>'House Count'!H1409</f>
        <v>0</v>
      </c>
    </row>
    <row r="1410" spans="1:8" x14ac:dyDescent="0.25">
      <c r="A1410" s="914">
        <f>'House Count'!A1410</f>
        <v>0</v>
      </c>
      <c r="B1410" s="915">
        <f>'House Count'!E1410</f>
        <v>0</v>
      </c>
      <c r="C1410" s="915">
        <f>'House Count'!B1410</f>
        <v>0</v>
      </c>
      <c r="D1410" s="915">
        <f>'House Count'!C1410</f>
        <v>0</v>
      </c>
      <c r="E1410" s="915">
        <f>'House Count'!D1410</f>
        <v>0</v>
      </c>
      <c r="F1410" s="915" t="str">
        <f t="shared" si="21"/>
        <v/>
      </c>
      <c r="G1410" s="915">
        <f>'House Count'!F1410</f>
        <v>0</v>
      </c>
      <c r="H1410" s="915">
        <f>'House Count'!H1410</f>
        <v>0</v>
      </c>
    </row>
    <row r="1411" spans="1:8" x14ac:dyDescent="0.25">
      <c r="A1411" s="914">
        <f>'House Count'!A1411</f>
        <v>0</v>
      </c>
      <c r="B1411" s="915">
        <f>'House Count'!E1411</f>
        <v>0</v>
      </c>
      <c r="C1411" s="915">
        <f>'House Count'!B1411</f>
        <v>0</v>
      </c>
      <c r="D1411" s="915">
        <f>'House Count'!C1411</f>
        <v>0</v>
      </c>
      <c r="E1411" s="915">
        <f>'House Count'!D1411</f>
        <v>0</v>
      </c>
      <c r="F1411" s="915" t="str">
        <f t="shared" ref="F1411:F1474" si="22">IF(G1411="RES-SFU","RESIDENTIAL",IF(G1411="RES-HOA","RESIDENTIAL",IF(G1411="RES-MDU","RESIDENTIAL",IF(G1411="COMM-SU","BUSINESS",IF(G1411="COM-MTU","BUSINESS",IF(G1411="ENT","BUSINESS",""))))))</f>
        <v/>
      </c>
      <c r="G1411" s="915">
        <f>'House Count'!F1411</f>
        <v>0</v>
      </c>
      <c r="H1411" s="915">
        <f>'House Count'!H1411</f>
        <v>0</v>
      </c>
    </row>
    <row r="1412" spans="1:8" x14ac:dyDescent="0.25">
      <c r="A1412" s="914">
        <f>'House Count'!A1412</f>
        <v>0</v>
      </c>
      <c r="B1412" s="915">
        <f>'House Count'!E1412</f>
        <v>0</v>
      </c>
      <c r="C1412" s="915">
        <f>'House Count'!B1412</f>
        <v>0</v>
      </c>
      <c r="D1412" s="915">
        <f>'House Count'!C1412</f>
        <v>0</v>
      </c>
      <c r="E1412" s="915">
        <f>'House Count'!D1412</f>
        <v>0</v>
      </c>
      <c r="F1412" s="915" t="str">
        <f t="shared" si="22"/>
        <v/>
      </c>
      <c r="G1412" s="915">
        <f>'House Count'!F1412</f>
        <v>0</v>
      </c>
      <c r="H1412" s="915">
        <f>'House Count'!H1412</f>
        <v>0</v>
      </c>
    </row>
    <row r="1413" spans="1:8" x14ac:dyDescent="0.25">
      <c r="A1413" s="914">
        <f>'House Count'!A1413</f>
        <v>0</v>
      </c>
      <c r="B1413" s="915">
        <f>'House Count'!E1413</f>
        <v>0</v>
      </c>
      <c r="C1413" s="915">
        <f>'House Count'!B1413</f>
        <v>0</v>
      </c>
      <c r="D1413" s="915">
        <f>'House Count'!C1413</f>
        <v>0</v>
      </c>
      <c r="E1413" s="915">
        <f>'House Count'!D1413</f>
        <v>0</v>
      </c>
      <c r="F1413" s="915" t="str">
        <f t="shared" si="22"/>
        <v/>
      </c>
      <c r="G1413" s="915">
        <f>'House Count'!F1413</f>
        <v>0</v>
      </c>
      <c r="H1413" s="915">
        <f>'House Count'!H1413</f>
        <v>0</v>
      </c>
    </row>
    <row r="1414" spans="1:8" x14ac:dyDescent="0.25">
      <c r="A1414" s="914">
        <f>'House Count'!A1414</f>
        <v>0</v>
      </c>
      <c r="B1414" s="915">
        <f>'House Count'!E1414</f>
        <v>0</v>
      </c>
      <c r="C1414" s="915">
        <f>'House Count'!B1414</f>
        <v>0</v>
      </c>
      <c r="D1414" s="915">
        <f>'House Count'!C1414</f>
        <v>0</v>
      </c>
      <c r="E1414" s="915">
        <f>'House Count'!D1414</f>
        <v>0</v>
      </c>
      <c r="F1414" s="915" t="str">
        <f t="shared" si="22"/>
        <v/>
      </c>
      <c r="G1414" s="915">
        <f>'House Count'!F1414</f>
        <v>0</v>
      </c>
      <c r="H1414" s="915">
        <f>'House Count'!H1414</f>
        <v>0</v>
      </c>
    </row>
    <row r="1415" spans="1:8" x14ac:dyDescent="0.25">
      <c r="A1415" s="914">
        <f>'House Count'!A1415</f>
        <v>0</v>
      </c>
      <c r="B1415" s="915">
        <f>'House Count'!E1415</f>
        <v>0</v>
      </c>
      <c r="C1415" s="915">
        <f>'House Count'!B1415</f>
        <v>0</v>
      </c>
      <c r="D1415" s="915">
        <f>'House Count'!C1415</f>
        <v>0</v>
      </c>
      <c r="E1415" s="915">
        <f>'House Count'!D1415</f>
        <v>0</v>
      </c>
      <c r="F1415" s="915" t="str">
        <f t="shared" si="22"/>
        <v/>
      </c>
      <c r="G1415" s="915">
        <f>'House Count'!F1415</f>
        <v>0</v>
      </c>
      <c r="H1415" s="915">
        <f>'House Count'!H1415</f>
        <v>0</v>
      </c>
    </row>
    <row r="1416" spans="1:8" x14ac:dyDescent="0.25">
      <c r="A1416" s="914">
        <f>'House Count'!A1416</f>
        <v>0</v>
      </c>
      <c r="B1416" s="915">
        <f>'House Count'!E1416</f>
        <v>0</v>
      </c>
      <c r="C1416" s="915">
        <f>'House Count'!B1416</f>
        <v>0</v>
      </c>
      <c r="D1416" s="915">
        <f>'House Count'!C1416</f>
        <v>0</v>
      </c>
      <c r="E1416" s="915">
        <f>'House Count'!D1416</f>
        <v>0</v>
      </c>
      <c r="F1416" s="915" t="str">
        <f t="shared" si="22"/>
        <v/>
      </c>
      <c r="G1416" s="915">
        <f>'House Count'!F1416</f>
        <v>0</v>
      </c>
      <c r="H1416" s="915">
        <f>'House Count'!H1416</f>
        <v>0</v>
      </c>
    </row>
    <row r="1417" spans="1:8" x14ac:dyDescent="0.25">
      <c r="A1417" s="914">
        <f>'House Count'!A1417</f>
        <v>0</v>
      </c>
      <c r="B1417" s="915">
        <f>'House Count'!E1417</f>
        <v>0</v>
      </c>
      <c r="C1417" s="915">
        <f>'House Count'!B1417</f>
        <v>0</v>
      </c>
      <c r="D1417" s="915">
        <f>'House Count'!C1417</f>
        <v>0</v>
      </c>
      <c r="E1417" s="915">
        <f>'House Count'!D1417</f>
        <v>0</v>
      </c>
      <c r="F1417" s="915" t="str">
        <f t="shared" si="22"/>
        <v/>
      </c>
      <c r="G1417" s="915">
        <f>'House Count'!F1417</f>
        <v>0</v>
      </c>
      <c r="H1417" s="915">
        <f>'House Count'!H1417</f>
        <v>0</v>
      </c>
    </row>
    <row r="1418" spans="1:8" x14ac:dyDescent="0.25">
      <c r="A1418" s="914">
        <f>'House Count'!A1418</f>
        <v>0</v>
      </c>
      <c r="B1418" s="915">
        <f>'House Count'!E1418</f>
        <v>0</v>
      </c>
      <c r="C1418" s="915">
        <f>'House Count'!B1418</f>
        <v>0</v>
      </c>
      <c r="D1418" s="915">
        <f>'House Count'!C1418</f>
        <v>0</v>
      </c>
      <c r="E1418" s="915">
        <f>'House Count'!D1418</f>
        <v>0</v>
      </c>
      <c r="F1418" s="915" t="str">
        <f t="shared" si="22"/>
        <v/>
      </c>
      <c r="G1418" s="915">
        <f>'House Count'!F1418</f>
        <v>0</v>
      </c>
      <c r="H1418" s="915">
        <f>'House Count'!H1418</f>
        <v>0</v>
      </c>
    </row>
    <row r="1419" spans="1:8" x14ac:dyDescent="0.25">
      <c r="A1419" s="914">
        <f>'House Count'!A1419</f>
        <v>0</v>
      </c>
      <c r="B1419" s="915">
        <f>'House Count'!E1419</f>
        <v>0</v>
      </c>
      <c r="C1419" s="915">
        <f>'House Count'!B1419</f>
        <v>0</v>
      </c>
      <c r="D1419" s="915">
        <f>'House Count'!C1419</f>
        <v>0</v>
      </c>
      <c r="E1419" s="915">
        <f>'House Count'!D1419</f>
        <v>0</v>
      </c>
      <c r="F1419" s="915" t="str">
        <f t="shared" si="22"/>
        <v/>
      </c>
      <c r="G1419" s="915">
        <f>'House Count'!F1419</f>
        <v>0</v>
      </c>
      <c r="H1419" s="915">
        <f>'House Count'!H1419</f>
        <v>0</v>
      </c>
    </row>
    <row r="1420" spans="1:8" x14ac:dyDescent="0.25">
      <c r="A1420" s="914">
        <f>'House Count'!A1420</f>
        <v>0</v>
      </c>
      <c r="B1420" s="915">
        <f>'House Count'!E1420</f>
        <v>0</v>
      </c>
      <c r="C1420" s="915">
        <f>'House Count'!B1420</f>
        <v>0</v>
      </c>
      <c r="D1420" s="915">
        <f>'House Count'!C1420</f>
        <v>0</v>
      </c>
      <c r="E1420" s="915">
        <f>'House Count'!D1420</f>
        <v>0</v>
      </c>
      <c r="F1420" s="915" t="str">
        <f t="shared" si="22"/>
        <v/>
      </c>
      <c r="G1420" s="915">
        <f>'House Count'!F1420</f>
        <v>0</v>
      </c>
      <c r="H1420" s="915">
        <f>'House Count'!H1420</f>
        <v>0</v>
      </c>
    </row>
    <row r="1421" spans="1:8" x14ac:dyDescent="0.25">
      <c r="A1421" s="914">
        <f>'House Count'!A1421</f>
        <v>0</v>
      </c>
      <c r="B1421" s="915">
        <f>'House Count'!E1421</f>
        <v>0</v>
      </c>
      <c r="C1421" s="915">
        <f>'House Count'!B1421</f>
        <v>0</v>
      </c>
      <c r="D1421" s="915">
        <f>'House Count'!C1421</f>
        <v>0</v>
      </c>
      <c r="E1421" s="915">
        <f>'House Count'!D1421</f>
        <v>0</v>
      </c>
      <c r="F1421" s="915" t="str">
        <f t="shared" si="22"/>
        <v/>
      </c>
      <c r="G1421" s="915">
        <f>'House Count'!F1421</f>
        <v>0</v>
      </c>
      <c r="H1421" s="915">
        <f>'House Count'!H1421</f>
        <v>0</v>
      </c>
    </row>
    <row r="1422" spans="1:8" x14ac:dyDescent="0.25">
      <c r="A1422" s="914">
        <f>'House Count'!A1422</f>
        <v>0</v>
      </c>
      <c r="B1422" s="915">
        <f>'House Count'!E1422</f>
        <v>0</v>
      </c>
      <c r="C1422" s="915">
        <f>'House Count'!B1422</f>
        <v>0</v>
      </c>
      <c r="D1422" s="915">
        <f>'House Count'!C1422</f>
        <v>0</v>
      </c>
      <c r="E1422" s="915">
        <f>'House Count'!D1422</f>
        <v>0</v>
      </c>
      <c r="F1422" s="915" t="str">
        <f t="shared" si="22"/>
        <v/>
      </c>
      <c r="G1422" s="915">
        <f>'House Count'!F1422</f>
        <v>0</v>
      </c>
      <c r="H1422" s="915">
        <f>'House Count'!H1422</f>
        <v>0</v>
      </c>
    </row>
    <row r="1423" spans="1:8" x14ac:dyDescent="0.25">
      <c r="A1423" s="914">
        <f>'House Count'!A1423</f>
        <v>0</v>
      </c>
      <c r="B1423" s="915">
        <f>'House Count'!E1423</f>
        <v>0</v>
      </c>
      <c r="C1423" s="915">
        <f>'House Count'!B1423</f>
        <v>0</v>
      </c>
      <c r="D1423" s="915">
        <f>'House Count'!C1423</f>
        <v>0</v>
      </c>
      <c r="E1423" s="915">
        <f>'House Count'!D1423</f>
        <v>0</v>
      </c>
      <c r="F1423" s="915" t="str">
        <f t="shared" si="22"/>
        <v/>
      </c>
      <c r="G1423" s="915">
        <f>'House Count'!F1423</f>
        <v>0</v>
      </c>
      <c r="H1423" s="915">
        <f>'House Count'!H1423</f>
        <v>0</v>
      </c>
    </row>
    <row r="1424" spans="1:8" x14ac:dyDescent="0.25">
      <c r="A1424" s="914">
        <f>'House Count'!A1424</f>
        <v>0</v>
      </c>
      <c r="B1424" s="915">
        <f>'House Count'!E1424</f>
        <v>0</v>
      </c>
      <c r="C1424" s="915">
        <f>'House Count'!B1424</f>
        <v>0</v>
      </c>
      <c r="D1424" s="915">
        <f>'House Count'!C1424</f>
        <v>0</v>
      </c>
      <c r="E1424" s="915">
        <f>'House Count'!D1424</f>
        <v>0</v>
      </c>
      <c r="F1424" s="915" t="str">
        <f t="shared" si="22"/>
        <v/>
      </c>
      <c r="G1424" s="915">
        <f>'House Count'!F1424</f>
        <v>0</v>
      </c>
      <c r="H1424" s="915">
        <f>'House Count'!H1424</f>
        <v>0</v>
      </c>
    </row>
    <row r="1425" spans="1:8" x14ac:dyDescent="0.25">
      <c r="A1425" s="914">
        <f>'House Count'!A1425</f>
        <v>0</v>
      </c>
      <c r="B1425" s="915">
        <f>'House Count'!E1425</f>
        <v>0</v>
      </c>
      <c r="C1425" s="915">
        <f>'House Count'!B1425</f>
        <v>0</v>
      </c>
      <c r="D1425" s="915">
        <f>'House Count'!C1425</f>
        <v>0</v>
      </c>
      <c r="E1425" s="915">
        <f>'House Count'!D1425</f>
        <v>0</v>
      </c>
      <c r="F1425" s="915" t="str">
        <f t="shared" si="22"/>
        <v/>
      </c>
      <c r="G1425" s="915">
        <f>'House Count'!F1425</f>
        <v>0</v>
      </c>
      <c r="H1425" s="915">
        <f>'House Count'!H1425</f>
        <v>0</v>
      </c>
    </row>
    <row r="1426" spans="1:8" x14ac:dyDescent="0.25">
      <c r="A1426" s="914">
        <f>'House Count'!A1426</f>
        <v>0</v>
      </c>
      <c r="B1426" s="915">
        <f>'House Count'!E1426</f>
        <v>0</v>
      </c>
      <c r="C1426" s="915">
        <f>'House Count'!B1426</f>
        <v>0</v>
      </c>
      <c r="D1426" s="915">
        <f>'House Count'!C1426</f>
        <v>0</v>
      </c>
      <c r="E1426" s="915">
        <f>'House Count'!D1426</f>
        <v>0</v>
      </c>
      <c r="F1426" s="915" t="str">
        <f t="shared" si="22"/>
        <v/>
      </c>
      <c r="G1426" s="915">
        <f>'House Count'!F1426</f>
        <v>0</v>
      </c>
      <c r="H1426" s="915">
        <f>'House Count'!H1426</f>
        <v>0</v>
      </c>
    </row>
    <row r="1427" spans="1:8" x14ac:dyDescent="0.25">
      <c r="A1427" s="914">
        <f>'House Count'!A1427</f>
        <v>0</v>
      </c>
      <c r="B1427" s="915">
        <f>'House Count'!E1427</f>
        <v>0</v>
      </c>
      <c r="C1427" s="915">
        <f>'House Count'!B1427</f>
        <v>0</v>
      </c>
      <c r="D1427" s="915">
        <f>'House Count'!C1427</f>
        <v>0</v>
      </c>
      <c r="E1427" s="915">
        <f>'House Count'!D1427</f>
        <v>0</v>
      </c>
      <c r="F1427" s="915" t="str">
        <f t="shared" si="22"/>
        <v/>
      </c>
      <c r="G1427" s="915">
        <f>'House Count'!F1427</f>
        <v>0</v>
      </c>
      <c r="H1427" s="915">
        <f>'House Count'!H1427</f>
        <v>0</v>
      </c>
    </row>
    <row r="1428" spans="1:8" x14ac:dyDescent="0.25">
      <c r="A1428" s="914">
        <f>'House Count'!A1428</f>
        <v>0</v>
      </c>
      <c r="B1428" s="915">
        <f>'House Count'!E1428</f>
        <v>0</v>
      </c>
      <c r="C1428" s="915">
        <f>'House Count'!B1428</f>
        <v>0</v>
      </c>
      <c r="D1428" s="915">
        <f>'House Count'!C1428</f>
        <v>0</v>
      </c>
      <c r="E1428" s="915">
        <f>'House Count'!D1428</f>
        <v>0</v>
      </c>
      <c r="F1428" s="915" t="str">
        <f t="shared" si="22"/>
        <v/>
      </c>
      <c r="G1428" s="915">
        <f>'House Count'!F1428</f>
        <v>0</v>
      </c>
      <c r="H1428" s="915">
        <f>'House Count'!H1428</f>
        <v>0</v>
      </c>
    </row>
    <row r="1429" spans="1:8" x14ac:dyDescent="0.25">
      <c r="A1429" s="914">
        <f>'House Count'!A1429</f>
        <v>0</v>
      </c>
      <c r="B1429" s="915">
        <f>'House Count'!E1429</f>
        <v>0</v>
      </c>
      <c r="C1429" s="915">
        <f>'House Count'!B1429</f>
        <v>0</v>
      </c>
      <c r="D1429" s="915">
        <f>'House Count'!C1429</f>
        <v>0</v>
      </c>
      <c r="E1429" s="915">
        <f>'House Count'!D1429</f>
        <v>0</v>
      </c>
      <c r="F1429" s="915" t="str">
        <f t="shared" si="22"/>
        <v/>
      </c>
      <c r="G1429" s="915">
        <f>'House Count'!F1429</f>
        <v>0</v>
      </c>
      <c r="H1429" s="915">
        <f>'House Count'!H1429</f>
        <v>0</v>
      </c>
    </row>
    <row r="1430" spans="1:8" x14ac:dyDescent="0.25">
      <c r="A1430" s="914">
        <f>'House Count'!A1430</f>
        <v>0</v>
      </c>
      <c r="B1430" s="915">
        <f>'House Count'!E1430</f>
        <v>0</v>
      </c>
      <c r="C1430" s="915">
        <f>'House Count'!B1430</f>
        <v>0</v>
      </c>
      <c r="D1430" s="915">
        <f>'House Count'!C1430</f>
        <v>0</v>
      </c>
      <c r="E1430" s="915">
        <f>'House Count'!D1430</f>
        <v>0</v>
      </c>
      <c r="F1430" s="915" t="str">
        <f t="shared" si="22"/>
        <v/>
      </c>
      <c r="G1430" s="915">
        <f>'House Count'!F1430</f>
        <v>0</v>
      </c>
      <c r="H1430" s="915">
        <f>'House Count'!H1430</f>
        <v>0</v>
      </c>
    </row>
    <row r="1431" spans="1:8" x14ac:dyDescent="0.25">
      <c r="A1431" s="914">
        <f>'House Count'!A1431</f>
        <v>0</v>
      </c>
      <c r="B1431" s="915">
        <f>'House Count'!E1431</f>
        <v>0</v>
      </c>
      <c r="C1431" s="915">
        <f>'House Count'!B1431</f>
        <v>0</v>
      </c>
      <c r="D1431" s="915">
        <f>'House Count'!C1431</f>
        <v>0</v>
      </c>
      <c r="E1431" s="915">
        <f>'House Count'!D1431</f>
        <v>0</v>
      </c>
      <c r="F1431" s="915" t="str">
        <f t="shared" si="22"/>
        <v/>
      </c>
      <c r="G1431" s="915">
        <f>'House Count'!F1431</f>
        <v>0</v>
      </c>
      <c r="H1431" s="915">
        <f>'House Count'!H1431</f>
        <v>0</v>
      </c>
    </row>
    <row r="1432" spans="1:8" x14ac:dyDescent="0.25">
      <c r="A1432" s="914">
        <f>'House Count'!A1432</f>
        <v>0</v>
      </c>
      <c r="B1432" s="915">
        <f>'House Count'!E1432</f>
        <v>0</v>
      </c>
      <c r="C1432" s="915">
        <f>'House Count'!B1432</f>
        <v>0</v>
      </c>
      <c r="D1432" s="915">
        <f>'House Count'!C1432</f>
        <v>0</v>
      </c>
      <c r="E1432" s="915">
        <f>'House Count'!D1432</f>
        <v>0</v>
      </c>
      <c r="F1432" s="915" t="str">
        <f t="shared" si="22"/>
        <v/>
      </c>
      <c r="G1432" s="915">
        <f>'House Count'!F1432</f>
        <v>0</v>
      </c>
      <c r="H1432" s="915">
        <f>'House Count'!H1432</f>
        <v>0</v>
      </c>
    </row>
    <row r="1433" spans="1:8" x14ac:dyDescent="0.25">
      <c r="A1433" s="914">
        <f>'House Count'!A1433</f>
        <v>0</v>
      </c>
      <c r="B1433" s="915">
        <f>'House Count'!E1433</f>
        <v>0</v>
      </c>
      <c r="C1433" s="915">
        <f>'House Count'!B1433</f>
        <v>0</v>
      </c>
      <c r="D1433" s="915">
        <f>'House Count'!C1433</f>
        <v>0</v>
      </c>
      <c r="E1433" s="915">
        <f>'House Count'!D1433</f>
        <v>0</v>
      </c>
      <c r="F1433" s="915" t="str">
        <f t="shared" si="22"/>
        <v/>
      </c>
      <c r="G1433" s="915">
        <f>'House Count'!F1433</f>
        <v>0</v>
      </c>
      <c r="H1433" s="915">
        <f>'House Count'!H1433</f>
        <v>0</v>
      </c>
    </row>
    <row r="1434" spans="1:8" x14ac:dyDescent="0.25">
      <c r="A1434" s="914">
        <f>'House Count'!A1434</f>
        <v>0</v>
      </c>
      <c r="B1434" s="915">
        <f>'House Count'!E1434</f>
        <v>0</v>
      </c>
      <c r="C1434" s="915">
        <f>'House Count'!B1434</f>
        <v>0</v>
      </c>
      <c r="D1434" s="915">
        <f>'House Count'!C1434</f>
        <v>0</v>
      </c>
      <c r="E1434" s="915">
        <f>'House Count'!D1434</f>
        <v>0</v>
      </c>
      <c r="F1434" s="915" t="str">
        <f t="shared" si="22"/>
        <v/>
      </c>
      <c r="G1434" s="915">
        <f>'House Count'!F1434</f>
        <v>0</v>
      </c>
      <c r="H1434" s="915">
        <f>'House Count'!H1434</f>
        <v>0</v>
      </c>
    </row>
    <row r="1435" spans="1:8" x14ac:dyDescent="0.25">
      <c r="A1435" s="914">
        <f>'House Count'!A1435</f>
        <v>0</v>
      </c>
      <c r="B1435" s="915">
        <f>'House Count'!E1435</f>
        <v>0</v>
      </c>
      <c r="C1435" s="915">
        <f>'House Count'!B1435</f>
        <v>0</v>
      </c>
      <c r="D1435" s="915">
        <f>'House Count'!C1435</f>
        <v>0</v>
      </c>
      <c r="E1435" s="915">
        <f>'House Count'!D1435</f>
        <v>0</v>
      </c>
      <c r="F1435" s="915" t="str">
        <f t="shared" si="22"/>
        <v/>
      </c>
      <c r="G1435" s="915">
        <f>'House Count'!F1435</f>
        <v>0</v>
      </c>
      <c r="H1435" s="915">
        <f>'House Count'!H1435</f>
        <v>0</v>
      </c>
    </row>
    <row r="1436" spans="1:8" x14ac:dyDescent="0.25">
      <c r="A1436" s="914">
        <f>'House Count'!A1436</f>
        <v>0</v>
      </c>
      <c r="B1436" s="915">
        <f>'House Count'!E1436</f>
        <v>0</v>
      </c>
      <c r="C1436" s="915">
        <f>'House Count'!B1436</f>
        <v>0</v>
      </c>
      <c r="D1436" s="915">
        <f>'House Count'!C1436</f>
        <v>0</v>
      </c>
      <c r="E1436" s="915">
        <f>'House Count'!D1436</f>
        <v>0</v>
      </c>
      <c r="F1436" s="915" t="str">
        <f t="shared" si="22"/>
        <v/>
      </c>
      <c r="G1436" s="915">
        <f>'House Count'!F1436</f>
        <v>0</v>
      </c>
      <c r="H1436" s="915">
        <f>'House Count'!H1436</f>
        <v>0</v>
      </c>
    </row>
    <row r="1437" spans="1:8" x14ac:dyDescent="0.25">
      <c r="A1437" s="914">
        <f>'House Count'!A1437</f>
        <v>0</v>
      </c>
      <c r="B1437" s="915">
        <f>'House Count'!E1437</f>
        <v>0</v>
      </c>
      <c r="C1437" s="915">
        <f>'House Count'!B1437</f>
        <v>0</v>
      </c>
      <c r="D1437" s="915">
        <f>'House Count'!C1437</f>
        <v>0</v>
      </c>
      <c r="E1437" s="915">
        <f>'House Count'!D1437</f>
        <v>0</v>
      </c>
      <c r="F1437" s="915" t="str">
        <f t="shared" si="22"/>
        <v/>
      </c>
      <c r="G1437" s="915">
        <f>'House Count'!F1437</f>
        <v>0</v>
      </c>
      <c r="H1437" s="915">
        <f>'House Count'!H1437</f>
        <v>0</v>
      </c>
    </row>
    <row r="1438" spans="1:8" x14ac:dyDescent="0.25">
      <c r="A1438" s="914">
        <f>'House Count'!A1438</f>
        <v>0</v>
      </c>
      <c r="B1438" s="915">
        <f>'House Count'!E1438</f>
        <v>0</v>
      </c>
      <c r="C1438" s="915">
        <f>'House Count'!B1438</f>
        <v>0</v>
      </c>
      <c r="D1438" s="915">
        <f>'House Count'!C1438</f>
        <v>0</v>
      </c>
      <c r="E1438" s="915">
        <f>'House Count'!D1438</f>
        <v>0</v>
      </c>
      <c r="F1438" s="915" t="str">
        <f t="shared" si="22"/>
        <v/>
      </c>
      <c r="G1438" s="915">
        <f>'House Count'!F1438</f>
        <v>0</v>
      </c>
      <c r="H1438" s="915">
        <f>'House Count'!H1438</f>
        <v>0</v>
      </c>
    </row>
    <row r="1439" spans="1:8" x14ac:dyDescent="0.25">
      <c r="A1439" s="914">
        <f>'House Count'!A1439</f>
        <v>0</v>
      </c>
      <c r="B1439" s="915">
        <f>'House Count'!E1439</f>
        <v>0</v>
      </c>
      <c r="C1439" s="915">
        <f>'House Count'!B1439</f>
        <v>0</v>
      </c>
      <c r="D1439" s="915">
        <f>'House Count'!C1439</f>
        <v>0</v>
      </c>
      <c r="E1439" s="915">
        <f>'House Count'!D1439</f>
        <v>0</v>
      </c>
      <c r="F1439" s="915" t="str">
        <f t="shared" si="22"/>
        <v/>
      </c>
      <c r="G1439" s="915">
        <f>'House Count'!F1439</f>
        <v>0</v>
      </c>
      <c r="H1439" s="915">
        <f>'House Count'!H1439</f>
        <v>0</v>
      </c>
    </row>
    <row r="1440" spans="1:8" x14ac:dyDescent="0.25">
      <c r="A1440" s="914">
        <f>'House Count'!A1440</f>
        <v>0</v>
      </c>
      <c r="B1440" s="915">
        <f>'House Count'!E1440</f>
        <v>0</v>
      </c>
      <c r="C1440" s="915">
        <f>'House Count'!B1440</f>
        <v>0</v>
      </c>
      <c r="D1440" s="915">
        <f>'House Count'!C1440</f>
        <v>0</v>
      </c>
      <c r="E1440" s="915">
        <f>'House Count'!D1440</f>
        <v>0</v>
      </c>
      <c r="F1440" s="915" t="str">
        <f t="shared" si="22"/>
        <v/>
      </c>
      <c r="G1440" s="915">
        <f>'House Count'!F1440</f>
        <v>0</v>
      </c>
      <c r="H1440" s="915">
        <f>'House Count'!H1440</f>
        <v>0</v>
      </c>
    </row>
    <row r="1441" spans="1:8" x14ac:dyDescent="0.25">
      <c r="A1441" s="914">
        <f>'House Count'!A1441</f>
        <v>0</v>
      </c>
      <c r="B1441" s="915">
        <f>'House Count'!E1441</f>
        <v>0</v>
      </c>
      <c r="C1441" s="915">
        <f>'House Count'!B1441</f>
        <v>0</v>
      </c>
      <c r="D1441" s="915">
        <f>'House Count'!C1441</f>
        <v>0</v>
      </c>
      <c r="E1441" s="915">
        <f>'House Count'!D1441</f>
        <v>0</v>
      </c>
      <c r="F1441" s="915" t="str">
        <f t="shared" si="22"/>
        <v/>
      </c>
      <c r="G1441" s="915">
        <f>'House Count'!F1441</f>
        <v>0</v>
      </c>
      <c r="H1441" s="915">
        <f>'House Count'!H1441</f>
        <v>0</v>
      </c>
    </row>
    <row r="1442" spans="1:8" x14ac:dyDescent="0.25">
      <c r="A1442" s="914">
        <f>'House Count'!A1442</f>
        <v>0</v>
      </c>
      <c r="B1442" s="915">
        <f>'House Count'!E1442</f>
        <v>0</v>
      </c>
      <c r="C1442" s="915">
        <f>'House Count'!B1442</f>
        <v>0</v>
      </c>
      <c r="D1442" s="915">
        <f>'House Count'!C1442</f>
        <v>0</v>
      </c>
      <c r="E1442" s="915">
        <f>'House Count'!D1442</f>
        <v>0</v>
      </c>
      <c r="F1442" s="915" t="str">
        <f t="shared" si="22"/>
        <v/>
      </c>
      <c r="G1442" s="915">
        <f>'House Count'!F1442</f>
        <v>0</v>
      </c>
      <c r="H1442" s="915">
        <f>'House Count'!H1442</f>
        <v>0</v>
      </c>
    </row>
    <row r="1443" spans="1:8" x14ac:dyDescent="0.25">
      <c r="A1443" s="914">
        <f>'House Count'!A1443</f>
        <v>0</v>
      </c>
      <c r="B1443" s="915">
        <f>'House Count'!E1443</f>
        <v>0</v>
      </c>
      <c r="C1443" s="915">
        <f>'House Count'!B1443</f>
        <v>0</v>
      </c>
      <c r="D1443" s="915">
        <f>'House Count'!C1443</f>
        <v>0</v>
      </c>
      <c r="E1443" s="915">
        <f>'House Count'!D1443</f>
        <v>0</v>
      </c>
      <c r="F1443" s="915" t="str">
        <f t="shared" si="22"/>
        <v/>
      </c>
      <c r="G1443" s="915">
        <f>'House Count'!F1443</f>
        <v>0</v>
      </c>
      <c r="H1443" s="915">
        <f>'House Count'!H1443</f>
        <v>0</v>
      </c>
    </row>
    <row r="1444" spans="1:8" x14ac:dyDescent="0.25">
      <c r="A1444" s="914">
        <f>'House Count'!A1444</f>
        <v>0</v>
      </c>
      <c r="B1444" s="915">
        <f>'House Count'!E1444</f>
        <v>0</v>
      </c>
      <c r="C1444" s="915">
        <f>'House Count'!B1444</f>
        <v>0</v>
      </c>
      <c r="D1444" s="915">
        <f>'House Count'!C1444</f>
        <v>0</v>
      </c>
      <c r="E1444" s="915">
        <f>'House Count'!D1444</f>
        <v>0</v>
      </c>
      <c r="F1444" s="915" t="str">
        <f t="shared" si="22"/>
        <v/>
      </c>
      <c r="G1444" s="915">
        <f>'House Count'!F1444</f>
        <v>0</v>
      </c>
      <c r="H1444" s="915">
        <f>'House Count'!H1444</f>
        <v>0</v>
      </c>
    </row>
    <row r="1445" spans="1:8" x14ac:dyDescent="0.25">
      <c r="A1445" s="914">
        <f>'House Count'!A1445</f>
        <v>0</v>
      </c>
      <c r="B1445" s="915">
        <f>'House Count'!E1445</f>
        <v>0</v>
      </c>
      <c r="C1445" s="915">
        <f>'House Count'!B1445</f>
        <v>0</v>
      </c>
      <c r="D1445" s="915">
        <f>'House Count'!C1445</f>
        <v>0</v>
      </c>
      <c r="E1445" s="915">
        <f>'House Count'!D1445</f>
        <v>0</v>
      </c>
      <c r="F1445" s="915" t="str">
        <f t="shared" si="22"/>
        <v/>
      </c>
      <c r="G1445" s="915">
        <f>'House Count'!F1445</f>
        <v>0</v>
      </c>
      <c r="H1445" s="915">
        <f>'House Count'!H1445</f>
        <v>0</v>
      </c>
    </row>
    <row r="1446" spans="1:8" x14ac:dyDescent="0.25">
      <c r="A1446" s="914">
        <f>'House Count'!A1446</f>
        <v>0</v>
      </c>
      <c r="B1446" s="915">
        <f>'House Count'!E1446</f>
        <v>0</v>
      </c>
      <c r="C1446" s="915">
        <f>'House Count'!B1446</f>
        <v>0</v>
      </c>
      <c r="D1446" s="915">
        <f>'House Count'!C1446</f>
        <v>0</v>
      </c>
      <c r="E1446" s="915">
        <f>'House Count'!D1446</f>
        <v>0</v>
      </c>
      <c r="F1446" s="915" t="str">
        <f t="shared" si="22"/>
        <v/>
      </c>
      <c r="G1446" s="915">
        <f>'House Count'!F1446</f>
        <v>0</v>
      </c>
      <c r="H1446" s="915">
        <f>'House Count'!H1446</f>
        <v>0</v>
      </c>
    </row>
    <row r="1447" spans="1:8" x14ac:dyDescent="0.25">
      <c r="A1447" s="914">
        <f>'House Count'!A1447</f>
        <v>0</v>
      </c>
      <c r="B1447" s="915">
        <f>'House Count'!E1447</f>
        <v>0</v>
      </c>
      <c r="C1447" s="915">
        <f>'House Count'!B1447</f>
        <v>0</v>
      </c>
      <c r="D1447" s="915">
        <f>'House Count'!C1447</f>
        <v>0</v>
      </c>
      <c r="E1447" s="915">
        <f>'House Count'!D1447</f>
        <v>0</v>
      </c>
      <c r="F1447" s="915" t="str">
        <f t="shared" si="22"/>
        <v/>
      </c>
      <c r="G1447" s="915">
        <f>'House Count'!F1447</f>
        <v>0</v>
      </c>
      <c r="H1447" s="915">
        <f>'House Count'!H1447</f>
        <v>0</v>
      </c>
    </row>
    <row r="1448" spans="1:8" x14ac:dyDescent="0.25">
      <c r="A1448" s="914">
        <f>'House Count'!A1448</f>
        <v>0</v>
      </c>
      <c r="B1448" s="915">
        <f>'House Count'!E1448</f>
        <v>0</v>
      </c>
      <c r="C1448" s="915">
        <f>'House Count'!B1448</f>
        <v>0</v>
      </c>
      <c r="D1448" s="915">
        <f>'House Count'!C1448</f>
        <v>0</v>
      </c>
      <c r="E1448" s="915">
        <f>'House Count'!D1448</f>
        <v>0</v>
      </c>
      <c r="F1448" s="915" t="str">
        <f t="shared" si="22"/>
        <v/>
      </c>
      <c r="G1448" s="915">
        <f>'House Count'!F1448</f>
        <v>0</v>
      </c>
      <c r="H1448" s="915">
        <f>'House Count'!H1448</f>
        <v>0</v>
      </c>
    </row>
    <row r="1449" spans="1:8" x14ac:dyDescent="0.25">
      <c r="A1449" s="914">
        <f>'House Count'!A1449</f>
        <v>0</v>
      </c>
      <c r="B1449" s="915">
        <f>'House Count'!E1449</f>
        <v>0</v>
      </c>
      <c r="C1449" s="915">
        <f>'House Count'!B1449</f>
        <v>0</v>
      </c>
      <c r="D1449" s="915">
        <f>'House Count'!C1449</f>
        <v>0</v>
      </c>
      <c r="E1449" s="915">
        <f>'House Count'!D1449</f>
        <v>0</v>
      </c>
      <c r="F1449" s="915" t="str">
        <f t="shared" si="22"/>
        <v/>
      </c>
      <c r="G1449" s="915">
        <f>'House Count'!F1449</f>
        <v>0</v>
      </c>
      <c r="H1449" s="915">
        <f>'House Count'!H1449</f>
        <v>0</v>
      </c>
    </row>
    <row r="1450" spans="1:8" x14ac:dyDescent="0.25">
      <c r="A1450" s="914">
        <f>'House Count'!A1450</f>
        <v>0</v>
      </c>
      <c r="B1450" s="915">
        <f>'House Count'!E1450</f>
        <v>0</v>
      </c>
      <c r="C1450" s="915">
        <f>'House Count'!B1450</f>
        <v>0</v>
      </c>
      <c r="D1450" s="915">
        <f>'House Count'!C1450</f>
        <v>0</v>
      </c>
      <c r="E1450" s="915">
        <f>'House Count'!D1450</f>
        <v>0</v>
      </c>
      <c r="F1450" s="915" t="str">
        <f t="shared" si="22"/>
        <v/>
      </c>
      <c r="G1450" s="915">
        <f>'House Count'!F1450</f>
        <v>0</v>
      </c>
      <c r="H1450" s="915">
        <f>'House Count'!H1450</f>
        <v>0</v>
      </c>
    </row>
    <row r="1451" spans="1:8" x14ac:dyDescent="0.25">
      <c r="A1451" s="914">
        <f>'House Count'!A1451</f>
        <v>0</v>
      </c>
      <c r="B1451" s="915">
        <f>'House Count'!E1451</f>
        <v>0</v>
      </c>
      <c r="C1451" s="915">
        <f>'House Count'!B1451</f>
        <v>0</v>
      </c>
      <c r="D1451" s="915">
        <f>'House Count'!C1451</f>
        <v>0</v>
      </c>
      <c r="E1451" s="915">
        <f>'House Count'!D1451</f>
        <v>0</v>
      </c>
      <c r="F1451" s="915" t="str">
        <f t="shared" si="22"/>
        <v/>
      </c>
      <c r="G1451" s="915">
        <f>'House Count'!F1451</f>
        <v>0</v>
      </c>
      <c r="H1451" s="915">
        <f>'House Count'!H1451</f>
        <v>0</v>
      </c>
    </row>
    <row r="1452" spans="1:8" x14ac:dyDescent="0.25">
      <c r="A1452" s="914">
        <f>'House Count'!A1452</f>
        <v>0</v>
      </c>
      <c r="B1452" s="915">
        <f>'House Count'!E1452</f>
        <v>0</v>
      </c>
      <c r="C1452" s="915">
        <f>'House Count'!B1452</f>
        <v>0</v>
      </c>
      <c r="D1452" s="915">
        <f>'House Count'!C1452</f>
        <v>0</v>
      </c>
      <c r="E1452" s="915">
        <f>'House Count'!D1452</f>
        <v>0</v>
      </c>
      <c r="F1452" s="915" t="str">
        <f t="shared" si="22"/>
        <v/>
      </c>
      <c r="G1452" s="915">
        <f>'House Count'!F1452</f>
        <v>0</v>
      </c>
      <c r="H1452" s="915">
        <f>'House Count'!H1452</f>
        <v>0</v>
      </c>
    </row>
    <row r="1453" spans="1:8" x14ac:dyDescent="0.25">
      <c r="A1453" s="914">
        <f>'House Count'!A1453</f>
        <v>0</v>
      </c>
      <c r="B1453" s="915">
        <f>'House Count'!E1453</f>
        <v>0</v>
      </c>
      <c r="C1453" s="915">
        <f>'House Count'!B1453</f>
        <v>0</v>
      </c>
      <c r="D1453" s="915">
        <f>'House Count'!C1453</f>
        <v>0</v>
      </c>
      <c r="E1453" s="915">
        <f>'House Count'!D1453</f>
        <v>0</v>
      </c>
      <c r="F1453" s="915" t="str">
        <f t="shared" si="22"/>
        <v/>
      </c>
      <c r="G1453" s="915">
        <f>'House Count'!F1453</f>
        <v>0</v>
      </c>
      <c r="H1453" s="915">
        <f>'House Count'!H1453</f>
        <v>0</v>
      </c>
    </row>
    <row r="1454" spans="1:8" x14ac:dyDescent="0.25">
      <c r="A1454" s="914">
        <f>'House Count'!A1454</f>
        <v>0</v>
      </c>
      <c r="B1454" s="915">
        <f>'House Count'!E1454</f>
        <v>0</v>
      </c>
      <c r="C1454" s="915">
        <f>'House Count'!B1454</f>
        <v>0</v>
      </c>
      <c r="D1454" s="915">
        <f>'House Count'!C1454</f>
        <v>0</v>
      </c>
      <c r="E1454" s="915">
        <f>'House Count'!D1454</f>
        <v>0</v>
      </c>
      <c r="F1454" s="915" t="str">
        <f t="shared" si="22"/>
        <v/>
      </c>
      <c r="G1454" s="915">
        <f>'House Count'!F1454</f>
        <v>0</v>
      </c>
      <c r="H1454" s="915">
        <f>'House Count'!H1454</f>
        <v>0</v>
      </c>
    </row>
    <row r="1455" spans="1:8" x14ac:dyDescent="0.25">
      <c r="A1455" s="914">
        <f>'House Count'!A1455</f>
        <v>0</v>
      </c>
      <c r="B1455" s="915">
        <f>'House Count'!E1455</f>
        <v>0</v>
      </c>
      <c r="C1455" s="915">
        <f>'House Count'!B1455</f>
        <v>0</v>
      </c>
      <c r="D1455" s="915">
        <f>'House Count'!C1455</f>
        <v>0</v>
      </c>
      <c r="E1455" s="915">
        <f>'House Count'!D1455</f>
        <v>0</v>
      </c>
      <c r="F1455" s="915" t="str">
        <f t="shared" si="22"/>
        <v/>
      </c>
      <c r="G1455" s="915">
        <f>'House Count'!F1455</f>
        <v>0</v>
      </c>
      <c r="H1455" s="915">
        <f>'House Count'!H1455</f>
        <v>0</v>
      </c>
    </row>
    <row r="1456" spans="1:8" x14ac:dyDescent="0.25">
      <c r="A1456" s="914">
        <f>'House Count'!A1456</f>
        <v>0</v>
      </c>
      <c r="B1456" s="915">
        <f>'House Count'!E1456</f>
        <v>0</v>
      </c>
      <c r="C1456" s="915">
        <f>'House Count'!B1456</f>
        <v>0</v>
      </c>
      <c r="D1456" s="915">
        <f>'House Count'!C1456</f>
        <v>0</v>
      </c>
      <c r="E1456" s="915">
        <f>'House Count'!D1456</f>
        <v>0</v>
      </c>
      <c r="F1456" s="915" t="str">
        <f t="shared" si="22"/>
        <v/>
      </c>
      <c r="G1456" s="915">
        <f>'House Count'!F1456</f>
        <v>0</v>
      </c>
      <c r="H1456" s="915">
        <f>'House Count'!H1456</f>
        <v>0</v>
      </c>
    </row>
    <row r="1457" spans="1:8" x14ac:dyDescent="0.25">
      <c r="A1457" s="914">
        <f>'House Count'!A1457</f>
        <v>0</v>
      </c>
      <c r="B1457" s="915">
        <f>'House Count'!E1457</f>
        <v>0</v>
      </c>
      <c r="C1457" s="915">
        <f>'House Count'!B1457</f>
        <v>0</v>
      </c>
      <c r="D1457" s="915">
        <f>'House Count'!C1457</f>
        <v>0</v>
      </c>
      <c r="E1457" s="915">
        <f>'House Count'!D1457</f>
        <v>0</v>
      </c>
      <c r="F1457" s="915" t="str">
        <f t="shared" si="22"/>
        <v/>
      </c>
      <c r="G1457" s="915">
        <f>'House Count'!F1457</f>
        <v>0</v>
      </c>
      <c r="H1457" s="915">
        <f>'House Count'!H1457</f>
        <v>0</v>
      </c>
    </row>
    <row r="1458" spans="1:8" x14ac:dyDescent="0.25">
      <c r="A1458" s="914">
        <f>'House Count'!A1458</f>
        <v>0</v>
      </c>
      <c r="B1458" s="915">
        <f>'House Count'!E1458</f>
        <v>0</v>
      </c>
      <c r="C1458" s="915">
        <f>'House Count'!B1458</f>
        <v>0</v>
      </c>
      <c r="D1458" s="915">
        <f>'House Count'!C1458</f>
        <v>0</v>
      </c>
      <c r="E1458" s="915">
        <f>'House Count'!D1458</f>
        <v>0</v>
      </c>
      <c r="F1458" s="915" t="str">
        <f t="shared" si="22"/>
        <v/>
      </c>
      <c r="G1458" s="915">
        <f>'House Count'!F1458</f>
        <v>0</v>
      </c>
      <c r="H1458" s="915">
        <f>'House Count'!H1458</f>
        <v>0</v>
      </c>
    </row>
    <row r="1459" spans="1:8" x14ac:dyDescent="0.25">
      <c r="A1459" s="914">
        <f>'House Count'!A1459</f>
        <v>0</v>
      </c>
      <c r="B1459" s="915">
        <f>'House Count'!E1459</f>
        <v>0</v>
      </c>
      <c r="C1459" s="915">
        <f>'House Count'!B1459</f>
        <v>0</v>
      </c>
      <c r="D1459" s="915">
        <f>'House Count'!C1459</f>
        <v>0</v>
      </c>
      <c r="E1459" s="915">
        <f>'House Count'!D1459</f>
        <v>0</v>
      </c>
      <c r="F1459" s="915" t="str">
        <f t="shared" si="22"/>
        <v/>
      </c>
      <c r="G1459" s="915">
        <f>'House Count'!F1459</f>
        <v>0</v>
      </c>
      <c r="H1459" s="915">
        <f>'House Count'!H1459</f>
        <v>0</v>
      </c>
    </row>
    <row r="1460" spans="1:8" x14ac:dyDescent="0.25">
      <c r="A1460" s="914">
        <f>'House Count'!A1460</f>
        <v>0</v>
      </c>
      <c r="B1460" s="915">
        <f>'House Count'!E1460</f>
        <v>0</v>
      </c>
      <c r="C1460" s="915">
        <f>'House Count'!B1460</f>
        <v>0</v>
      </c>
      <c r="D1460" s="915">
        <f>'House Count'!C1460</f>
        <v>0</v>
      </c>
      <c r="E1460" s="915">
        <f>'House Count'!D1460</f>
        <v>0</v>
      </c>
      <c r="F1460" s="915" t="str">
        <f t="shared" si="22"/>
        <v/>
      </c>
      <c r="G1460" s="915">
        <f>'House Count'!F1460</f>
        <v>0</v>
      </c>
      <c r="H1460" s="915">
        <f>'House Count'!H1460</f>
        <v>0</v>
      </c>
    </row>
    <row r="1461" spans="1:8" x14ac:dyDescent="0.25">
      <c r="A1461" s="914">
        <f>'House Count'!A1461</f>
        <v>0</v>
      </c>
      <c r="B1461" s="915">
        <f>'House Count'!E1461</f>
        <v>0</v>
      </c>
      <c r="C1461" s="915">
        <f>'House Count'!B1461</f>
        <v>0</v>
      </c>
      <c r="D1461" s="915">
        <f>'House Count'!C1461</f>
        <v>0</v>
      </c>
      <c r="E1461" s="915">
        <f>'House Count'!D1461</f>
        <v>0</v>
      </c>
      <c r="F1461" s="915" t="str">
        <f t="shared" si="22"/>
        <v/>
      </c>
      <c r="G1461" s="915">
        <f>'House Count'!F1461</f>
        <v>0</v>
      </c>
      <c r="H1461" s="915">
        <f>'House Count'!H1461</f>
        <v>0</v>
      </c>
    </row>
    <row r="1462" spans="1:8" x14ac:dyDescent="0.25">
      <c r="A1462" s="914">
        <f>'House Count'!A1462</f>
        <v>0</v>
      </c>
      <c r="B1462" s="915">
        <f>'House Count'!E1462</f>
        <v>0</v>
      </c>
      <c r="C1462" s="915">
        <f>'House Count'!B1462</f>
        <v>0</v>
      </c>
      <c r="D1462" s="915">
        <f>'House Count'!C1462</f>
        <v>0</v>
      </c>
      <c r="E1462" s="915">
        <f>'House Count'!D1462</f>
        <v>0</v>
      </c>
      <c r="F1462" s="915" t="str">
        <f t="shared" si="22"/>
        <v/>
      </c>
      <c r="G1462" s="915">
        <f>'House Count'!F1462</f>
        <v>0</v>
      </c>
      <c r="H1462" s="915">
        <f>'House Count'!H1462</f>
        <v>0</v>
      </c>
    </row>
    <row r="1463" spans="1:8" x14ac:dyDescent="0.25">
      <c r="A1463" s="914">
        <f>'House Count'!A1463</f>
        <v>0</v>
      </c>
      <c r="B1463" s="915">
        <f>'House Count'!E1463</f>
        <v>0</v>
      </c>
      <c r="C1463" s="915">
        <f>'House Count'!B1463</f>
        <v>0</v>
      </c>
      <c r="D1463" s="915">
        <f>'House Count'!C1463</f>
        <v>0</v>
      </c>
      <c r="E1463" s="915">
        <f>'House Count'!D1463</f>
        <v>0</v>
      </c>
      <c r="F1463" s="915" t="str">
        <f t="shared" si="22"/>
        <v/>
      </c>
      <c r="G1463" s="915">
        <f>'House Count'!F1463</f>
        <v>0</v>
      </c>
      <c r="H1463" s="915">
        <f>'House Count'!H1463</f>
        <v>0</v>
      </c>
    </row>
    <row r="1464" spans="1:8" x14ac:dyDescent="0.25">
      <c r="A1464" s="914">
        <f>'House Count'!A1464</f>
        <v>0</v>
      </c>
      <c r="B1464" s="915">
        <f>'House Count'!E1464</f>
        <v>0</v>
      </c>
      <c r="C1464" s="915">
        <f>'House Count'!B1464</f>
        <v>0</v>
      </c>
      <c r="D1464" s="915">
        <f>'House Count'!C1464</f>
        <v>0</v>
      </c>
      <c r="E1464" s="915">
        <f>'House Count'!D1464</f>
        <v>0</v>
      </c>
      <c r="F1464" s="915" t="str">
        <f t="shared" si="22"/>
        <v/>
      </c>
      <c r="G1464" s="915">
        <f>'House Count'!F1464</f>
        <v>0</v>
      </c>
      <c r="H1464" s="915">
        <f>'House Count'!H1464</f>
        <v>0</v>
      </c>
    </row>
    <row r="1465" spans="1:8" x14ac:dyDescent="0.25">
      <c r="A1465" s="914">
        <f>'House Count'!A1465</f>
        <v>0</v>
      </c>
      <c r="B1465" s="915">
        <f>'House Count'!E1465</f>
        <v>0</v>
      </c>
      <c r="C1465" s="915">
        <f>'House Count'!B1465</f>
        <v>0</v>
      </c>
      <c r="D1465" s="915">
        <f>'House Count'!C1465</f>
        <v>0</v>
      </c>
      <c r="E1465" s="915">
        <f>'House Count'!D1465</f>
        <v>0</v>
      </c>
      <c r="F1465" s="915" t="str">
        <f t="shared" si="22"/>
        <v/>
      </c>
      <c r="G1465" s="915">
        <f>'House Count'!F1465</f>
        <v>0</v>
      </c>
      <c r="H1465" s="915">
        <f>'House Count'!H1465</f>
        <v>0</v>
      </c>
    </row>
    <row r="1466" spans="1:8" x14ac:dyDescent="0.25">
      <c r="A1466" s="914">
        <f>'House Count'!A1466</f>
        <v>0</v>
      </c>
      <c r="B1466" s="915">
        <f>'House Count'!E1466</f>
        <v>0</v>
      </c>
      <c r="C1466" s="915">
        <f>'House Count'!B1466</f>
        <v>0</v>
      </c>
      <c r="D1466" s="915">
        <f>'House Count'!C1466</f>
        <v>0</v>
      </c>
      <c r="E1466" s="915">
        <f>'House Count'!D1466</f>
        <v>0</v>
      </c>
      <c r="F1466" s="915" t="str">
        <f t="shared" si="22"/>
        <v/>
      </c>
      <c r="G1466" s="915">
        <f>'House Count'!F1466</f>
        <v>0</v>
      </c>
      <c r="H1466" s="915">
        <f>'House Count'!H1466</f>
        <v>0</v>
      </c>
    </row>
    <row r="1467" spans="1:8" x14ac:dyDescent="0.25">
      <c r="A1467" s="914">
        <f>'House Count'!A1467</f>
        <v>0</v>
      </c>
      <c r="B1467" s="915">
        <f>'House Count'!E1467</f>
        <v>0</v>
      </c>
      <c r="C1467" s="915">
        <f>'House Count'!B1467</f>
        <v>0</v>
      </c>
      <c r="D1467" s="915">
        <f>'House Count'!C1467</f>
        <v>0</v>
      </c>
      <c r="E1467" s="915">
        <f>'House Count'!D1467</f>
        <v>0</v>
      </c>
      <c r="F1467" s="915" t="str">
        <f t="shared" si="22"/>
        <v/>
      </c>
      <c r="G1467" s="915">
        <f>'House Count'!F1467</f>
        <v>0</v>
      </c>
      <c r="H1467" s="915">
        <f>'House Count'!H1467</f>
        <v>0</v>
      </c>
    </row>
    <row r="1468" spans="1:8" x14ac:dyDescent="0.25">
      <c r="A1468" s="914">
        <f>'House Count'!A1468</f>
        <v>0</v>
      </c>
      <c r="B1468" s="915">
        <f>'House Count'!E1468</f>
        <v>0</v>
      </c>
      <c r="C1468" s="915">
        <f>'House Count'!B1468</f>
        <v>0</v>
      </c>
      <c r="D1468" s="915">
        <f>'House Count'!C1468</f>
        <v>0</v>
      </c>
      <c r="E1468" s="915">
        <f>'House Count'!D1468</f>
        <v>0</v>
      </c>
      <c r="F1468" s="915" t="str">
        <f t="shared" si="22"/>
        <v/>
      </c>
      <c r="G1468" s="915">
        <f>'House Count'!F1468</f>
        <v>0</v>
      </c>
      <c r="H1468" s="915">
        <f>'House Count'!H1468</f>
        <v>0</v>
      </c>
    </row>
    <row r="1469" spans="1:8" x14ac:dyDescent="0.25">
      <c r="A1469" s="914">
        <f>'House Count'!A1469</f>
        <v>0</v>
      </c>
      <c r="B1469" s="915">
        <f>'House Count'!E1469</f>
        <v>0</v>
      </c>
      <c r="C1469" s="915">
        <f>'House Count'!B1469</f>
        <v>0</v>
      </c>
      <c r="D1469" s="915">
        <f>'House Count'!C1469</f>
        <v>0</v>
      </c>
      <c r="E1469" s="915">
        <f>'House Count'!D1469</f>
        <v>0</v>
      </c>
      <c r="F1469" s="915" t="str">
        <f t="shared" si="22"/>
        <v/>
      </c>
      <c r="G1469" s="915">
        <f>'House Count'!F1469</f>
        <v>0</v>
      </c>
      <c r="H1469" s="915">
        <f>'House Count'!H1469</f>
        <v>0</v>
      </c>
    </row>
    <row r="1470" spans="1:8" x14ac:dyDescent="0.25">
      <c r="A1470" s="914">
        <f>'House Count'!A1470</f>
        <v>0</v>
      </c>
      <c r="B1470" s="915">
        <f>'House Count'!E1470</f>
        <v>0</v>
      </c>
      <c r="C1470" s="915">
        <f>'House Count'!B1470</f>
        <v>0</v>
      </c>
      <c r="D1470" s="915">
        <f>'House Count'!C1470</f>
        <v>0</v>
      </c>
      <c r="E1470" s="915">
        <f>'House Count'!D1470</f>
        <v>0</v>
      </c>
      <c r="F1470" s="915" t="str">
        <f t="shared" si="22"/>
        <v/>
      </c>
      <c r="G1470" s="915">
        <f>'House Count'!F1470</f>
        <v>0</v>
      </c>
      <c r="H1470" s="915">
        <f>'House Count'!H1470</f>
        <v>0</v>
      </c>
    </row>
    <row r="1471" spans="1:8" x14ac:dyDescent="0.25">
      <c r="A1471" s="914">
        <f>'House Count'!A1471</f>
        <v>0</v>
      </c>
      <c r="B1471" s="915">
        <f>'House Count'!E1471</f>
        <v>0</v>
      </c>
      <c r="C1471" s="915">
        <f>'House Count'!B1471</f>
        <v>0</v>
      </c>
      <c r="D1471" s="915">
        <f>'House Count'!C1471</f>
        <v>0</v>
      </c>
      <c r="E1471" s="915">
        <f>'House Count'!D1471</f>
        <v>0</v>
      </c>
      <c r="F1471" s="915" t="str">
        <f t="shared" si="22"/>
        <v/>
      </c>
      <c r="G1471" s="915">
        <f>'House Count'!F1471</f>
        <v>0</v>
      </c>
      <c r="H1471" s="915">
        <f>'House Count'!H1471</f>
        <v>0</v>
      </c>
    </row>
    <row r="1472" spans="1:8" x14ac:dyDescent="0.25">
      <c r="A1472" s="914">
        <f>'House Count'!A1472</f>
        <v>0</v>
      </c>
      <c r="B1472" s="915">
        <f>'House Count'!E1472</f>
        <v>0</v>
      </c>
      <c r="C1472" s="915">
        <f>'House Count'!B1472</f>
        <v>0</v>
      </c>
      <c r="D1472" s="915">
        <f>'House Count'!C1472</f>
        <v>0</v>
      </c>
      <c r="E1472" s="915">
        <f>'House Count'!D1472</f>
        <v>0</v>
      </c>
      <c r="F1472" s="915" t="str">
        <f t="shared" si="22"/>
        <v/>
      </c>
      <c r="G1472" s="915">
        <f>'House Count'!F1472</f>
        <v>0</v>
      </c>
      <c r="H1472" s="915">
        <f>'House Count'!H1472</f>
        <v>0</v>
      </c>
    </row>
    <row r="1473" spans="1:8" x14ac:dyDescent="0.25">
      <c r="A1473" s="914">
        <f>'House Count'!A1473</f>
        <v>0</v>
      </c>
      <c r="B1473" s="915">
        <f>'House Count'!E1473</f>
        <v>0</v>
      </c>
      <c r="C1473" s="915">
        <f>'House Count'!B1473</f>
        <v>0</v>
      </c>
      <c r="D1473" s="915">
        <f>'House Count'!C1473</f>
        <v>0</v>
      </c>
      <c r="E1473" s="915">
        <f>'House Count'!D1473</f>
        <v>0</v>
      </c>
      <c r="F1473" s="915" t="str">
        <f t="shared" si="22"/>
        <v/>
      </c>
      <c r="G1473" s="915">
        <f>'House Count'!F1473</f>
        <v>0</v>
      </c>
      <c r="H1473" s="915">
        <f>'House Count'!H1473</f>
        <v>0</v>
      </c>
    </row>
    <row r="1474" spans="1:8" x14ac:dyDescent="0.25">
      <c r="A1474" s="914">
        <f>'House Count'!A1474</f>
        <v>0</v>
      </c>
      <c r="B1474" s="915">
        <f>'House Count'!E1474</f>
        <v>0</v>
      </c>
      <c r="C1474" s="915">
        <f>'House Count'!B1474</f>
        <v>0</v>
      </c>
      <c r="D1474" s="915">
        <f>'House Count'!C1474</f>
        <v>0</v>
      </c>
      <c r="E1474" s="915">
        <f>'House Count'!D1474</f>
        <v>0</v>
      </c>
      <c r="F1474" s="915" t="str">
        <f t="shared" si="22"/>
        <v/>
      </c>
      <c r="G1474" s="915">
        <f>'House Count'!F1474</f>
        <v>0</v>
      </c>
      <c r="H1474" s="915">
        <f>'House Count'!H1474</f>
        <v>0</v>
      </c>
    </row>
    <row r="1475" spans="1:8" x14ac:dyDescent="0.25">
      <c r="A1475" s="914">
        <f>'House Count'!A1475</f>
        <v>0</v>
      </c>
      <c r="B1475" s="915">
        <f>'House Count'!E1475</f>
        <v>0</v>
      </c>
      <c r="C1475" s="915">
        <f>'House Count'!B1475</f>
        <v>0</v>
      </c>
      <c r="D1475" s="915">
        <f>'House Count'!C1475</f>
        <v>0</v>
      </c>
      <c r="E1475" s="915">
        <f>'House Count'!D1475</f>
        <v>0</v>
      </c>
      <c r="F1475" s="915" t="str">
        <f t="shared" ref="F1475:F1500" si="23">IF(G1475="RES-SFU","RESIDENTIAL",IF(G1475="RES-HOA","RESIDENTIAL",IF(G1475="RES-MDU","RESIDENTIAL",IF(G1475="COMM-SU","BUSINESS",IF(G1475="COM-MTU","BUSINESS",IF(G1475="ENT","BUSINESS",""))))))</f>
        <v/>
      </c>
      <c r="G1475" s="915">
        <f>'House Count'!F1475</f>
        <v>0</v>
      </c>
      <c r="H1475" s="915">
        <f>'House Count'!H1475</f>
        <v>0</v>
      </c>
    </row>
    <row r="1476" spans="1:8" x14ac:dyDescent="0.25">
      <c r="A1476" s="914">
        <f>'House Count'!A1476</f>
        <v>0</v>
      </c>
      <c r="B1476" s="915">
        <f>'House Count'!E1476</f>
        <v>0</v>
      </c>
      <c r="C1476" s="915">
        <f>'House Count'!B1476</f>
        <v>0</v>
      </c>
      <c r="D1476" s="915">
        <f>'House Count'!C1476</f>
        <v>0</v>
      </c>
      <c r="E1476" s="915">
        <f>'House Count'!D1476</f>
        <v>0</v>
      </c>
      <c r="F1476" s="915" t="str">
        <f t="shared" si="23"/>
        <v/>
      </c>
      <c r="G1476" s="915">
        <f>'House Count'!F1476</f>
        <v>0</v>
      </c>
      <c r="H1476" s="915">
        <f>'House Count'!H1476</f>
        <v>0</v>
      </c>
    </row>
    <row r="1477" spans="1:8" x14ac:dyDescent="0.25">
      <c r="A1477" s="914">
        <f>'House Count'!A1477</f>
        <v>0</v>
      </c>
      <c r="B1477" s="915">
        <f>'House Count'!E1477</f>
        <v>0</v>
      </c>
      <c r="C1477" s="915">
        <f>'House Count'!B1477</f>
        <v>0</v>
      </c>
      <c r="D1477" s="915">
        <f>'House Count'!C1477</f>
        <v>0</v>
      </c>
      <c r="E1477" s="915">
        <f>'House Count'!D1477</f>
        <v>0</v>
      </c>
      <c r="F1477" s="915" t="str">
        <f t="shared" si="23"/>
        <v/>
      </c>
      <c r="G1477" s="915">
        <f>'House Count'!F1477</f>
        <v>0</v>
      </c>
      <c r="H1477" s="915">
        <f>'House Count'!H1477</f>
        <v>0</v>
      </c>
    </row>
    <row r="1478" spans="1:8" x14ac:dyDescent="0.25">
      <c r="A1478" s="914">
        <f>'House Count'!A1478</f>
        <v>0</v>
      </c>
      <c r="B1478" s="915">
        <f>'House Count'!E1478</f>
        <v>0</v>
      </c>
      <c r="C1478" s="915">
        <f>'House Count'!B1478</f>
        <v>0</v>
      </c>
      <c r="D1478" s="915">
        <f>'House Count'!C1478</f>
        <v>0</v>
      </c>
      <c r="E1478" s="915">
        <f>'House Count'!D1478</f>
        <v>0</v>
      </c>
      <c r="F1478" s="915" t="str">
        <f t="shared" si="23"/>
        <v/>
      </c>
      <c r="G1478" s="915">
        <f>'House Count'!F1478</f>
        <v>0</v>
      </c>
      <c r="H1478" s="915">
        <f>'House Count'!H1478</f>
        <v>0</v>
      </c>
    </row>
    <row r="1479" spans="1:8" x14ac:dyDescent="0.25">
      <c r="A1479" s="914">
        <f>'House Count'!A1479</f>
        <v>0</v>
      </c>
      <c r="B1479" s="915">
        <f>'House Count'!E1479</f>
        <v>0</v>
      </c>
      <c r="C1479" s="915">
        <f>'House Count'!B1479</f>
        <v>0</v>
      </c>
      <c r="D1479" s="915">
        <f>'House Count'!C1479</f>
        <v>0</v>
      </c>
      <c r="E1479" s="915">
        <f>'House Count'!D1479</f>
        <v>0</v>
      </c>
      <c r="F1479" s="915" t="str">
        <f t="shared" si="23"/>
        <v/>
      </c>
      <c r="G1479" s="915">
        <f>'House Count'!F1479</f>
        <v>0</v>
      </c>
      <c r="H1479" s="915">
        <f>'House Count'!H1479</f>
        <v>0</v>
      </c>
    </row>
    <row r="1480" spans="1:8" x14ac:dyDescent="0.25">
      <c r="A1480" s="914">
        <f>'House Count'!A1480</f>
        <v>0</v>
      </c>
      <c r="B1480" s="915">
        <f>'House Count'!E1480</f>
        <v>0</v>
      </c>
      <c r="C1480" s="915">
        <f>'House Count'!B1480</f>
        <v>0</v>
      </c>
      <c r="D1480" s="915">
        <f>'House Count'!C1480</f>
        <v>0</v>
      </c>
      <c r="E1480" s="915">
        <f>'House Count'!D1480</f>
        <v>0</v>
      </c>
      <c r="F1480" s="915" t="str">
        <f t="shared" si="23"/>
        <v/>
      </c>
      <c r="G1480" s="915">
        <f>'House Count'!F1480</f>
        <v>0</v>
      </c>
      <c r="H1480" s="915">
        <f>'House Count'!H1480</f>
        <v>0</v>
      </c>
    </row>
    <row r="1481" spans="1:8" x14ac:dyDescent="0.25">
      <c r="A1481" s="914">
        <f>'House Count'!A1481</f>
        <v>0</v>
      </c>
      <c r="B1481" s="915">
        <f>'House Count'!E1481</f>
        <v>0</v>
      </c>
      <c r="C1481" s="915">
        <f>'House Count'!B1481</f>
        <v>0</v>
      </c>
      <c r="D1481" s="915">
        <f>'House Count'!C1481</f>
        <v>0</v>
      </c>
      <c r="E1481" s="915">
        <f>'House Count'!D1481</f>
        <v>0</v>
      </c>
      <c r="F1481" s="915" t="str">
        <f t="shared" si="23"/>
        <v/>
      </c>
      <c r="G1481" s="915">
        <f>'House Count'!F1481</f>
        <v>0</v>
      </c>
      <c r="H1481" s="915">
        <f>'House Count'!H1481</f>
        <v>0</v>
      </c>
    </row>
    <row r="1482" spans="1:8" x14ac:dyDescent="0.25">
      <c r="A1482" s="914">
        <f>'House Count'!A1482</f>
        <v>0</v>
      </c>
      <c r="B1482" s="915">
        <f>'House Count'!E1482</f>
        <v>0</v>
      </c>
      <c r="C1482" s="915">
        <f>'House Count'!B1482</f>
        <v>0</v>
      </c>
      <c r="D1482" s="915">
        <f>'House Count'!C1482</f>
        <v>0</v>
      </c>
      <c r="E1482" s="915">
        <f>'House Count'!D1482</f>
        <v>0</v>
      </c>
      <c r="F1482" s="915" t="str">
        <f t="shared" si="23"/>
        <v/>
      </c>
      <c r="G1482" s="915">
        <f>'House Count'!F1482</f>
        <v>0</v>
      </c>
      <c r="H1482" s="915">
        <f>'House Count'!H1482</f>
        <v>0</v>
      </c>
    </row>
    <row r="1483" spans="1:8" x14ac:dyDescent="0.25">
      <c r="A1483" s="914">
        <f>'House Count'!A1483</f>
        <v>0</v>
      </c>
      <c r="B1483" s="915">
        <f>'House Count'!E1483</f>
        <v>0</v>
      </c>
      <c r="C1483" s="915">
        <f>'House Count'!B1483</f>
        <v>0</v>
      </c>
      <c r="D1483" s="915">
        <f>'House Count'!C1483</f>
        <v>0</v>
      </c>
      <c r="E1483" s="915">
        <f>'House Count'!D1483</f>
        <v>0</v>
      </c>
      <c r="F1483" s="915" t="str">
        <f t="shared" si="23"/>
        <v/>
      </c>
      <c r="G1483" s="915">
        <f>'House Count'!F1483</f>
        <v>0</v>
      </c>
      <c r="H1483" s="915">
        <f>'House Count'!H1483</f>
        <v>0</v>
      </c>
    </row>
    <row r="1484" spans="1:8" x14ac:dyDescent="0.25">
      <c r="A1484" s="914">
        <f>'House Count'!A1484</f>
        <v>0</v>
      </c>
      <c r="B1484" s="915">
        <f>'House Count'!E1484</f>
        <v>0</v>
      </c>
      <c r="C1484" s="915">
        <f>'House Count'!B1484</f>
        <v>0</v>
      </c>
      <c r="D1484" s="915">
        <f>'House Count'!C1484</f>
        <v>0</v>
      </c>
      <c r="E1484" s="915">
        <f>'House Count'!D1484</f>
        <v>0</v>
      </c>
      <c r="F1484" s="915" t="str">
        <f t="shared" si="23"/>
        <v/>
      </c>
      <c r="G1484" s="915">
        <f>'House Count'!F1484</f>
        <v>0</v>
      </c>
      <c r="H1484" s="915">
        <f>'House Count'!H1484</f>
        <v>0</v>
      </c>
    </row>
    <row r="1485" spans="1:8" x14ac:dyDescent="0.25">
      <c r="A1485" s="914">
        <f>'House Count'!A1485</f>
        <v>0</v>
      </c>
      <c r="B1485" s="915">
        <f>'House Count'!E1485</f>
        <v>0</v>
      </c>
      <c r="C1485" s="915">
        <f>'House Count'!B1485</f>
        <v>0</v>
      </c>
      <c r="D1485" s="915">
        <f>'House Count'!C1485</f>
        <v>0</v>
      </c>
      <c r="E1485" s="915">
        <f>'House Count'!D1485</f>
        <v>0</v>
      </c>
      <c r="F1485" s="915" t="str">
        <f t="shared" si="23"/>
        <v/>
      </c>
      <c r="G1485" s="915">
        <f>'House Count'!F1485</f>
        <v>0</v>
      </c>
      <c r="H1485" s="915">
        <f>'House Count'!H1485</f>
        <v>0</v>
      </c>
    </row>
    <row r="1486" spans="1:8" x14ac:dyDescent="0.25">
      <c r="A1486" s="914">
        <f>'House Count'!A1486</f>
        <v>0</v>
      </c>
      <c r="B1486" s="915">
        <f>'House Count'!E1486</f>
        <v>0</v>
      </c>
      <c r="C1486" s="915">
        <f>'House Count'!B1486</f>
        <v>0</v>
      </c>
      <c r="D1486" s="915">
        <f>'House Count'!C1486</f>
        <v>0</v>
      </c>
      <c r="E1486" s="915">
        <f>'House Count'!D1486</f>
        <v>0</v>
      </c>
      <c r="F1486" s="915" t="str">
        <f t="shared" si="23"/>
        <v/>
      </c>
      <c r="G1486" s="915">
        <f>'House Count'!F1486</f>
        <v>0</v>
      </c>
      <c r="H1486" s="915">
        <f>'House Count'!H1486</f>
        <v>0</v>
      </c>
    </row>
    <row r="1487" spans="1:8" x14ac:dyDescent="0.25">
      <c r="A1487" s="914">
        <f>'House Count'!A1487</f>
        <v>0</v>
      </c>
      <c r="B1487" s="915">
        <f>'House Count'!E1487</f>
        <v>0</v>
      </c>
      <c r="C1487" s="915">
        <f>'House Count'!B1487</f>
        <v>0</v>
      </c>
      <c r="D1487" s="915">
        <f>'House Count'!C1487</f>
        <v>0</v>
      </c>
      <c r="E1487" s="915">
        <f>'House Count'!D1487</f>
        <v>0</v>
      </c>
      <c r="F1487" s="915" t="str">
        <f t="shared" si="23"/>
        <v/>
      </c>
      <c r="G1487" s="915">
        <f>'House Count'!F1487</f>
        <v>0</v>
      </c>
      <c r="H1487" s="915">
        <f>'House Count'!H1487</f>
        <v>0</v>
      </c>
    </row>
    <row r="1488" spans="1:8" x14ac:dyDescent="0.25">
      <c r="A1488" s="914">
        <f>'House Count'!A1488</f>
        <v>0</v>
      </c>
      <c r="B1488" s="915">
        <f>'House Count'!E1488</f>
        <v>0</v>
      </c>
      <c r="C1488" s="915">
        <f>'House Count'!B1488</f>
        <v>0</v>
      </c>
      <c r="D1488" s="915">
        <f>'House Count'!C1488</f>
        <v>0</v>
      </c>
      <c r="E1488" s="915">
        <f>'House Count'!D1488</f>
        <v>0</v>
      </c>
      <c r="F1488" s="915" t="str">
        <f t="shared" si="23"/>
        <v/>
      </c>
      <c r="G1488" s="915">
        <f>'House Count'!F1488</f>
        <v>0</v>
      </c>
      <c r="H1488" s="915">
        <f>'House Count'!H1488</f>
        <v>0</v>
      </c>
    </row>
    <row r="1489" spans="1:8" x14ac:dyDescent="0.25">
      <c r="A1489" s="914">
        <f>'House Count'!A1489</f>
        <v>0</v>
      </c>
      <c r="B1489" s="915">
        <f>'House Count'!E1489</f>
        <v>0</v>
      </c>
      <c r="C1489" s="915">
        <f>'House Count'!B1489</f>
        <v>0</v>
      </c>
      <c r="D1489" s="915">
        <f>'House Count'!C1489</f>
        <v>0</v>
      </c>
      <c r="E1489" s="915">
        <f>'House Count'!D1489</f>
        <v>0</v>
      </c>
      <c r="F1489" s="915" t="str">
        <f t="shared" si="23"/>
        <v/>
      </c>
      <c r="G1489" s="915">
        <f>'House Count'!F1489</f>
        <v>0</v>
      </c>
      <c r="H1489" s="915">
        <f>'House Count'!H1489</f>
        <v>0</v>
      </c>
    </row>
    <row r="1490" spans="1:8" x14ac:dyDescent="0.25">
      <c r="A1490" s="914">
        <f>'House Count'!A1490</f>
        <v>0</v>
      </c>
      <c r="B1490" s="915">
        <f>'House Count'!E1490</f>
        <v>0</v>
      </c>
      <c r="C1490" s="915">
        <f>'House Count'!B1490</f>
        <v>0</v>
      </c>
      <c r="D1490" s="915">
        <f>'House Count'!C1490</f>
        <v>0</v>
      </c>
      <c r="E1490" s="915">
        <f>'House Count'!D1490</f>
        <v>0</v>
      </c>
      <c r="F1490" s="915" t="str">
        <f t="shared" si="23"/>
        <v/>
      </c>
      <c r="G1490" s="915">
        <f>'House Count'!F1490</f>
        <v>0</v>
      </c>
      <c r="H1490" s="915">
        <f>'House Count'!H1490</f>
        <v>0</v>
      </c>
    </row>
    <row r="1491" spans="1:8" x14ac:dyDescent="0.25">
      <c r="A1491" s="914">
        <f>'House Count'!A1491</f>
        <v>0</v>
      </c>
      <c r="B1491" s="915">
        <f>'House Count'!E1491</f>
        <v>0</v>
      </c>
      <c r="C1491" s="915">
        <f>'House Count'!B1491</f>
        <v>0</v>
      </c>
      <c r="D1491" s="915">
        <f>'House Count'!C1491</f>
        <v>0</v>
      </c>
      <c r="E1491" s="915">
        <f>'House Count'!D1491</f>
        <v>0</v>
      </c>
      <c r="F1491" s="915" t="str">
        <f t="shared" si="23"/>
        <v/>
      </c>
      <c r="G1491" s="915">
        <f>'House Count'!F1491</f>
        <v>0</v>
      </c>
      <c r="H1491" s="915">
        <f>'House Count'!H1491</f>
        <v>0</v>
      </c>
    </row>
    <row r="1492" spans="1:8" x14ac:dyDescent="0.25">
      <c r="A1492" s="914">
        <f>'House Count'!A1492</f>
        <v>0</v>
      </c>
      <c r="B1492" s="915">
        <f>'House Count'!E1492</f>
        <v>0</v>
      </c>
      <c r="C1492" s="915">
        <f>'House Count'!B1492</f>
        <v>0</v>
      </c>
      <c r="D1492" s="915">
        <f>'House Count'!C1492</f>
        <v>0</v>
      </c>
      <c r="E1492" s="915">
        <f>'House Count'!D1492</f>
        <v>0</v>
      </c>
      <c r="F1492" s="915" t="str">
        <f t="shared" si="23"/>
        <v/>
      </c>
      <c r="G1492" s="915">
        <f>'House Count'!F1492</f>
        <v>0</v>
      </c>
      <c r="H1492" s="915">
        <f>'House Count'!H1492</f>
        <v>0</v>
      </c>
    </row>
    <row r="1493" spans="1:8" x14ac:dyDescent="0.25">
      <c r="A1493" s="914">
        <f>'House Count'!A1493</f>
        <v>0</v>
      </c>
      <c r="B1493" s="915">
        <f>'House Count'!E1493</f>
        <v>0</v>
      </c>
      <c r="C1493" s="915">
        <f>'House Count'!B1493</f>
        <v>0</v>
      </c>
      <c r="D1493" s="915">
        <f>'House Count'!C1493</f>
        <v>0</v>
      </c>
      <c r="E1493" s="915">
        <f>'House Count'!D1493</f>
        <v>0</v>
      </c>
      <c r="F1493" s="915" t="str">
        <f t="shared" si="23"/>
        <v/>
      </c>
      <c r="G1493" s="915">
        <f>'House Count'!F1493</f>
        <v>0</v>
      </c>
      <c r="H1493" s="915">
        <f>'House Count'!H1493</f>
        <v>0</v>
      </c>
    </row>
    <row r="1494" spans="1:8" x14ac:dyDescent="0.25">
      <c r="A1494" s="914">
        <f>'House Count'!A1494</f>
        <v>0</v>
      </c>
      <c r="B1494" s="915">
        <f>'House Count'!E1494</f>
        <v>0</v>
      </c>
      <c r="C1494" s="915">
        <f>'House Count'!B1494</f>
        <v>0</v>
      </c>
      <c r="D1494" s="915">
        <f>'House Count'!C1494</f>
        <v>0</v>
      </c>
      <c r="E1494" s="915">
        <f>'House Count'!D1494</f>
        <v>0</v>
      </c>
      <c r="F1494" s="915" t="str">
        <f t="shared" si="23"/>
        <v/>
      </c>
      <c r="G1494" s="915">
        <f>'House Count'!F1494</f>
        <v>0</v>
      </c>
      <c r="H1494" s="915">
        <f>'House Count'!H1494</f>
        <v>0</v>
      </c>
    </row>
    <row r="1495" spans="1:8" x14ac:dyDescent="0.25">
      <c r="A1495" s="914">
        <f>'House Count'!A1495</f>
        <v>0</v>
      </c>
      <c r="B1495" s="915">
        <f>'House Count'!E1495</f>
        <v>0</v>
      </c>
      <c r="C1495" s="915">
        <f>'House Count'!B1495</f>
        <v>0</v>
      </c>
      <c r="D1495" s="915">
        <f>'House Count'!C1495</f>
        <v>0</v>
      </c>
      <c r="E1495" s="915">
        <f>'House Count'!D1495</f>
        <v>0</v>
      </c>
      <c r="F1495" s="915" t="str">
        <f t="shared" si="23"/>
        <v/>
      </c>
      <c r="G1495" s="915">
        <f>'House Count'!F1495</f>
        <v>0</v>
      </c>
      <c r="H1495" s="915">
        <f>'House Count'!H1495</f>
        <v>0</v>
      </c>
    </row>
    <row r="1496" spans="1:8" x14ac:dyDescent="0.25">
      <c r="A1496" s="914">
        <f>'House Count'!A1496</f>
        <v>0</v>
      </c>
      <c r="B1496" s="915">
        <f>'House Count'!E1496</f>
        <v>0</v>
      </c>
      <c r="C1496" s="915">
        <f>'House Count'!B1496</f>
        <v>0</v>
      </c>
      <c r="D1496" s="915">
        <f>'House Count'!C1496</f>
        <v>0</v>
      </c>
      <c r="E1496" s="915">
        <f>'House Count'!D1496</f>
        <v>0</v>
      </c>
      <c r="F1496" s="915" t="str">
        <f t="shared" si="23"/>
        <v/>
      </c>
      <c r="G1496" s="915">
        <f>'House Count'!F1496</f>
        <v>0</v>
      </c>
      <c r="H1496" s="915">
        <f>'House Count'!H1496</f>
        <v>0</v>
      </c>
    </row>
    <row r="1497" spans="1:8" x14ac:dyDescent="0.25">
      <c r="A1497" s="914">
        <f>'House Count'!A1497</f>
        <v>0</v>
      </c>
      <c r="B1497" s="915">
        <f>'House Count'!E1497</f>
        <v>0</v>
      </c>
      <c r="C1497" s="915">
        <f>'House Count'!B1497</f>
        <v>0</v>
      </c>
      <c r="D1497" s="915">
        <f>'House Count'!C1497</f>
        <v>0</v>
      </c>
      <c r="E1497" s="915">
        <f>'House Count'!D1497</f>
        <v>0</v>
      </c>
      <c r="F1497" s="915" t="str">
        <f t="shared" si="23"/>
        <v/>
      </c>
      <c r="G1497" s="915">
        <f>'House Count'!F1497</f>
        <v>0</v>
      </c>
      <c r="H1497" s="915">
        <f>'House Count'!H1497</f>
        <v>0</v>
      </c>
    </row>
    <row r="1498" spans="1:8" x14ac:dyDescent="0.25">
      <c r="A1498" s="914">
        <f>'House Count'!A1498</f>
        <v>0</v>
      </c>
      <c r="B1498" s="915">
        <f>'House Count'!E1498</f>
        <v>0</v>
      </c>
      <c r="C1498" s="915">
        <f>'House Count'!B1498</f>
        <v>0</v>
      </c>
      <c r="D1498" s="915">
        <f>'House Count'!C1498</f>
        <v>0</v>
      </c>
      <c r="E1498" s="915">
        <f>'House Count'!D1498</f>
        <v>0</v>
      </c>
      <c r="F1498" s="915" t="str">
        <f t="shared" si="23"/>
        <v/>
      </c>
      <c r="G1498" s="915">
        <f>'House Count'!F1498</f>
        <v>0</v>
      </c>
      <c r="H1498" s="915">
        <f>'House Count'!H1498</f>
        <v>0</v>
      </c>
    </row>
    <row r="1499" spans="1:8" x14ac:dyDescent="0.25">
      <c r="A1499" s="914">
        <f>'House Count'!A1499</f>
        <v>0</v>
      </c>
      <c r="B1499" s="915">
        <f>'House Count'!E1499</f>
        <v>0</v>
      </c>
      <c r="C1499" s="915">
        <f>'House Count'!B1499</f>
        <v>0</v>
      </c>
      <c r="D1499" s="915">
        <f>'House Count'!C1499</f>
        <v>0</v>
      </c>
      <c r="E1499" s="915">
        <f>'House Count'!D1499</f>
        <v>0</v>
      </c>
      <c r="F1499" s="915" t="str">
        <f t="shared" si="23"/>
        <v/>
      </c>
      <c r="G1499" s="915">
        <f>'House Count'!F1499</f>
        <v>0</v>
      </c>
      <c r="H1499" s="915">
        <f>'House Count'!H1499</f>
        <v>0</v>
      </c>
    </row>
    <row r="1500" spans="1:8" x14ac:dyDescent="0.25">
      <c r="A1500" s="914">
        <f>'House Count'!A1500</f>
        <v>0</v>
      </c>
      <c r="B1500" s="915">
        <f>'House Count'!E1500</f>
        <v>0</v>
      </c>
      <c r="C1500" s="915">
        <f>'House Count'!B1500</f>
        <v>0</v>
      </c>
      <c r="D1500" s="915">
        <f>'House Count'!C1500</f>
        <v>0</v>
      </c>
      <c r="E1500" s="915">
        <f>'House Count'!D1500</f>
        <v>0</v>
      </c>
      <c r="F1500" s="915" t="str">
        <f t="shared" si="23"/>
        <v/>
      </c>
      <c r="G1500" s="915">
        <f>'House Count'!F1500</f>
        <v>0</v>
      </c>
      <c r="H1500" s="915">
        <f>'House Count'!H1500</f>
        <v>0</v>
      </c>
    </row>
  </sheetData>
  <autoFilter ref="A1:H1500" xr:uid="{00000000-0009-0000-0000-000009000000}"/>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5"/>
  <dimension ref="A1:Q88"/>
  <sheetViews>
    <sheetView workbookViewId="0">
      <selection activeCell="L5" sqref="L5:Q6"/>
    </sheetView>
  </sheetViews>
  <sheetFormatPr defaultRowHeight="15" x14ac:dyDescent="0.25"/>
  <cols>
    <col min="1" max="1" width="13.28515625" bestFit="1" customWidth="1"/>
    <col min="14" max="14" width="5.28515625" bestFit="1" customWidth="1"/>
    <col min="15" max="15" width="6.7109375" bestFit="1" customWidth="1"/>
  </cols>
  <sheetData>
    <row r="1" spans="1:17" ht="15.75" thickBot="1" x14ac:dyDescent="0.3">
      <c r="A1" s="1051" t="s">
        <v>985</v>
      </c>
      <c r="B1" s="1052"/>
      <c r="C1" s="1052"/>
      <c r="D1" s="1052"/>
      <c r="E1" s="1052"/>
      <c r="F1" s="1052"/>
      <c r="G1" s="1052"/>
      <c r="H1" s="1052"/>
      <c r="I1" s="1052"/>
      <c r="J1" s="1052"/>
      <c r="K1" s="1052"/>
      <c r="L1" s="1052"/>
      <c r="M1" s="1052"/>
      <c r="N1" s="1052"/>
      <c r="O1" s="1052"/>
      <c r="P1" s="1052"/>
      <c r="Q1" s="1053"/>
    </row>
    <row r="2" spans="1:17" ht="15.75" thickBot="1" x14ac:dyDescent="0.3">
      <c r="A2" s="50"/>
      <c r="C2" s="47"/>
      <c r="G2" s="51"/>
      <c r="H2" s="47"/>
      <c r="J2" s="47"/>
      <c r="L2" s="47"/>
    </row>
    <row r="3" spans="1:17" ht="15.75" thickBot="1" x14ac:dyDescent="0.3">
      <c r="A3" s="1036" t="s">
        <v>1025</v>
      </c>
      <c r="B3" s="1037"/>
      <c r="C3" s="1037"/>
      <c r="D3" s="1037"/>
      <c r="E3" s="1037"/>
      <c r="F3" s="1037"/>
      <c r="G3" s="1037"/>
      <c r="H3" s="1038"/>
      <c r="J3" s="1036" t="s">
        <v>986</v>
      </c>
      <c r="K3" s="1037"/>
      <c r="L3" s="1037"/>
      <c r="M3" s="1037"/>
      <c r="N3" s="1037"/>
      <c r="O3" s="1037"/>
      <c r="P3" s="1037"/>
      <c r="Q3" s="1038"/>
    </row>
    <row r="4" spans="1:17" x14ac:dyDescent="0.25">
      <c r="A4" s="1039" t="s">
        <v>52</v>
      </c>
      <c r="B4" s="1040"/>
      <c r="C4" s="1039" t="s">
        <v>53</v>
      </c>
      <c r="D4" s="1041"/>
      <c r="E4" s="1041"/>
      <c r="F4" s="1040"/>
      <c r="G4" s="1028" t="s">
        <v>778</v>
      </c>
      <c r="H4" s="1028"/>
      <c r="J4" s="1039" t="s">
        <v>52</v>
      </c>
      <c r="K4" s="1040"/>
      <c r="L4" s="1039" t="s">
        <v>53</v>
      </c>
      <c r="M4" s="1041"/>
      <c r="N4" s="1041"/>
      <c r="O4" s="1040"/>
      <c r="P4" s="1028" t="s">
        <v>778</v>
      </c>
      <c r="Q4" s="1028"/>
    </row>
    <row r="5" spans="1:17" x14ac:dyDescent="0.25">
      <c r="A5" s="1034"/>
      <c r="B5" s="1034"/>
      <c r="C5" s="1034"/>
      <c r="D5" s="1034"/>
      <c r="E5" s="1034"/>
      <c r="F5" s="1034"/>
      <c r="G5" s="1035">
        <v>0</v>
      </c>
      <c r="H5" s="1035"/>
      <c r="J5" s="1034"/>
      <c r="K5" s="1034"/>
      <c r="L5" s="1034" t="s">
        <v>920</v>
      </c>
      <c r="M5" s="1034"/>
      <c r="N5" s="1034"/>
      <c r="O5" s="1034"/>
      <c r="P5" s="1035">
        <v>500</v>
      </c>
      <c r="Q5" s="1035"/>
    </row>
    <row r="6" spans="1:17" x14ac:dyDescent="0.25">
      <c r="A6" s="1034"/>
      <c r="B6" s="1034"/>
      <c r="C6" s="1034"/>
      <c r="D6" s="1034"/>
      <c r="E6" s="1034"/>
      <c r="F6" s="1034"/>
      <c r="G6" s="1035"/>
      <c r="H6" s="1035"/>
      <c r="J6" s="1034"/>
      <c r="K6" s="1034"/>
      <c r="L6" s="1034" t="s">
        <v>1026</v>
      </c>
      <c r="M6" s="1034"/>
      <c r="N6" s="1034"/>
      <c r="O6" s="1034"/>
      <c r="P6" s="1035">
        <v>500</v>
      </c>
      <c r="Q6" s="1035"/>
    </row>
    <row r="7" spans="1:17" x14ac:dyDescent="0.25">
      <c r="A7" s="1034"/>
      <c r="B7" s="1034"/>
      <c r="C7" s="1034"/>
      <c r="D7" s="1034"/>
      <c r="E7" s="1034"/>
      <c r="F7" s="1034"/>
      <c r="G7" s="1035"/>
      <c r="H7" s="1035"/>
      <c r="J7" s="1034"/>
      <c r="K7" s="1034"/>
      <c r="L7" s="1034"/>
      <c r="M7" s="1034"/>
      <c r="N7" s="1034"/>
      <c r="O7" s="1034"/>
      <c r="P7" s="1035"/>
      <c r="Q7" s="1035"/>
    </row>
    <row r="8" spans="1:17" x14ac:dyDescent="0.25">
      <c r="A8" s="1034"/>
      <c r="B8" s="1034"/>
      <c r="C8" s="1034"/>
      <c r="D8" s="1034"/>
      <c r="E8" s="1034"/>
      <c r="F8" s="1034"/>
      <c r="G8" s="1035"/>
      <c r="H8" s="1035"/>
      <c r="J8" s="1034"/>
      <c r="K8" s="1034"/>
      <c r="L8" s="1034"/>
      <c r="M8" s="1034"/>
      <c r="N8" s="1034"/>
      <c r="O8" s="1034"/>
      <c r="P8" s="1035"/>
      <c r="Q8" s="1035"/>
    </row>
    <row r="9" spans="1:17" x14ac:dyDescent="0.25">
      <c r="A9" s="1034"/>
      <c r="B9" s="1034"/>
      <c r="C9" s="1034"/>
      <c r="D9" s="1034"/>
      <c r="E9" s="1034"/>
      <c r="F9" s="1034"/>
      <c r="G9" s="1035"/>
      <c r="H9" s="1035"/>
      <c r="J9" s="1034"/>
      <c r="K9" s="1034"/>
      <c r="L9" s="1034"/>
      <c r="M9" s="1034"/>
      <c r="N9" s="1034"/>
      <c r="O9" s="1034"/>
      <c r="P9" s="1035"/>
      <c r="Q9" s="1035"/>
    </row>
    <row r="10" spans="1:17" x14ac:dyDescent="0.25">
      <c r="A10" s="1034"/>
      <c r="B10" s="1034"/>
      <c r="C10" s="1034"/>
      <c r="D10" s="1034"/>
      <c r="E10" s="1034"/>
      <c r="F10" s="1034"/>
      <c r="G10" s="1035"/>
      <c r="H10" s="1035"/>
      <c r="J10" s="1034"/>
      <c r="K10" s="1034"/>
      <c r="L10" s="1034"/>
      <c r="M10" s="1034"/>
      <c r="N10" s="1034"/>
      <c r="O10" s="1034"/>
      <c r="P10" s="1035"/>
      <c r="Q10" s="1035"/>
    </row>
    <row r="11" spans="1:17" x14ac:dyDescent="0.25">
      <c r="A11" s="1034"/>
      <c r="B11" s="1034"/>
      <c r="C11" s="1034"/>
      <c r="D11" s="1034"/>
      <c r="E11" s="1034"/>
      <c r="F11" s="1034"/>
      <c r="G11" s="1035"/>
      <c r="H11" s="1035"/>
      <c r="J11" s="1034"/>
      <c r="K11" s="1034"/>
      <c r="L11" s="1034"/>
      <c r="M11" s="1034"/>
      <c r="N11" s="1034"/>
      <c r="O11" s="1034"/>
      <c r="P11" s="1035"/>
      <c r="Q11" s="1035"/>
    </row>
    <row r="12" spans="1:17" x14ac:dyDescent="0.25">
      <c r="A12" s="1034"/>
      <c r="B12" s="1034"/>
      <c r="C12" s="1034"/>
      <c r="D12" s="1034"/>
      <c r="E12" s="1034"/>
      <c r="F12" s="1034"/>
      <c r="G12" s="1035"/>
      <c r="H12" s="1035"/>
      <c r="J12" s="1034"/>
      <c r="K12" s="1034"/>
      <c r="L12" s="1034"/>
      <c r="M12" s="1034"/>
      <c r="N12" s="1034"/>
      <c r="O12" s="1034"/>
      <c r="P12" s="1035"/>
      <c r="Q12" s="1035"/>
    </row>
    <row r="13" spans="1:17" x14ac:dyDescent="0.25">
      <c r="A13" s="1034"/>
      <c r="B13" s="1034"/>
      <c r="C13" s="1034"/>
      <c r="D13" s="1034"/>
      <c r="E13" s="1034"/>
      <c r="F13" s="1034"/>
      <c r="G13" s="1035"/>
      <c r="H13" s="1035"/>
      <c r="J13" s="1034"/>
      <c r="K13" s="1034"/>
      <c r="L13" s="1034"/>
      <c r="M13" s="1034"/>
      <c r="N13" s="1034"/>
      <c r="O13" s="1034"/>
      <c r="P13" s="1035"/>
      <c r="Q13" s="1035"/>
    </row>
    <row r="14" spans="1:17" x14ac:dyDescent="0.25">
      <c r="A14" s="1034"/>
      <c r="B14" s="1034"/>
      <c r="C14" s="1034"/>
      <c r="D14" s="1034"/>
      <c r="E14" s="1034"/>
      <c r="F14" s="1034"/>
      <c r="G14" s="1035"/>
      <c r="H14" s="1035"/>
      <c r="J14" s="1034"/>
      <c r="K14" s="1034"/>
      <c r="L14" s="1034"/>
      <c r="M14" s="1034"/>
      <c r="N14" s="1034"/>
      <c r="O14" s="1034"/>
      <c r="P14" s="1035"/>
      <c r="Q14" s="1035"/>
    </row>
    <row r="15" spans="1:17" x14ac:dyDescent="0.25">
      <c r="A15" s="1034"/>
      <c r="B15" s="1034"/>
      <c r="C15" s="1034"/>
      <c r="D15" s="1034"/>
      <c r="E15" s="1034"/>
      <c r="F15" s="1034"/>
      <c r="G15" s="1035"/>
      <c r="H15" s="1035"/>
      <c r="J15" s="1034"/>
      <c r="K15" s="1034"/>
      <c r="L15" s="1034"/>
      <c r="M15" s="1034"/>
      <c r="N15" s="1034"/>
      <c r="O15" s="1034"/>
      <c r="P15" s="1035"/>
      <c r="Q15" s="1035"/>
    </row>
    <row r="16" spans="1:17" x14ac:dyDescent="0.25">
      <c r="A16" s="1034"/>
      <c r="B16" s="1034"/>
      <c r="C16" s="1034"/>
      <c r="D16" s="1034"/>
      <c r="E16" s="1034"/>
      <c r="F16" s="1034"/>
      <c r="G16" s="1035"/>
      <c r="H16" s="1035"/>
      <c r="J16" s="1034"/>
      <c r="K16" s="1034"/>
      <c r="L16" s="1034"/>
      <c r="M16" s="1034"/>
      <c r="N16" s="1034"/>
      <c r="O16" s="1034"/>
      <c r="P16" s="1035"/>
      <c r="Q16" s="1035"/>
    </row>
    <row r="17" spans="1:17" x14ac:dyDescent="0.25">
      <c r="A17" s="1034"/>
      <c r="B17" s="1034"/>
      <c r="C17" s="1034"/>
      <c r="D17" s="1034"/>
      <c r="E17" s="1034"/>
      <c r="F17" s="1034"/>
      <c r="G17" s="1035"/>
      <c r="H17" s="1035"/>
      <c r="J17" s="1034"/>
      <c r="K17" s="1034"/>
      <c r="L17" s="1034"/>
      <c r="M17" s="1034"/>
      <c r="N17" s="1034"/>
      <c r="O17" s="1034"/>
      <c r="P17" s="1035"/>
      <c r="Q17" s="1035"/>
    </row>
    <row r="18" spans="1:17" x14ac:dyDescent="0.25">
      <c r="A18" s="1034"/>
      <c r="B18" s="1034"/>
      <c r="C18" s="1034"/>
      <c r="D18" s="1034"/>
      <c r="E18" s="1034"/>
      <c r="F18" s="1034"/>
      <c r="G18" s="1035"/>
      <c r="H18" s="1035"/>
      <c r="J18" s="1034"/>
      <c r="K18" s="1034"/>
      <c r="L18" s="1034"/>
      <c r="M18" s="1034"/>
      <c r="N18" s="1034"/>
      <c r="O18" s="1034"/>
      <c r="P18" s="1035"/>
      <c r="Q18" s="1035"/>
    </row>
    <row r="19" spans="1:17" ht="15.75" thickBot="1" x14ac:dyDescent="0.3">
      <c r="A19" s="1034"/>
      <c r="B19" s="1034"/>
      <c r="C19" s="1034"/>
      <c r="D19" s="1034"/>
      <c r="E19" s="1034"/>
      <c r="F19" s="1034"/>
      <c r="G19" s="1035"/>
      <c r="H19" s="1035"/>
      <c r="J19" s="1034"/>
      <c r="K19" s="1034"/>
      <c r="L19" s="1034"/>
      <c r="M19" s="1034"/>
      <c r="N19" s="1034"/>
      <c r="O19" s="1034"/>
      <c r="P19" s="1035"/>
      <c r="Q19" s="1035"/>
    </row>
    <row r="20" spans="1:17" ht="15.75" thickBot="1" x14ac:dyDescent="0.3">
      <c r="A20" s="1036" t="s">
        <v>16</v>
      </c>
      <c r="B20" s="1037"/>
      <c r="C20" s="1037"/>
      <c r="D20" s="1037"/>
      <c r="E20" s="1037"/>
      <c r="F20" s="1037"/>
      <c r="G20" s="1037"/>
      <c r="H20" s="1038"/>
      <c r="J20" s="1036" t="s">
        <v>987</v>
      </c>
      <c r="K20" s="1037"/>
      <c r="L20" s="1037"/>
      <c r="M20" s="1037"/>
      <c r="N20" s="1037"/>
      <c r="O20" s="1037"/>
      <c r="P20" s="1037"/>
      <c r="Q20" s="1038"/>
    </row>
    <row r="21" spans="1:17" x14ac:dyDescent="0.25">
      <c r="A21" s="1039" t="s">
        <v>52</v>
      </c>
      <c r="B21" s="1040"/>
      <c r="C21" s="1039" t="s">
        <v>53</v>
      </c>
      <c r="D21" s="1041"/>
      <c r="E21" s="1041"/>
      <c r="F21" s="1040"/>
      <c r="G21" s="1028" t="s">
        <v>778</v>
      </c>
      <c r="H21" s="1028"/>
      <c r="J21" s="1039" t="s">
        <v>52</v>
      </c>
      <c r="K21" s="1040"/>
      <c r="L21" s="1039" t="s">
        <v>53</v>
      </c>
      <c r="M21" s="1041"/>
      <c r="N21" s="1041"/>
      <c r="O21" s="1040"/>
      <c r="P21" s="1028" t="s">
        <v>778</v>
      </c>
      <c r="Q21" s="1028"/>
    </row>
    <row r="22" spans="1:17" x14ac:dyDescent="0.25">
      <c r="A22" s="1034"/>
      <c r="B22" s="1034"/>
      <c r="C22" s="1034"/>
      <c r="D22" s="1034"/>
      <c r="E22" s="1034"/>
      <c r="F22" s="1034"/>
      <c r="G22" s="1035">
        <v>0</v>
      </c>
      <c r="H22" s="1035"/>
      <c r="J22" s="1034"/>
      <c r="K22" s="1034"/>
      <c r="L22" s="1034"/>
      <c r="M22" s="1034"/>
      <c r="N22" s="1034"/>
      <c r="O22" s="1034"/>
      <c r="P22" s="1035"/>
      <c r="Q22" s="1035"/>
    </row>
    <row r="23" spans="1:17" x14ac:dyDescent="0.25">
      <c r="A23" s="1034"/>
      <c r="B23" s="1034"/>
      <c r="C23" s="1034"/>
      <c r="D23" s="1034"/>
      <c r="E23" s="1034"/>
      <c r="F23" s="1034"/>
      <c r="G23" s="1035"/>
      <c r="H23" s="1035"/>
      <c r="J23" s="1034"/>
      <c r="K23" s="1034"/>
      <c r="L23" s="1034"/>
      <c r="M23" s="1034"/>
      <c r="N23" s="1034"/>
      <c r="O23" s="1034"/>
      <c r="P23" s="1035"/>
      <c r="Q23" s="1035"/>
    </row>
    <row r="24" spans="1:17" x14ac:dyDescent="0.25">
      <c r="A24" s="1034"/>
      <c r="B24" s="1034"/>
      <c r="C24" s="1034"/>
      <c r="D24" s="1034"/>
      <c r="E24" s="1034"/>
      <c r="F24" s="1034"/>
      <c r="G24" s="1035"/>
      <c r="H24" s="1035"/>
      <c r="J24" s="1034"/>
      <c r="K24" s="1034"/>
      <c r="L24" s="1034"/>
      <c r="M24" s="1034"/>
      <c r="N24" s="1034"/>
      <c r="O24" s="1034"/>
      <c r="P24" s="1035"/>
      <c r="Q24" s="1035"/>
    </row>
    <row r="25" spans="1:17" x14ac:dyDescent="0.25">
      <c r="A25" s="1034"/>
      <c r="B25" s="1034"/>
      <c r="C25" s="1034"/>
      <c r="D25" s="1034"/>
      <c r="E25" s="1034"/>
      <c r="F25" s="1034"/>
      <c r="G25" s="1035"/>
      <c r="H25" s="1035"/>
      <c r="J25" s="1034"/>
      <c r="K25" s="1034"/>
      <c r="L25" s="1034"/>
      <c r="M25" s="1034"/>
      <c r="N25" s="1034"/>
      <c r="O25" s="1034"/>
      <c r="P25" s="1035"/>
      <c r="Q25" s="1035"/>
    </row>
    <row r="26" spans="1:17" x14ac:dyDescent="0.25">
      <c r="A26" s="1034"/>
      <c r="B26" s="1034"/>
      <c r="C26" s="1034"/>
      <c r="D26" s="1034"/>
      <c r="E26" s="1034"/>
      <c r="F26" s="1034"/>
      <c r="G26" s="1035"/>
      <c r="H26" s="1035"/>
      <c r="J26" s="1034"/>
      <c r="K26" s="1034"/>
      <c r="L26" s="1034"/>
      <c r="M26" s="1034"/>
      <c r="N26" s="1034"/>
      <c r="O26" s="1034"/>
      <c r="P26" s="1035"/>
      <c r="Q26" s="1035"/>
    </row>
    <row r="27" spans="1:17" x14ac:dyDescent="0.25">
      <c r="A27" s="1034"/>
      <c r="B27" s="1034"/>
      <c r="C27" s="1034"/>
      <c r="D27" s="1034"/>
      <c r="E27" s="1034"/>
      <c r="F27" s="1034"/>
      <c r="G27" s="1035"/>
      <c r="H27" s="1035"/>
      <c r="J27" s="1034"/>
      <c r="K27" s="1034"/>
      <c r="L27" s="1034"/>
      <c r="M27" s="1034"/>
      <c r="N27" s="1034"/>
      <c r="O27" s="1034"/>
      <c r="P27" s="1035"/>
      <c r="Q27" s="1035"/>
    </row>
    <row r="28" spans="1:17" x14ac:dyDescent="0.25">
      <c r="A28" s="1034"/>
      <c r="B28" s="1034"/>
      <c r="C28" s="1034"/>
      <c r="D28" s="1034"/>
      <c r="E28" s="1034"/>
      <c r="F28" s="1034"/>
      <c r="G28" s="1035"/>
      <c r="H28" s="1035"/>
      <c r="J28" s="1034"/>
      <c r="K28" s="1034"/>
      <c r="L28" s="1034"/>
      <c r="M28" s="1034"/>
      <c r="N28" s="1034"/>
      <c r="O28" s="1034"/>
      <c r="P28" s="1035"/>
      <c r="Q28" s="1035"/>
    </row>
    <row r="29" spans="1:17" x14ac:dyDescent="0.25">
      <c r="A29" s="1034"/>
      <c r="B29" s="1034"/>
      <c r="C29" s="1034"/>
      <c r="D29" s="1034"/>
      <c r="E29" s="1034"/>
      <c r="F29" s="1034"/>
      <c r="G29" s="1035"/>
      <c r="H29" s="1035"/>
      <c r="J29" s="1034"/>
      <c r="K29" s="1034"/>
      <c r="L29" s="1034"/>
      <c r="M29" s="1034"/>
      <c r="N29" s="1034"/>
      <c r="O29" s="1034"/>
      <c r="P29" s="1035"/>
      <c r="Q29" s="1035"/>
    </row>
    <row r="30" spans="1:17" x14ac:dyDescent="0.25">
      <c r="A30" s="1034"/>
      <c r="B30" s="1034"/>
      <c r="C30" s="1034"/>
      <c r="D30" s="1034"/>
      <c r="E30" s="1034"/>
      <c r="F30" s="1034"/>
      <c r="G30" s="1035"/>
      <c r="H30" s="1035"/>
      <c r="J30" s="1034"/>
      <c r="K30" s="1034"/>
      <c r="L30" s="1034"/>
      <c r="M30" s="1034"/>
      <c r="N30" s="1034"/>
      <c r="O30" s="1034"/>
      <c r="P30" s="1035"/>
      <c r="Q30" s="1035"/>
    </row>
    <row r="31" spans="1:17" x14ac:dyDescent="0.25">
      <c r="A31" s="1034"/>
      <c r="B31" s="1034"/>
      <c r="C31" s="1034"/>
      <c r="D31" s="1034"/>
      <c r="E31" s="1034"/>
      <c r="F31" s="1034"/>
      <c r="G31" s="1035"/>
      <c r="H31" s="1035"/>
      <c r="J31" s="1034"/>
      <c r="K31" s="1034"/>
      <c r="L31" s="1034"/>
      <c r="M31" s="1034"/>
      <c r="N31" s="1034"/>
      <c r="O31" s="1034"/>
      <c r="P31" s="1035"/>
      <c r="Q31" s="1035"/>
    </row>
    <row r="32" spans="1:17" x14ac:dyDescent="0.25">
      <c r="A32" s="1034"/>
      <c r="B32" s="1034"/>
      <c r="C32" s="1034"/>
      <c r="D32" s="1034"/>
      <c r="E32" s="1034"/>
      <c r="F32" s="1034"/>
      <c r="G32" s="1035"/>
      <c r="H32" s="1035"/>
      <c r="J32" s="1034"/>
      <c r="K32" s="1034"/>
      <c r="L32" s="1034"/>
      <c r="M32" s="1034"/>
      <c r="N32" s="1034"/>
      <c r="O32" s="1034"/>
      <c r="P32" s="1035"/>
      <c r="Q32" s="1035"/>
    </row>
    <row r="33" spans="1:17" x14ac:dyDescent="0.25">
      <c r="A33" s="1034"/>
      <c r="B33" s="1034"/>
      <c r="C33" s="1034"/>
      <c r="D33" s="1034"/>
      <c r="E33" s="1034"/>
      <c r="F33" s="1034"/>
      <c r="G33" s="1035"/>
      <c r="H33" s="1035"/>
      <c r="J33" s="1034"/>
      <c r="K33" s="1034"/>
      <c r="L33" s="1034"/>
      <c r="M33" s="1034"/>
      <c r="N33" s="1034"/>
      <c r="O33" s="1034"/>
      <c r="P33" s="1035"/>
      <c r="Q33" s="1035"/>
    </row>
    <row r="34" spans="1:17" x14ac:dyDescent="0.25">
      <c r="A34" s="1034"/>
      <c r="B34" s="1034"/>
      <c r="C34" s="1034"/>
      <c r="D34" s="1034"/>
      <c r="E34" s="1034"/>
      <c r="F34" s="1034"/>
      <c r="G34" s="1035"/>
      <c r="H34" s="1035"/>
      <c r="J34" s="1034"/>
      <c r="K34" s="1034"/>
      <c r="L34" s="1034"/>
      <c r="M34" s="1034"/>
      <c r="N34" s="1034"/>
      <c r="O34" s="1034"/>
      <c r="P34" s="1035"/>
      <c r="Q34" s="1035"/>
    </row>
    <row r="35" spans="1:17" x14ac:dyDescent="0.25">
      <c r="A35" s="1034"/>
      <c r="B35" s="1034"/>
      <c r="C35" s="1034"/>
      <c r="D35" s="1034"/>
      <c r="E35" s="1034"/>
      <c r="F35" s="1034"/>
      <c r="G35" s="1035"/>
      <c r="H35" s="1035"/>
      <c r="J35" s="1034"/>
      <c r="K35" s="1034"/>
      <c r="L35" s="1034"/>
      <c r="M35" s="1034"/>
      <c r="N35" s="1034"/>
      <c r="O35" s="1034"/>
      <c r="P35" s="1035"/>
      <c r="Q35" s="1035"/>
    </row>
    <row r="36" spans="1:17" ht="15.75" thickBot="1" x14ac:dyDescent="0.3">
      <c r="A36" s="1034"/>
      <c r="B36" s="1034"/>
      <c r="C36" s="1034"/>
      <c r="D36" s="1034"/>
      <c r="E36" s="1034"/>
      <c r="F36" s="1034"/>
      <c r="G36" s="1035"/>
      <c r="H36" s="1035"/>
      <c r="J36" s="1034"/>
      <c r="K36" s="1034"/>
      <c r="L36" s="1034"/>
      <c r="M36" s="1034"/>
      <c r="N36" s="1034"/>
      <c r="O36" s="1034"/>
      <c r="P36" s="1035"/>
      <c r="Q36" s="1035"/>
    </row>
    <row r="37" spans="1:17" ht="15.75" thickBot="1" x14ac:dyDescent="0.3">
      <c r="A37" s="1036" t="s">
        <v>988</v>
      </c>
      <c r="B37" s="1037"/>
      <c r="C37" s="1037"/>
      <c r="D37" s="1037"/>
      <c r="E37" s="1037"/>
      <c r="F37" s="1037"/>
      <c r="G37" s="1037"/>
      <c r="H37" s="1038"/>
      <c r="J37" s="1036" t="s">
        <v>989</v>
      </c>
      <c r="K37" s="1037"/>
      <c r="L37" s="1037"/>
      <c r="M37" s="1037"/>
      <c r="N37" s="1037"/>
      <c r="O37" s="1037"/>
      <c r="P37" s="1037"/>
      <c r="Q37" s="1038"/>
    </row>
    <row r="38" spans="1:17" x14ac:dyDescent="0.25">
      <c r="A38" s="1039" t="s">
        <v>52</v>
      </c>
      <c r="B38" s="1040"/>
      <c r="C38" s="1039" t="s">
        <v>53</v>
      </c>
      <c r="D38" s="1041"/>
      <c r="E38" s="1041"/>
      <c r="F38" s="1040"/>
      <c r="G38" s="1028" t="s">
        <v>778</v>
      </c>
      <c r="H38" s="1028"/>
      <c r="J38" s="1039" t="s">
        <v>950</v>
      </c>
      <c r="K38" s="1040"/>
      <c r="L38" s="1039" t="s">
        <v>53</v>
      </c>
      <c r="M38" s="1041"/>
      <c r="N38" s="1041"/>
      <c r="O38" s="1040"/>
      <c r="P38" s="1028" t="s">
        <v>778</v>
      </c>
      <c r="Q38" s="1028"/>
    </row>
    <row r="39" spans="1:17" x14ac:dyDescent="0.25">
      <c r="A39" s="1034"/>
      <c r="B39" s="1034"/>
      <c r="C39" s="1034"/>
      <c r="D39" s="1034"/>
      <c r="E39" s="1034"/>
      <c r="F39" s="1034"/>
      <c r="G39" s="1035">
        <v>0</v>
      </c>
      <c r="H39" s="1035"/>
      <c r="J39" s="1050"/>
      <c r="K39" s="1050"/>
      <c r="L39" s="1034"/>
      <c r="M39" s="1034"/>
      <c r="N39" s="1034"/>
      <c r="O39" s="1034"/>
      <c r="P39" s="1035"/>
      <c r="Q39" s="1035"/>
    </row>
    <row r="40" spans="1:17" x14ac:dyDescent="0.25">
      <c r="A40" s="1034"/>
      <c r="B40" s="1034"/>
      <c r="C40" s="1034"/>
      <c r="D40" s="1034"/>
      <c r="E40" s="1034"/>
      <c r="F40" s="1034"/>
      <c r="G40" s="1035"/>
      <c r="H40" s="1035"/>
      <c r="J40" s="1034"/>
      <c r="K40" s="1034"/>
      <c r="L40" s="1034"/>
      <c r="M40" s="1034"/>
      <c r="N40" s="1034"/>
      <c r="O40" s="1034"/>
      <c r="P40" s="1035"/>
      <c r="Q40" s="1035"/>
    </row>
    <row r="41" spans="1:17" x14ac:dyDescent="0.25">
      <c r="A41" s="1034"/>
      <c r="B41" s="1034"/>
      <c r="C41" s="1034"/>
      <c r="D41" s="1034"/>
      <c r="E41" s="1034"/>
      <c r="F41" s="1034"/>
      <c r="G41" s="1035"/>
      <c r="H41" s="1035"/>
      <c r="J41" s="1034"/>
      <c r="K41" s="1034"/>
      <c r="L41" s="1047"/>
      <c r="M41" s="1048"/>
      <c r="N41" s="1048"/>
      <c r="O41" s="1049"/>
      <c r="P41" s="1045"/>
      <c r="Q41" s="1046"/>
    </row>
    <row r="42" spans="1:17" x14ac:dyDescent="0.25">
      <c r="A42" s="1034"/>
      <c r="B42" s="1034"/>
      <c r="C42" s="1034"/>
      <c r="D42" s="1034"/>
      <c r="E42" s="1034"/>
      <c r="F42" s="1034"/>
      <c r="G42" s="1035"/>
      <c r="H42" s="1035"/>
      <c r="J42" s="1034"/>
      <c r="K42" s="1034"/>
      <c r="L42" s="1042"/>
      <c r="M42" s="1043"/>
      <c r="N42" s="1043"/>
      <c r="O42" s="1044"/>
      <c r="P42" s="1045"/>
      <c r="Q42" s="1046"/>
    </row>
    <row r="43" spans="1:17" x14ac:dyDescent="0.25">
      <c r="A43" s="1034"/>
      <c r="B43" s="1034"/>
      <c r="C43" s="1034"/>
      <c r="D43" s="1034"/>
      <c r="E43" s="1034"/>
      <c r="F43" s="1034"/>
      <c r="G43" s="1035"/>
      <c r="H43" s="1035"/>
      <c r="J43" s="1034"/>
      <c r="K43" s="1034"/>
      <c r="L43" s="1042"/>
      <c r="M43" s="1043"/>
      <c r="N43" s="1043"/>
      <c r="O43" s="1044"/>
      <c r="P43" s="1045"/>
      <c r="Q43" s="1046"/>
    </row>
    <row r="44" spans="1:17" x14ac:dyDescent="0.25">
      <c r="A44" s="1034"/>
      <c r="B44" s="1034"/>
      <c r="C44" s="1034"/>
      <c r="D44" s="1034"/>
      <c r="E44" s="1034"/>
      <c r="F44" s="1034"/>
      <c r="G44" s="1035"/>
      <c r="H44" s="1035"/>
      <c r="J44" s="1034"/>
      <c r="K44" s="1034"/>
      <c r="L44" s="1042"/>
      <c r="M44" s="1043"/>
      <c r="N44" s="1043"/>
      <c r="O44" s="1044"/>
      <c r="P44" s="1045"/>
      <c r="Q44" s="1046"/>
    </row>
    <row r="45" spans="1:17" x14ac:dyDescent="0.25">
      <c r="A45" s="1034"/>
      <c r="B45" s="1034"/>
      <c r="C45" s="1034"/>
      <c r="D45" s="1034"/>
      <c r="E45" s="1034"/>
      <c r="F45" s="1034"/>
      <c r="G45" s="1035"/>
      <c r="H45" s="1035"/>
      <c r="J45" s="1034"/>
      <c r="K45" s="1034"/>
      <c r="L45" s="1034"/>
      <c r="M45" s="1034"/>
      <c r="N45" s="1034"/>
      <c r="O45" s="1034"/>
      <c r="P45" s="1035"/>
      <c r="Q45" s="1035"/>
    </row>
    <row r="46" spans="1:17" x14ac:dyDescent="0.25">
      <c r="A46" s="1034"/>
      <c r="B46" s="1034"/>
      <c r="C46" s="1034"/>
      <c r="D46" s="1034"/>
      <c r="E46" s="1034"/>
      <c r="F46" s="1034"/>
      <c r="G46" s="1035"/>
      <c r="H46" s="1035"/>
      <c r="J46" s="1034"/>
      <c r="K46" s="1034"/>
      <c r="L46" s="1034"/>
      <c r="M46" s="1034"/>
      <c r="N46" s="1034"/>
      <c r="O46" s="1034"/>
      <c r="P46" s="1035"/>
      <c r="Q46" s="1035"/>
    </row>
    <row r="47" spans="1:17" x14ac:dyDescent="0.25">
      <c r="A47" s="1034"/>
      <c r="B47" s="1034"/>
      <c r="C47" s="1034"/>
      <c r="D47" s="1034"/>
      <c r="E47" s="1034"/>
      <c r="F47" s="1034"/>
      <c r="G47" s="1035"/>
      <c r="H47" s="1035"/>
      <c r="J47" s="1034"/>
      <c r="K47" s="1034"/>
      <c r="L47" s="1034"/>
      <c r="M47" s="1034"/>
      <c r="N47" s="1034"/>
      <c r="O47" s="1034"/>
      <c r="P47" s="1035"/>
      <c r="Q47" s="1035"/>
    </row>
    <row r="48" spans="1:17" x14ac:dyDescent="0.25">
      <c r="A48" s="1034"/>
      <c r="B48" s="1034"/>
      <c r="C48" s="1034"/>
      <c r="D48" s="1034"/>
      <c r="E48" s="1034"/>
      <c r="F48" s="1034"/>
      <c r="G48" s="1035"/>
      <c r="H48" s="1035"/>
      <c r="J48" s="1034"/>
      <c r="K48" s="1034"/>
      <c r="L48" s="1034"/>
      <c r="M48" s="1034"/>
      <c r="N48" s="1034"/>
      <c r="O48" s="1034"/>
      <c r="P48" s="1035"/>
      <c r="Q48" s="1035"/>
    </row>
    <row r="49" spans="1:17" x14ac:dyDescent="0.25">
      <c r="A49" s="1034"/>
      <c r="B49" s="1034"/>
      <c r="C49" s="1034"/>
      <c r="D49" s="1034"/>
      <c r="E49" s="1034"/>
      <c r="F49" s="1034"/>
      <c r="G49" s="1035"/>
      <c r="H49" s="1035"/>
      <c r="J49" s="1034"/>
      <c r="K49" s="1034"/>
      <c r="L49" s="1034"/>
      <c r="M49" s="1034"/>
      <c r="N49" s="1034"/>
      <c r="O49" s="1034"/>
      <c r="P49" s="1035"/>
      <c r="Q49" s="1035"/>
    </row>
    <row r="50" spans="1:17" x14ac:dyDescent="0.25">
      <c r="A50" s="1034"/>
      <c r="B50" s="1034"/>
      <c r="C50" s="1034"/>
      <c r="D50" s="1034"/>
      <c r="E50" s="1034"/>
      <c r="F50" s="1034"/>
      <c r="G50" s="1035"/>
      <c r="H50" s="1035"/>
      <c r="J50" s="1034"/>
      <c r="K50" s="1034"/>
      <c r="L50" s="1034"/>
      <c r="M50" s="1034"/>
      <c r="N50" s="1034"/>
      <c r="O50" s="1034"/>
      <c r="P50" s="1035"/>
      <c r="Q50" s="1035"/>
    </row>
    <row r="51" spans="1:17" x14ac:dyDescent="0.25">
      <c r="A51" s="1034"/>
      <c r="B51" s="1034"/>
      <c r="C51" s="1034"/>
      <c r="D51" s="1034"/>
      <c r="E51" s="1034"/>
      <c r="F51" s="1034"/>
      <c r="G51" s="1035"/>
      <c r="H51" s="1035"/>
      <c r="J51" s="1034"/>
      <c r="K51" s="1034"/>
      <c r="L51" s="1034"/>
      <c r="M51" s="1034"/>
      <c r="N51" s="1034"/>
      <c r="O51" s="1034"/>
      <c r="P51" s="1035"/>
      <c r="Q51" s="1035"/>
    </row>
    <row r="52" spans="1:17" x14ac:dyDescent="0.25">
      <c r="A52" s="1034"/>
      <c r="B52" s="1034"/>
      <c r="C52" s="1034"/>
      <c r="D52" s="1034"/>
      <c r="E52" s="1034"/>
      <c r="F52" s="1034"/>
      <c r="G52" s="1035"/>
      <c r="H52" s="1035"/>
      <c r="J52" s="1034"/>
      <c r="K52" s="1034"/>
      <c r="L52" s="1034"/>
      <c r="M52" s="1034"/>
      <c r="N52" s="1034"/>
      <c r="O52" s="1034"/>
      <c r="P52" s="1035"/>
      <c r="Q52" s="1035"/>
    </row>
    <row r="53" spans="1:17" ht="15.75" thickBot="1" x14ac:dyDescent="0.3">
      <c r="A53" s="1034"/>
      <c r="B53" s="1034"/>
      <c r="C53" s="1034"/>
      <c r="D53" s="1034"/>
      <c r="E53" s="1034"/>
      <c r="F53" s="1034"/>
      <c r="G53" s="1035"/>
      <c r="H53" s="1035"/>
      <c r="J53" s="1034"/>
      <c r="K53" s="1034"/>
      <c r="L53" s="1034"/>
      <c r="M53" s="1034"/>
      <c r="N53" s="1034"/>
      <c r="O53" s="1034"/>
      <c r="P53" s="1035"/>
      <c r="Q53" s="1035"/>
    </row>
    <row r="54" spans="1:17" ht="15.75" thickBot="1" x14ac:dyDescent="0.3">
      <c r="A54" s="1036" t="s">
        <v>990</v>
      </c>
      <c r="B54" s="1037"/>
      <c r="C54" s="1037"/>
      <c r="D54" s="1037"/>
      <c r="E54" s="1037"/>
      <c r="F54" s="1037"/>
      <c r="G54" s="1037"/>
      <c r="H54" s="1038"/>
      <c r="J54" s="1036" t="s">
        <v>991</v>
      </c>
      <c r="K54" s="1037"/>
      <c r="L54" s="1037"/>
      <c r="M54" s="1037"/>
      <c r="N54" s="1037"/>
      <c r="O54" s="1037"/>
      <c r="P54" s="1037"/>
      <c r="Q54" s="1038"/>
    </row>
    <row r="55" spans="1:17" x14ac:dyDescent="0.25">
      <c r="A55" s="1039" t="s">
        <v>52</v>
      </c>
      <c r="B55" s="1040"/>
      <c r="C55" s="1039" t="s">
        <v>53</v>
      </c>
      <c r="D55" s="1041"/>
      <c r="E55" s="1041"/>
      <c r="F55" s="1040"/>
      <c r="G55" s="1028" t="s">
        <v>778</v>
      </c>
      <c r="H55" s="1028"/>
      <c r="J55" s="1039" t="s">
        <v>52</v>
      </c>
      <c r="K55" s="1040"/>
      <c r="L55" s="1039" t="s">
        <v>53</v>
      </c>
      <c r="M55" s="1041"/>
      <c r="N55" s="1041"/>
      <c r="O55" s="1040"/>
      <c r="P55" s="1028" t="s">
        <v>778</v>
      </c>
      <c r="Q55" s="1028"/>
    </row>
    <row r="56" spans="1:17" x14ac:dyDescent="0.25">
      <c r="A56" s="1034"/>
      <c r="B56" s="1034"/>
      <c r="C56" s="1034" t="s">
        <v>992</v>
      </c>
      <c r="D56" s="1034"/>
      <c r="E56" s="1034"/>
      <c r="F56" s="1034"/>
      <c r="G56" s="1035">
        <v>10000</v>
      </c>
      <c r="H56" s="1035"/>
      <c r="J56" s="1034"/>
      <c r="K56" s="1034"/>
      <c r="L56" s="1034"/>
      <c r="M56" s="1034"/>
      <c r="N56" s="1034"/>
      <c r="O56" s="1034"/>
      <c r="P56" s="1035"/>
      <c r="Q56" s="1035"/>
    </row>
    <row r="57" spans="1:17" x14ac:dyDescent="0.25">
      <c r="A57" s="1034"/>
      <c r="B57" s="1034"/>
      <c r="C57" s="1034"/>
      <c r="D57" s="1034"/>
      <c r="E57" s="1034"/>
      <c r="F57" s="1034"/>
      <c r="G57" s="1035"/>
      <c r="H57" s="1035"/>
      <c r="J57" s="1034"/>
      <c r="K57" s="1034"/>
      <c r="L57" s="1034"/>
      <c r="M57" s="1034"/>
      <c r="N57" s="1034"/>
      <c r="O57" s="1034"/>
      <c r="P57" s="1035"/>
      <c r="Q57" s="1035"/>
    </row>
    <row r="58" spans="1:17" x14ac:dyDescent="0.25">
      <c r="A58" s="1034"/>
      <c r="B58" s="1034"/>
      <c r="C58" s="1034"/>
      <c r="D58" s="1034"/>
      <c r="E58" s="1034"/>
      <c r="F58" s="1034"/>
      <c r="G58" s="1035"/>
      <c r="H58" s="1035"/>
      <c r="J58" s="1034"/>
      <c r="K58" s="1034"/>
      <c r="L58" s="1034"/>
      <c r="M58" s="1034"/>
      <c r="N58" s="1034"/>
      <c r="O58" s="1034"/>
      <c r="P58" s="1035"/>
      <c r="Q58" s="1035"/>
    </row>
    <row r="59" spans="1:17" x14ac:dyDescent="0.25">
      <c r="A59" s="1034"/>
      <c r="B59" s="1034"/>
      <c r="C59" s="1034"/>
      <c r="D59" s="1034"/>
      <c r="E59" s="1034"/>
      <c r="F59" s="1034"/>
      <c r="G59" s="1035"/>
      <c r="H59" s="1035"/>
      <c r="J59" s="1034"/>
      <c r="K59" s="1034"/>
      <c r="L59" s="1034"/>
      <c r="M59" s="1034"/>
      <c r="N59" s="1034"/>
      <c r="O59" s="1034"/>
      <c r="P59" s="1035"/>
      <c r="Q59" s="1035"/>
    </row>
    <row r="60" spans="1:17" x14ac:dyDescent="0.25">
      <c r="A60" s="1034"/>
      <c r="B60" s="1034"/>
      <c r="C60" s="1034"/>
      <c r="D60" s="1034"/>
      <c r="E60" s="1034"/>
      <c r="F60" s="1034"/>
      <c r="G60" s="1035"/>
      <c r="H60" s="1035"/>
      <c r="J60" s="1034"/>
      <c r="K60" s="1034"/>
      <c r="L60" s="1034"/>
      <c r="M60" s="1034"/>
      <c r="N60" s="1034"/>
      <c r="O60" s="1034"/>
      <c r="P60" s="1035"/>
      <c r="Q60" s="1035"/>
    </row>
    <row r="61" spans="1:17" x14ac:dyDescent="0.25">
      <c r="A61" s="1034"/>
      <c r="B61" s="1034"/>
      <c r="C61" s="1034"/>
      <c r="D61" s="1034"/>
      <c r="E61" s="1034"/>
      <c r="F61" s="1034"/>
      <c r="G61" s="1035"/>
      <c r="H61" s="1035"/>
      <c r="J61" s="1034"/>
      <c r="K61" s="1034"/>
      <c r="L61" s="1034"/>
      <c r="M61" s="1034"/>
      <c r="N61" s="1034"/>
      <c r="O61" s="1034"/>
      <c r="P61" s="1035"/>
      <c r="Q61" s="1035"/>
    </row>
    <row r="62" spans="1:17" x14ac:dyDescent="0.25">
      <c r="A62" s="1034"/>
      <c r="B62" s="1034"/>
      <c r="C62" s="1034"/>
      <c r="D62" s="1034"/>
      <c r="E62" s="1034"/>
      <c r="F62" s="1034"/>
      <c r="G62" s="1035"/>
      <c r="H62" s="1035"/>
      <c r="J62" s="1034"/>
      <c r="K62" s="1034"/>
      <c r="L62" s="1034"/>
      <c r="M62" s="1034"/>
      <c r="N62" s="1034"/>
      <c r="O62" s="1034"/>
      <c r="P62" s="1035"/>
      <c r="Q62" s="1035"/>
    </row>
    <row r="63" spans="1:17" x14ac:dyDescent="0.25">
      <c r="A63" s="1034"/>
      <c r="B63" s="1034"/>
      <c r="C63" s="1034"/>
      <c r="D63" s="1034"/>
      <c r="E63" s="1034"/>
      <c r="F63" s="1034"/>
      <c r="G63" s="1035"/>
      <c r="H63" s="1035"/>
      <c r="J63" s="1034"/>
      <c r="K63" s="1034"/>
      <c r="L63" s="1034"/>
      <c r="M63" s="1034"/>
      <c r="N63" s="1034"/>
      <c r="O63" s="1034"/>
      <c r="P63" s="1035"/>
      <c r="Q63" s="1035"/>
    </row>
    <row r="64" spans="1:17" x14ac:dyDescent="0.25">
      <c r="A64" s="1034"/>
      <c r="B64" s="1034"/>
      <c r="C64" s="1034"/>
      <c r="D64" s="1034"/>
      <c r="E64" s="1034"/>
      <c r="F64" s="1034"/>
      <c r="G64" s="1035"/>
      <c r="H64" s="1035"/>
      <c r="J64" s="1034"/>
      <c r="K64" s="1034"/>
      <c r="L64" s="1034"/>
      <c r="M64" s="1034"/>
      <c r="N64" s="1034"/>
      <c r="O64" s="1034"/>
      <c r="P64" s="1035"/>
      <c r="Q64" s="1035"/>
    </row>
    <row r="65" spans="1:17" x14ac:dyDescent="0.25">
      <c r="A65" s="1034"/>
      <c r="B65" s="1034"/>
      <c r="C65" s="1034"/>
      <c r="D65" s="1034"/>
      <c r="E65" s="1034"/>
      <c r="F65" s="1034"/>
      <c r="G65" s="1035"/>
      <c r="H65" s="1035"/>
      <c r="J65" s="1034"/>
      <c r="K65" s="1034"/>
      <c r="L65" s="1034"/>
      <c r="M65" s="1034"/>
      <c r="N65" s="1034"/>
      <c r="O65" s="1034"/>
      <c r="P65" s="1035"/>
      <c r="Q65" s="1035"/>
    </row>
    <row r="66" spans="1:17" x14ac:dyDescent="0.25">
      <c r="A66" s="1034"/>
      <c r="B66" s="1034"/>
      <c r="C66" s="1034"/>
      <c r="D66" s="1034"/>
      <c r="E66" s="1034"/>
      <c r="F66" s="1034"/>
      <c r="G66" s="1035"/>
      <c r="H66" s="1035"/>
      <c r="J66" s="1034"/>
      <c r="K66" s="1034"/>
      <c r="L66" s="1034"/>
      <c r="M66" s="1034"/>
      <c r="N66" s="1034"/>
      <c r="O66" s="1034"/>
      <c r="P66" s="1035"/>
      <c r="Q66" s="1035"/>
    </row>
    <row r="67" spans="1:17" x14ac:dyDescent="0.25">
      <c r="A67" s="1034"/>
      <c r="B67" s="1034"/>
      <c r="C67" s="1034"/>
      <c r="D67" s="1034"/>
      <c r="E67" s="1034"/>
      <c r="F67" s="1034"/>
      <c r="G67" s="1035"/>
      <c r="H67" s="1035"/>
      <c r="J67" s="1034"/>
      <c r="K67" s="1034"/>
      <c r="L67" s="1034"/>
      <c r="M67" s="1034"/>
      <c r="N67" s="1034"/>
      <c r="O67" s="1034"/>
      <c r="P67" s="1035"/>
      <c r="Q67" s="1035"/>
    </row>
    <row r="68" spans="1:17" x14ac:dyDescent="0.25">
      <c r="A68" s="1034"/>
      <c r="B68" s="1034"/>
      <c r="C68" s="1034"/>
      <c r="D68" s="1034"/>
      <c r="E68" s="1034"/>
      <c r="F68" s="1034"/>
      <c r="G68" s="1035"/>
      <c r="H68" s="1035"/>
      <c r="J68" s="1034"/>
      <c r="K68" s="1034"/>
      <c r="L68" s="1034"/>
      <c r="M68" s="1034"/>
      <c r="N68" s="1034"/>
      <c r="O68" s="1034"/>
      <c r="P68" s="1035"/>
      <c r="Q68" s="1035"/>
    </row>
    <row r="69" spans="1:17" x14ac:dyDescent="0.25">
      <c r="A69" s="1034"/>
      <c r="B69" s="1034"/>
      <c r="C69" s="1034"/>
      <c r="D69" s="1034"/>
      <c r="E69" s="1034"/>
      <c r="F69" s="1034"/>
      <c r="G69" s="1035"/>
      <c r="H69" s="1035"/>
      <c r="J69" s="1034"/>
      <c r="K69" s="1034"/>
      <c r="L69" s="1034"/>
      <c r="M69" s="1034"/>
      <c r="N69" s="1034"/>
      <c r="O69" s="1034"/>
      <c r="P69" s="1035"/>
      <c r="Q69" s="1035"/>
    </row>
    <row r="70" spans="1:17" x14ac:dyDescent="0.25">
      <c r="A70" s="1032">
        <v>0</v>
      </c>
      <c r="B70" s="1032"/>
      <c r="C70" s="1032" t="s">
        <v>993</v>
      </c>
      <c r="D70" s="1032"/>
      <c r="E70" s="1032"/>
      <c r="F70" s="1032"/>
      <c r="G70" s="1033">
        <f>A70*1350</f>
        <v>0</v>
      </c>
      <c r="H70" s="1033"/>
      <c r="J70" s="1034"/>
      <c r="K70" s="1034"/>
      <c r="L70" s="1034"/>
      <c r="M70" s="1034"/>
      <c r="N70" s="1034"/>
      <c r="O70" s="1034"/>
      <c r="P70" s="1035"/>
      <c r="Q70" s="1035"/>
    </row>
    <row r="71" spans="1:17" ht="15.75" thickBot="1" x14ac:dyDescent="0.3"/>
    <row r="72" spans="1:17" ht="15.75" thickBot="1" x14ac:dyDescent="0.3">
      <c r="A72" s="154" t="s">
        <v>797</v>
      </c>
      <c r="B72" s="153"/>
      <c r="C72" s="153"/>
      <c r="D72" s="153"/>
      <c r="E72" s="153"/>
      <c r="F72" s="153"/>
      <c r="G72" s="153"/>
      <c r="H72" s="153"/>
      <c r="I72" s="153"/>
      <c r="J72" s="153"/>
      <c r="K72" s="153"/>
      <c r="L72" s="153"/>
      <c r="M72" s="153"/>
      <c r="N72" s="153"/>
      <c r="O72" s="153"/>
      <c r="P72" s="153"/>
      <c r="Q72" s="155"/>
    </row>
    <row r="73" spans="1:17" x14ac:dyDescent="0.25">
      <c r="A73" s="1028" t="s">
        <v>52</v>
      </c>
      <c r="B73" s="1028"/>
      <c r="C73" s="1029" t="s">
        <v>53</v>
      </c>
      <c r="D73" s="1030"/>
      <c r="E73" s="1030"/>
      <c r="F73" s="1030"/>
      <c r="G73" s="1030"/>
      <c r="H73" s="1030"/>
      <c r="I73" s="1030"/>
      <c r="J73" s="1030"/>
      <c r="K73" s="1031"/>
      <c r="L73" s="1028" t="s">
        <v>994</v>
      </c>
      <c r="M73" s="1028"/>
      <c r="N73" s="156" t="s">
        <v>995</v>
      </c>
      <c r="O73" s="156" t="s">
        <v>947</v>
      </c>
      <c r="P73" s="1028" t="s">
        <v>778</v>
      </c>
      <c r="Q73" s="1028"/>
    </row>
    <row r="74" spans="1:17" x14ac:dyDescent="0.25">
      <c r="A74" s="1025" t="s">
        <v>996</v>
      </c>
      <c r="B74" s="1025"/>
      <c r="C74" s="1025" t="s">
        <v>997</v>
      </c>
      <c r="D74" s="1025"/>
      <c r="E74" s="1025"/>
      <c r="F74" s="1025"/>
      <c r="G74" s="1025"/>
      <c r="H74" s="1025"/>
      <c r="I74" s="1025"/>
      <c r="J74" s="1025"/>
      <c r="K74" s="1025"/>
      <c r="L74" s="1026">
        <v>578.20000000000005</v>
      </c>
      <c r="M74" s="1026"/>
      <c r="N74" s="1027" t="s">
        <v>998</v>
      </c>
      <c r="O74" s="1023"/>
      <c r="P74" s="1024">
        <f>SUM(O74*L74)</f>
        <v>0</v>
      </c>
      <c r="Q74" s="1024"/>
    </row>
    <row r="75" spans="1:17" x14ac:dyDescent="0.25">
      <c r="A75" s="1025"/>
      <c r="B75" s="1025"/>
      <c r="C75" s="1025"/>
      <c r="D75" s="1025"/>
      <c r="E75" s="1025"/>
      <c r="F75" s="1025"/>
      <c r="G75" s="1025"/>
      <c r="H75" s="1025"/>
      <c r="I75" s="1025"/>
      <c r="J75" s="1025"/>
      <c r="K75" s="1025"/>
      <c r="L75" s="1026"/>
      <c r="M75" s="1026"/>
      <c r="N75" s="1027"/>
      <c r="O75" s="1023"/>
      <c r="P75" s="1024"/>
      <c r="Q75" s="1024"/>
    </row>
    <row r="76" spans="1:17" x14ac:dyDescent="0.25">
      <c r="A76" s="1025" t="s">
        <v>999</v>
      </c>
      <c r="B76" s="1025"/>
      <c r="C76" s="1025" t="s">
        <v>1000</v>
      </c>
      <c r="D76" s="1025"/>
      <c r="E76" s="1025"/>
      <c r="F76" s="1025"/>
      <c r="G76" s="1025"/>
      <c r="H76" s="1025"/>
      <c r="I76" s="1025"/>
      <c r="J76" s="1025"/>
      <c r="K76" s="1025"/>
      <c r="L76" s="1026">
        <v>676.2</v>
      </c>
      <c r="M76" s="1026"/>
      <c r="N76" s="1027" t="s">
        <v>998</v>
      </c>
      <c r="O76" s="1023"/>
      <c r="P76" s="1024">
        <f>SUM(O76*L76)</f>
        <v>0</v>
      </c>
      <c r="Q76" s="1024"/>
    </row>
    <row r="77" spans="1:17" x14ac:dyDescent="0.25">
      <c r="A77" s="1025"/>
      <c r="B77" s="1025"/>
      <c r="C77" s="1025"/>
      <c r="D77" s="1025"/>
      <c r="E77" s="1025"/>
      <c r="F77" s="1025"/>
      <c r="G77" s="1025"/>
      <c r="H77" s="1025"/>
      <c r="I77" s="1025"/>
      <c r="J77" s="1025"/>
      <c r="K77" s="1025"/>
      <c r="L77" s="1026"/>
      <c r="M77" s="1026"/>
      <c r="N77" s="1027"/>
      <c r="O77" s="1023"/>
      <c r="P77" s="1024"/>
      <c r="Q77" s="1024"/>
    </row>
    <row r="78" spans="1:17" x14ac:dyDescent="0.25">
      <c r="A78" s="1025" t="s">
        <v>1001</v>
      </c>
      <c r="B78" s="1025"/>
      <c r="C78" s="1025" t="s">
        <v>1002</v>
      </c>
      <c r="D78" s="1025"/>
      <c r="E78" s="1025"/>
      <c r="F78" s="1025"/>
      <c r="G78" s="1025"/>
      <c r="H78" s="1025"/>
      <c r="I78" s="1025"/>
      <c r="J78" s="1025"/>
      <c r="K78" s="1025"/>
      <c r="L78" s="1026">
        <v>578.20000000000005</v>
      </c>
      <c r="M78" s="1026"/>
      <c r="N78" s="1027" t="s">
        <v>998</v>
      </c>
      <c r="O78" s="1023"/>
      <c r="P78" s="1024">
        <f>SUM(O78*L78)</f>
        <v>0</v>
      </c>
      <c r="Q78" s="1024"/>
    </row>
    <row r="79" spans="1:17" x14ac:dyDescent="0.25">
      <c r="A79" s="1025"/>
      <c r="B79" s="1025"/>
      <c r="C79" s="1025"/>
      <c r="D79" s="1025"/>
      <c r="E79" s="1025"/>
      <c r="F79" s="1025"/>
      <c r="G79" s="1025"/>
      <c r="H79" s="1025"/>
      <c r="I79" s="1025"/>
      <c r="J79" s="1025"/>
      <c r="K79" s="1025"/>
      <c r="L79" s="1026"/>
      <c r="M79" s="1026"/>
      <c r="N79" s="1027"/>
      <c r="O79" s="1023"/>
      <c r="P79" s="1024"/>
      <c r="Q79" s="1024"/>
    </row>
    <row r="80" spans="1:17" x14ac:dyDescent="0.25">
      <c r="A80" s="1025" t="s">
        <v>1003</v>
      </c>
      <c r="B80" s="1025"/>
      <c r="C80" s="1025" t="s">
        <v>1004</v>
      </c>
      <c r="D80" s="1025"/>
      <c r="E80" s="1025"/>
      <c r="F80" s="1025"/>
      <c r="G80" s="1025"/>
      <c r="H80" s="1025"/>
      <c r="I80" s="1025"/>
      <c r="J80" s="1025"/>
      <c r="K80" s="1025"/>
      <c r="L80" s="1026">
        <v>350</v>
      </c>
      <c r="M80" s="1026"/>
      <c r="N80" s="1027" t="s">
        <v>998</v>
      </c>
      <c r="O80" s="1023"/>
      <c r="P80" s="1024">
        <f>SUM(O80*L80)</f>
        <v>0</v>
      </c>
      <c r="Q80" s="1024"/>
    </row>
    <row r="81" spans="1:17" x14ac:dyDescent="0.25">
      <c r="A81" s="1025"/>
      <c r="B81" s="1025"/>
      <c r="C81" s="1025"/>
      <c r="D81" s="1025"/>
      <c r="E81" s="1025"/>
      <c r="F81" s="1025"/>
      <c r="G81" s="1025"/>
      <c r="H81" s="1025"/>
      <c r="I81" s="1025"/>
      <c r="J81" s="1025"/>
      <c r="K81" s="1025"/>
      <c r="L81" s="1026"/>
      <c r="M81" s="1026"/>
      <c r="N81" s="1027"/>
      <c r="O81" s="1023"/>
      <c r="P81" s="1024"/>
      <c r="Q81" s="1024"/>
    </row>
    <row r="82" spans="1:17" x14ac:dyDescent="0.25">
      <c r="A82" s="1025" t="s">
        <v>1005</v>
      </c>
      <c r="B82" s="1025"/>
      <c r="C82" s="1025" t="s">
        <v>1006</v>
      </c>
      <c r="D82" s="1025"/>
      <c r="E82" s="1025"/>
      <c r="F82" s="1025"/>
      <c r="G82" s="1025"/>
      <c r="H82" s="1025"/>
      <c r="I82" s="1025"/>
      <c r="J82" s="1025"/>
      <c r="K82" s="1025"/>
      <c r="L82" s="1026">
        <v>32.700000000000003</v>
      </c>
      <c r="M82" s="1026"/>
      <c r="N82" s="1027" t="s">
        <v>1007</v>
      </c>
      <c r="O82" s="1023"/>
      <c r="P82" s="1024">
        <f>SUM(O82*L82)</f>
        <v>0</v>
      </c>
      <c r="Q82" s="1024"/>
    </row>
    <row r="83" spans="1:17" x14ac:dyDescent="0.25">
      <c r="A83" s="1025"/>
      <c r="B83" s="1025"/>
      <c r="C83" s="1025"/>
      <c r="D83" s="1025"/>
      <c r="E83" s="1025"/>
      <c r="F83" s="1025"/>
      <c r="G83" s="1025"/>
      <c r="H83" s="1025"/>
      <c r="I83" s="1025"/>
      <c r="J83" s="1025"/>
      <c r="K83" s="1025"/>
      <c r="L83" s="1026"/>
      <c r="M83" s="1026"/>
      <c r="N83" s="1027"/>
      <c r="O83" s="1023"/>
      <c r="P83" s="1024"/>
      <c r="Q83" s="1024"/>
    </row>
    <row r="84" spans="1:17" x14ac:dyDescent="0.25">
      <c r="A84" s="1021" t="s">
        <v>357</v>
      </c>
      <c r="B84" s="1021"/>
      <c r="C84" s="1021"/>
      <c r="D84" s="1021"/>
      <c r="E84" s="1021"/>
      <c r="F84" s="1021"/>
      <c r="G84" s="1021"/>
      <c r="H84" s="1021"/>
      <c r="I84" s="1021"/>
      <c r="J84" s="1021"/>
      <c r="K84" s="1021"/>
      <c r="L84" s="1022"/>
      <c r="M84" s="1022"/>
      <c r="N84" s="1023"/>
      <c r="O84" s="1023"/>
      <c r="P84" s="1024">
        <f>SUM(O84*L84)</f>
        <v>0</v>
      </c>
      <c r="Q84" s="1024"/>
    </row>
    <row r="85" spans="1:17" x14ac:dyDescent="0.25">
      <c r="A85" s="1021"/>
      <c r="B85" s="1021"/>
      <c r="C85" s="1021"/>
      <c r="D85" s="1021"/>
      <c r="E85" s="1021"/>
      <c r="F85" s="1021"/>
      <c r="G85" s="1021"/>
      <c r="H85" s="1021"/>
      <c r="I85" s="1021"/>
      <c r="J85" s="1021"/>
      <c r="K85" s="1021"/>
      <c r="L85" s="1022"/>
      <c r="M85" s="1022"/>
      <c r="N85" s="1023"/>
      <c r="O85" s="1023"/>
      <c r="P85" s="1024"/>
      <c r="Q85" s="1024"/>
    </row>
    <row r="86" spans="1:17" x14ac:dyDescent="0.25">
      <c r="A86" s="1021" t="s">
        <v>357</v>
      </c>
      <c r="B86" s="1021"/>
      <c r="C86" s="1021"/>
      <c r="D86" s="1021"/>
      <c r="E86" s="1021"/>
      <c r="F86" s="1021"/>
      <c r="G86" s="1021"/>
      <c r="H86" s="1021"/>
      <c r="I86" s="1021"/>
      <c r="J86" s="1021"/>
      <c r="K86" s="1021"/>
      <c r="L86" s="1022"/>
      <c r="M86" s="1022"/>
      <c r="N86" s="1023"/>
      <c r="O86" s="1023"/>
      <c r="P86" s="1024">
        <f>SUM(O86*L86)</f>
        <v>0</v>
      </c>
      <c r="Q86" s="1024"/>
    </row>
    <row r="87" spans="1:17" x14ac:dyDescent="0.25">
      <c r="A87" s="1021"/>
      <c r="B87" s="1021"/>
      <c r="C87" s="1021"/>
      <c r="D87" s="1021"/>
      <c r="E87" s="1021"/>
      <c r="F87" s="1021"/>
      <c r="G87" s="1021"/>
      <c r="H87" s="1021"/>
      <c r="I87" s="1021"/>
      <c r="J87" s="1021"/>
      <c r="K87" s="1021"/>
      <c r="L87" s="1022"/>
      <c r="M87" s="1022"/>
      <c r="N87" s="1023"/>
      <c r="O87" s="1023"/>
      <c r="P87" s="1024"/>
      <c r="Q87" s="1024"/>
    </row>
    <row r="88" spans="1:17" x14ac:dyDescent="0.25">
      <c r="A88" s="1020" t="s">
        <v>1008</v>
      </c>
      <c r="B88" s="1020"/>
      <c r="C88" s="1020"/>
      <c r="D88" s="1020"/>
      <c r="E88" s="1020"/>
      <c r="F88" s="1020"/>
      <c r="G88" s="1020"/>
      <c r="H88" s="1020"/>
      <c r="I88" s="1020"/>
      <c r="J88" s="1020"/>
      <c r="K88" s="1020"/>
      <c r="L88" s="1020"/>
      <c r="M88" s="1020"/>
      <c r="N88" s="1020"/>
      <c r="O88" s="1020"/>
      <c r="P88" s="1020">
        <f>SUM(P74:P87)</f>
        <v>0</v>
      </c>
      <c r="Q88" s="1020"/>
    </row>
  </sheetData>
  <mergeCells count="441">
    <mergeCell ref="A5:B5"/>
    <mergeCell ref="C5:F5"/>
    <mergeCell ref="G5:H5"/>
    <mergeCell ref="J5:K5"/>
    <mergeCell ref="L5:O5"/>
    <mergeCell ref="P5:Q5"/>
    <mergeCell ref="A1:Q1"/>
    <mergeCell ref="A3:H3"/>
    <mergeCell ref="J3:Q3"/>
    <mergeCell ref="A4:B4"/>
    <mergeCell ref="C4:F4"/>
    <mergeCell ref="G4:H4"/>
    <mergeCell ref="J4:K4"/>
    <mergeCell ref="L4:O4"/>
    <mergeCell ref="P4:Q4"/>
    <mergeCell ref="A7:B7"/>
    <mergeCell ref="C7:F7"/>
    <mergeCell ref="G7:H7"/>
    <mergeCell ref="J7:K7"/>
    <mergeCell ref="L7:O7"/>
    <mergeCell ref="P7:Q7"/>
    <mergeCell ref="A6:B6"/>
    <mergeCell ref="C6:F6"/>
    <mergeCell ref="G6:H6"/>
    <mergeCell ref="J6:K6"/>
    <mergeCell ref="L6:O6"/>
    <mergeCell ref="P6:Q6"/>
    <mergeCell ref="A9:B9"/>
    <mergeCell ref="C9:F9"/>
    <mergeCell ref="G9:H9"/>
    <mergeCell ref="J9:K9"/>
    <mergeCell ref="L9:O9"/>
    <mergeCell ref="P9:Q9"/>
    <mergeCell ref="A8:B8"/>
    <mergeCell ref="C8:F8"/>
    <mergeCell ref="G8:H8"/>
    <mergeCell ref="J8:K8"/>
    <mergeCell ref="L8:O8"/>
    <mergeCell ref="P8:Q8"/>
    <mergeCell ref="A11:B11"/>
    <mergeCell ref="C11:F11"/>
    <mergeCell ref="G11:H11"/>
    <mergeCell ref="J11:K11"/>
    <mergeCell ref="L11:O11"/>
    <mergeCell ref="P11:Q11"/>
    <mergeCell ref="A10:B10"/>
    <mergeCell ref="C10:F10"/>
    <mergeCell ref="G10:H10"/>
    <mergeCell ref="J10:K10"/>
    <mergeCell ref="L10:O10"/>
    <mergeCell ref="P10:Q10"/>
    <mergeCell ref="A13:B13"/>
    <mergeCell ref="C13:F13"/>
    <mergeCell ref="G13:H13"/>
    <mergeCell ref="J13:K13"/>
    <mergeCell ref="L13:O13"/>
    <mergeCell ref="P13:Q13"/>
    <mergeCell ref="A12:B12"/>
    <mergeCell ref="C12:F12"/>
    <mergeCell ref="G12:H12"/>
    <mergeCell ref="J12:K12"/>
    <mergeCell ref="L12:O12"/>
    <mergeCell ref="P12:Q12"/>
    <mergeCell ref="A15:B15"/>
    <mergeCell ref="C15:F15"/>
    <mergeCell ref="G15:H15"/>
    <mergeCell ref="J15:K15"/>
    <mergeCell ref="L15:O15"/>
    <mergeCell ref="P15:Q15"/>
    <mergeCell ref="A14:B14"/>
    <mergeCell ref="C14:F14"/>
    <mergeCell ref="G14:H14"/>
    <mergeCell ref="J14:K14"/>
    <mergeCell ref="L14:O14"/>
    <mergeCell ref="P14:Q14"/>
    <mergeCell ref="A17:B17"/>
    <mergeCell ref="C17:F17"/>
    <mergeCell ref="G17:H17"/>
    <mergeCell ref="J17:K17"/>
    <mergeCell ref="L17:O17"/>
    <mergeCell ref="P17:Q17"/>
    <mergeCell ref="A16:B16"/>
    <mergeCell ref="C16:F16"/>
    <mergeCell ref="G16:H16"/>
    <mergeCell ref="J16:K16"/>
    <mergeCell ref="L16:O16"/>
    <mergeCell ref="P16:Q16"/>
    <mergeCell ref="A19:B19"/>
    <mergeCell ref="C19:F19"/>
    <mergeCell ref="G19:H19"/>
    <mergeCell ref="J19:K19"/>
    <mergeCell ref="L19:O19"/>
    <mergeCell ref="P19:Q19"/>
    <mergeCell ref="A18:B18"/>
    <mergeCell ref="C18:F18"/>
    <mergeCell ref="G18:H18"/>
    <mergeCell ref="J18:K18"/>
    <mergeCell ref="L18:O18"/>
    <mergeCell ref="P18:Q18"/>
    <mergeCell ref="A22:B22"/>
    <mergeCell ref="C22:F22"/>
    <mergeCell ref="G22:H22"/>
    <mergeCell ref="J22:K22"/>
    <mergeCell ref="L22:O22"/>
    <mergeCell ref="P22:Q22"/>
    <mergeCell ref="A20:H20"/>
    <mergeCell ref="J20:Q20"/>
    <mergeCell ref="A21:B21"/>
    <mergeCell ref="C21:F21"/>
    <mergeCell ref="G21:H21"/>
    <mergeCell ref="J21:K21"/>
    <mergeCell ref="L21:O21"/>
    <mergeCell ref="P21:Q21"/>
    <mergeCell ref="A24:B24"/>
    <mergeCell ref="C24:F24"/>
    <mergeCell ref="G24:H24"/>
    <mergeCell ref="J24:K24"/>
    <mergeCell ref="L24:O24"/>
    <mergeCell ref="P24:Q24"/>
    <mergeCell ref="A23:B23"/>
    <mergeCell ref="C23:F23"/>
    <mergeCell ref="G23:H23"/>
    <mergeCell ref="J23:K23"/>
    <mergeCell ref="L23:O23"/>
    <mergeCell ref="P23:Q23"/>
    <mergeCell ref="A26:B26"/>
    <mergeCell ref="C26:F26"/>
    <mergeCell ref="G26:H26"/>
    <mergeCell ref="J26:K26"/>
    <mergeCell ref="L26:O26"/>
    <mergeCell ref="P26:Q26"/>
    <mergeCell ref="A25:B25"/>
    <mergeCell ref="C25:F25"/>
    <mergeCell ref="G25:H25"/>
    <mergeCell ref="J25:K25"/>
    <mergeCell ref="L25:O25"/>
    <mergeCell ref="P25:Q25"/>
    <mergeCell ref="A28:B28"/>
    <mergeCell ref="C28:F28"/>
    <mergeCell ref="G28:H28"/>
    <mergeCell ref="J28:K28"/>
    <mergeCell ref="L28:O28"/>
    <mergeCell ref="P28:Q28"/>
    <mergeCell ref="A27:B27"/>
    <mergeCell ref="C27:F27"/>
    <mergeCell ref="G27:H27"/>
    <mergeCell ref="J27:K27"/>
    <mergeCell ref="L27:O27"/>
    <mergeCell ref="P27:Q27"/>
    <mergeCell ref="A30:B30"/>
    <mergeCell ref="C30:F30"/>
    <mergeCell ref="G30:H30"/>
    <mergeCell ref="J30:K30"/>
    <mergeCell ref="L30:O30"/>
    <mergeCell ref="P30:Q30"/>
    <mergeCell ref="A29:B29"/>
    <mergeCell ref="C29:F29"/>
    <mergeCell ref="G29:H29"/>
    <mergeCell ref="J29:K29"/>
    <mergeCell ref="L29:O29"/>
    <mergeCell ref="P29:Q29"/>
    <mergeCell ref="A32:B32"/>
    <mergeCell ref="C32:F32"/>
    <mergeCell ref="G32:H32"/>
    <mergeCell ref="J32:K32"/>
    <mergeCell ref="L32:O32"/>
    <mergeCell ref="P32:Q32"/>
    <mergeCell ref="A31:B31"/>
    <mergeCell ref="C31:F31"/>
    <mergeCell ref="G31:H31"/>
    <mergeCell ref="J31:K31"/>
    <mergeCell ref="L31:O31"/>
    <mergeCell ref="P31:Q31"/>
    <mergeCell ref="A34:B34"/>
    <mergeCell ref="C34:F34"/>
    <mergeCell ref="G34:H34"/>
    <mergeCell ref="J34:K34"/>
    <mergeCell ref="L34:O34"/>
    <mergeCell ref="P34:Q34"/>
    <mergeCell ref="A33:B33"/>
    <mergeCell ref="C33:F33"/>
    <mergeCell ref="G33:H33"/>
    <mergeCell ref="J33:K33"/>
    <mergeCell ref="L33:O33"/>
    <mergeCell ref="P33:Q33"/>
    <mergeCell ref="A36:B36"/>
    <mergeCell ref="C36:F36"/>
    <mergeCell ref="G36:H36"/>
    <mergeCell ref="J36:K36"/>
    <mergeCell ref="L36:O36"/>
    <mergeCell ref="P36:Q36"/>
    <mergeCell ref="A35:B35"/>
    <mergeCell ref="C35:F35"/>
    <mergeCell ref="G35:H35"/>
    <mergeCell ref="J35:K35"/>
    <mergeCell ref="L35:O35"/>
    <mergeCell ref="P35:Q35"/>
    <mergeCell ref="A39:B39"/>
    <mergeCell ref="C39:F39"/>
    <mergeCell ref="G39:H39"/>
    <mergeCell ref="J39:K39"/>
    <mergeCell ref="L39:O39"/>
    <mergeCell ref="P39:Q39"/>
    <mergeCell ref="A37:H37"/>
    <mergeCell ref="J37:Q37"/>
    <mergeCell ref="A38:B38"/>
    <mergeCell ref="C38:F38"/>
    <mergeCell ref="G38:H38"/>
    <mergeCell ref="J38:K38"/>
    <mergeCell ref="L38:O38"/>
    <mergeCell ref="P38:Q38"/>
    <mergeCell ref="A41:B41"/>
    <mergeCell ref="C41:F41"/>
    <mergeCell ref="G41:H41"/>
    <mergeCell ref="J41:K41"/>
    <mergeCell ref="L41:O41"/>
    <mergeCell ref="P41:Q41"/>
    <mergeCell ref="A40:B40"/>
    <mergeCell ref="C40:F40"/>
    <mergeCell ref="G40:H40"/>
    <mergeCell ref="J40:K40"/>
    <mergeCell ref="L40:O40"/>
    <mergeCell ref="P40:Q40"/>
    <mergeCell ref="A43:B43"/>
    <mergeCell ref="C43:F43"/>
    <mergeCell ref="G43:H43"/>
    <mergeCell ref="J43:K43"/>
    <mergeCell ref="L43:O43"/>
    <mergeCell ref="P43:Q43"/>
    <mergeCell ref="A42:B42"/>
    <mergeCell ref="C42:F42"/>
    <mergeCell ref="G42:H42"/>
    <mergeCell ref="J42:K42"/>
    <mergeCell ref="L42:O42"/>
    <mergeCell ref="P42:Q42"/>
    <mergeCell ref="A45:B45"/>
    <mergeCell ref="C45:F45"/>
    <mergeCell ref="G45:H45"/>
    <mergeCell ref="J45:K45"/>
    <mergeCell ref="L45:O45"/>
    <mergeCell ref="P45:Q45"/>
    <mergeCell ref="A44:B44"/>
    <mergeCell ref="C44:F44"/>
    <mergeCell ref="G44:H44"/>
    <mergeCell ref="J44:K44"/>
    <mergeCell ref="L44:O44"/>
    <mergeCell ref="P44:Q44"/>
    <mergeCell ref="A47:B47"/>
    <mergeCell ref="C47:F47"/>
    <mergeCell ref="G47:H47"/>
    <mergeCell ref="J47:K47"/>
    <mergeCell ref="L47:O47"/>
    <mergeCell ref="P47:Q47"/>
    <mergeCell ref="A46:B46"/>
    <mergeCell ref="C46:F46"/>
    <mergeCell ref="G46:H46"/>
    <mergeCell ref="J46:K46"/>
    <mergeCell ref="L46:O46"/>
    <mergeCell ref="P46:Q46"/>
    <mergeCell ref="A49:B49"/>
    <mergeCell ref="C49:F49"/>
    <mergeCell ref="G49:H49"/>
    <mergeCell ref="J49:K49"/>
    <mergeCell ref="L49:O49"/>
    <mergeCell ref="P49:Q49"/>
    <mergeCell ref="A48:B48"/>
    <mergeCell ref="C48:F48"/>
    <mergeCell ref="G48:H48"/>
    <mergeCell ref="J48:K48"/>
    <mergeCell ref="L48:O48"/>
    <mergeCell ref="P48:Q48"/>
    <mergeCell ref="A51:B51"/>
    <mergeCell ref="C51:F51"/>
    <mergeCell ref="G51:H51"/>
    <mergeCell ref="J51:K51"/>
    <mergeCell ref="L51:O51"/>
    <mergeCell ref="P51:Q51"/>
    <mergeCell ref="A50:B50"/>
    <mergeCell ref="C50:F50"/>
    <mergeCell ref="G50:H50"/>
    <mergeCell ref="J50:K50"/>
    <mergeCell ref="L50:O50"/>
    <mergeCell ref="P50:Q50"/>
    <mergeCell ref="A53:B53"/>
    <mergeCell ref="C53:F53"/>
    <mergeCell ref="G53:H53"/>
    <mergeCell ref="J53:K53"/>
    <mergeCell ref="L53:O53"/>
    <mergeCell ref="P53:Q53"/>
    <mergeCell ref="A52:B52"/>
    <mergeCell ref="C52:F52"/>
    <mergeCell ref="G52:H52"/>
    <mergeCell ref="J52:K52"/>
    <mergeCell ref="L52:O52"/>
    <mergeCell ref="P52:Q52"/>
    <mergeCell ref="A56:B56"/>
    <mergeCell ref="C56:F56"/>
    <mergeCell ref="G56:H56"/>
    <mergeCell ref="J56:K56"/>
    <mergeCell ref="L56:O56"/>
    <mergeCell ref="P56:Q56"/>
    <mergeCell ref="A54:H54"/>
    <mergeCell ref="J54:Q54"/>
    <mergeCell ref="A55:B55"/>
    <mergeCell ref="C55:F55"/>
    <mergeCell ref="G55:H55"/>
    <mergeCell ref="J55:K55"/>
    <mergeCell ref="L55:O55"/>
    <mergeCell ref="P55:Q55"/>
    <mergeCell ref="A58:B58"/>
    <mergeCell ref="C58:F58"/>
    <mergeCell ref="G58:H58"/>
    <mergeCell ref="J58:K58"/>
    <mergeCell ref="L58:O58"/>
    <mergeCell ref="P58:Q58"/>
    <mergeCell ref="A57:B57"/>
    <mergeCell ref="C57:F57"/>
    <mergeCell ref="G57:H57"/>
    <mergeCell ref="J57:K57"/>
    <mergeCell ref="L57:O57"/>
    <mergeCell ref="P57:Q57"/>
    <mergeCell ref="A60:B60"/>
    <mergeCell ref="C60:F60"/>
    <mergeCell ref="G60:H60"/>
    <mergeCell ref="J60:K60"/>
    <mergeCell ref="L60:O60"/>
    <mergeCell ref="P60:Q60"/>
    <mergeCell ref="A59:B59"/>
    <mergeCell ref="C59:F59"/>
    <mergeCell ref="G59:H59"/>
    <mergeCell ref="J59:K59"/>
    <mergeCell ref="L59:O59"/>
    <mergeCell ref="P59:Q59"/>
    <mergeCell ref="A62:B62"/>
    <mergeCell ref="C62:F62"/>
    <mergeCell ref="G62:H62"/>
    <mergeCell ref="J62:K62"/>
    <mergeCell ref="L62:O62"/>
    <mergeCell ref="P62:Q62"/>
    <mergeCell ref="A61:B61"/>
    <mergeCell ref="C61:F61"/>
    <mergeCell ref="G61:H61"/>
    <mergeCell ref="J61:K61"/>
    <mergeCell ref="L61:O61"/>
    <mergeCell ref="P61:Q61"/>
    <mergeCell ref="A64:B64"/>
    <mergeCell ref="C64:F64"/>
    <mergeCell ref="G64:H64"/>
    <mergeCell ref="J64:K64"/>
    <mergeCell ref="L64:O64"/>
    <mergeCell ref="P64:Q64"/>
    <mergeCell ref="A63:B63"/>
    <mergeCell ref="C63:F63"/>
    <mergeCell ref="G63:H63"/>
    <mergeCell ref="J63:K63"/>
    <mergeCell ref="L63:O63"/>
    <mergeCell ref="P63:Q63"/>
    <mergeCell ref="A66:B66"/>
    <mergeCell ref="C66:F66"/>
    <mergeCell ref="G66:H66"/>
    <mergeCell ref="J66:K66"/>
    <mergeCell ref="L66:O66"/>
    <mergeCell ref="P66:Q66"/>
    <mergeCell ref="A65:B65"/>
    <mergeCell ref="C65:F65"/>
    <mergeCell ref="G65:H65"/>
    <mergeCell ref="J65:K65"/>
    <mergeCell ref="L65:O65"/>
    <mergeCell ref="P65:Q65"/>
    <mergeCell ref="A68:B68"/>
    <mergeCell ref="C68:F68"/>
    <mergeCell ref="G68:H68"/>
    <mergeCell ref="J68:K68"/>
    <mergeCell ref="L68:O68"/>
    <mergeCell ref="P68:Q68"/>
    <mergeCell ref="A67:B67"/>
    <mergeCell ref="C67:F67"/>
    <mergeCell ref="G67:H67"/>
    <mergeCell ref="J67:K67"/>
    <mergeCell ref="L67:O67"/>
    <mergeCell ref="P67:Q67"/>
    <mergeCell ref="A70:B70"/>
    <mergeCell ref="C70:F70"/>
    <mergeCell ref="G70:H70"/>
    <mergeCell ref="J70:K70"/>
    <mergeCell ref="L70:O70"/>
    <mergeCell ref="P70:Q70"/>
    <mergeCell ref="A69:B69"/>
    <mergeCell ref="C69:F69"/>
    <mergeCell ref="G69:H69"/>
    <mergeCell ref="J69:K69"/>
    <mergeCell ref="L69:O69"/>
    <mergeCell ref="P69:Q69"/>
    <mergeCell ref="A73:B73"/>
    <mergeCell ref="C73:K73"/>
    <mergeCell ref="L73:M73"/>
    <mergeCell ref="P73:Q73"/>
    <mergeCell ref="A74:B75"/>
    <mergeCell ref="C74:K75"/>
    <mergeCell ref="L74:M75"/>
    <mergeCell ref="N74:N75"/>
    <mergeCell ref="O74:O75"/>
    <mergeCell ref="P74:Q75"/>
    <mergeCell ref="A78:B79"/>
    <mergeCell ref="C78:K79"/>
    <mergeCell ref="L78:M79"/>
    <mergeCell ref="N78:N79"/>
    <mergeCell ref="O78:O79"/>
    <mergeCell ref="P78:Q79"/>
    <mergeCell ref="A76:B77"/>
    <mergeCell ref="C76:K77"/>
    <mergeCell ref="L76:M77"/>
    <mergeCell ref="N76:N77"/>
    <mergeCell ref="O76:O77"/>
    <mergeCell ref="P76:Q77"/>
    <mergeCell ref="A82:B83"/>
    <mergeCell ref="C82:K83"/>
    <mergeCell ref="L82:M83"/>
    <mergeCell ref="N82:N83"/>
    <mergeCell ref="O82:O83"/>
    <mergeCell ref="P82:Q83"/>
    <mergeCell ref="A80:B81"/>
    <mergeCell ref="C80:K81"/>
    <mergeCell ref="L80:M81"/>
    <mergeCell ref="N80:N81"/>
    <mergeCell ref="O80:O81"/>
    <mergeCell ref="P80:Q81"/>
    <mergeCell ref="A88:O88"/>
    <mergeCell ref="P88:Q88"/>
    <mergeCell ref="A86:B87"/>
    <mergeCell ref="C86:K87"/>
    <mergeCell ref="L86:M87"/>
    <mergeCell ref="N86:N87"/>
    <mergeCell ref="O86:O87"/>
    <mergeCell ref="P86:Q87"/>
    <mergeCell ref="A84:B85"/>
    <mergeCell ref="C84:K85"/>
    <mergeCell ref="L84:M85"/>
    <mergeCell ref="N84:N85"/>
    <mergeCell ref="O84:O85"/>
    <mergeCell ref="P84:Q85"/>
  </mergeCells>
  <pageMargins left="0.7" right="0.7" top="0.75" bottom="0.75" header="0.3" footer="0.3"/>
  <pageSetup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2B695-8AAE-46C0-B1C8-07D505135866}">
  <sheetPr codeName="Sheet14"/>
  <dimension ref="A1:BT32"/>
  <sheetViews>
    <sheetView zoomScale="85" zoomScaleNormal="85" workbookViewId="0">
      <selection activeCell="A3" sqref="A3"/>
    </sheetView>
  </sheetViews>
  <sheetFormatPr defaultRowHeight="15" x14ac:dyDescent="0.25"/>
  <cols>
    <col min="1" max="1" width="11.42578125" customWidth="1"/>
    <col min="2" max="2" width="23.85546875" customWidth="1"/>
    <col min="3" max="3" width="14.7109375" customWidth="1"/>
    <col min="4" max="4" width="15.42578125" customWidth="1"/>
    <col min="5" max="5" width="10.5703125" customWidth="1"/>
    <col min="6" max="6" width="12.42578125" customWidth="1"/>
    <col min="7" max="7" width="14.28515625" customWidth="1"/>
    <col min="8" max="8" width="14" customWidth="1"/>
    <col min="9" max="9" width="14.42578125" customWidth="1"/>
    <col min="10" max="10" width="14.7109375" customWidth="1"/>
    <col min="11" max="11" width="11.7109375" customWidth="1"/>
    <col min="12" max="12" width="12.42578125" customWidth="1"/>
    <col min="13" max="13" width="9.7109375" customWidth="1"/>
    <col min="14" max="14" width="17.5703125" bestFit="1" customWidth="1"/>
    <col min="15" max="15" width="10.140625" customWidth="1"/>
    <col min="16" max="16" width="17.5703125" bestFit="1" customWidth="1"/>
    <col min="17" max="17" width="9" customWidth="1"/>
    <col min="18" max="18" width="17.5703125" bestFit="1" customWidth="1"/>
    <col min="19" max="19" width="9.7109375" customWidth="1"/>
    <col min="20" max="20" width="17.5703125" bestFit="1" customWidth="1"/>
    <col min="21" max="21" width="10.7109375" customWidth="1"/>
    <col min="22" max="22" width="17.5703125" bestFit="1" customWidth="1"/>
    <col min="23" max="23" width="11" customWidth="1"/>
    <col min="24" max="24" width="17.5703125" bestFit="1" customWidth="1"/>
    <col min="25" max="25" width="9.28515625" customWidth="1"/>
    <col min="26" max="26" width="17.5703125" bestFit="1" customWidth="1"/>
    <col min="27" max="27" width="9.28515625" customWidth="1"/>
    <col min="28" max="28" width="19" bestFit="1" customWidth="1"/>
    <col min="29" max="29" width="9.7109375" customWidth="1"/>
    <col min="30" max="30" width="19" bestFit="1" customWidth="1"/>
    <col min="31" max="31" width="8.85546875" customWidth="1"/>
    <col min="32" max="32" width="19" bestFit="1" customWidth="1"/>
    <col min="33" max="33" width="8.28515625" customWidth="1"/>
    <col min="34" max="34" width="19" bestFit="1" customWidth="1"/>
    <col min="35" max="35" width="8.85546875" customWidth="1"/>
    <col min="36" max="36" width="19" bestFit="1" customWidth="1"/>
    <col min="37" max="37" width="9.5703125" customWidth="1"/>
    <col min="38" max="38" width="17.5703125" bestFit="1" customWidth="1"/>
    <col min="39" max="39" width="10.5703125" customWidth="1"/>
    <col min="40" max="40" width="17.5703125" bestFit="1" customWidth="1"/>
    <col min="41" max="41" width="10.5703125" customWidth="1"/>
    <col min="42" max="42" width="18.7109375" customWidth="1"/>
    <col min="43" max="43" width="10.5703125" customWidth="1"/>
    <col min="44" max="44" width="16.42578125" bestFit="1" customWidth="1"/>
    <col min="45" max="45" width="8.5703125" customWidth="1"/>
    <col min="46" max="46" width="16.42578125" bestFit="1" customWidth="1"/>
    <col min="47" max="47" width="10.42578125" customWidth="1"/>
    <col min="48" max="48" width="17.5703125" bestFit="1" customWidth="1"/>
  </cols>
  <sheetData>
    <row r="1" spans="1:48" ht="15" customHeight="1" x14ac:dyDescent="0.25">
      <c r="A1" s="1054" t="s">
        <v>1051</v>
      </c>
      <c r="B1" s="1054"/>
      <c r="C1" s="1054"/>
      <c r="D1" s="1054"/>
      <c r="E1" s="1054"/>
      <c r="F1" s="1054"/>
      <c r="G1" s="1054"/>
      <c r="H1" s="1054"/>
      <c r="I1" s="1054"/>
      <c r="J1" s="1054"/>
      <c r="K1" s="1054"/>
      <c r="L1" s="1054"/>
      <c r="M1" s="1054"/>
      <c r="N1" s="1054"/>
      <c r="O1" s="1054"/>
      <c r="P1" s="1054"/>
      <c r="Q1" s="1054"/>
      <c r="R1" s="1054"/>
      <c r="S1" s="1054"/>
      <c r="T1" s="1054"/>
      <c r="U1" s="1054"/>
      <c r="V1" s="1054"/>
      <c r="W1" s="1054"/>
      <c r="X1" s="1054"/>
      <c r="Y1" s="1054"/>
      <c r="Z1" s="1054"/>
      <c r="AA1" s="1054"/>
      <c r="AB1" s="1054"/>
      <c r="AC1" s="1054"/>
      <c r="AD1" s="1054"/>
      <c r="AE1" s="1054"/>
      <c r="AF1" s="1054"/>
      <c r="AG1" s="1054"/>
      <c r="AH1" s="1054"/>
      <c r="AI1" s="1054"/>
      <c r="AJ1" s="1054"/>
      <c r="AK1" s="1054"/>
      <c r="AL1" s="1054"/>
      <c r="AM1" s="1054"/>
      <c r="AN1" s="1054"/>
      <c r="AO1" s="1054"/>
      <c r="AP1" s="1054"/>
      <c r="AQ1" s="1054"/>
      <c r="AR1" s="1054"/>
      <c r="AS1" s="1054"/>
      <c r="AT1" s="1054"/>
      <c r="AU1" s="1054"/>
      <c r="AV1" s="1054"/>
    </row>
    <row r="2" spans="1:48" ht="15" customHeight="1" x14ac:dyDescent="0.25">
      <c r="A2" s="1054"/>
      <c r="B2" s="1054"/>
      <c r="C2" s="1054"/>
      <c r="D2" s="1054"/>
      <c r="E2" s="1054"/>
      <c r="F2" s="1054"/>
      <c r="G2" s="1054"/>
      <c r="H2" s="1054"/>
      <c r="I2" s="1054"/>
      <c r="J2" s="1054"/>
      <c r="K2" s="1054"/>
      <c r="L2" s="1054"/>
      <c r="M2" s="1054"/>
      <c r="N2" s="1054"/>
      <c r="O2" s="1054"/>
      <c r="P2" s="1054"/>
      <c r="Q2" s="1054"/>
      <c r="R2" s="1054"/>
      <c r="S2" s="1054"/>
      <c r="T2" s="1054"/>
      <c r="U2" s="1054"/>
      <c r="V2" s="1054"/>
      <c r="W2" s="1054"/>
      <c r="X2" s="1054"/>
      <c r="Y2" s="1054"/>
      <c r="Z2" s="1054"/>
      <c r="AA2" s="1054"/>
      <c r="AB2" s="1054"/>
      <c r="AC2" s="1054"/>
      <c r="AD2" s="1054"/>
      <c r="AE2" s="1054"/>
      <c r="AF2" s="1054"/>
      <c r="AG2" s="1054"/>
      <c r="AH2" s="1054"/>
      <c r="AI2" s="1054"/>
      <c r="AJ2" s="1054"/>
      <c r="AK2" s="1054"/>
      <c r="AL2" s="1054"/>
      <c r="AM2" s="1054"/>
      <c r="AN2" s="1054"/>
      <c r="AO2" s="1054"/>
      <c r="AP2" s="1054"/>
      <c r="AQ2" s="1054"/>
      <c r="AR2" s="1054"/>
      <c r="AS2" s="1054"/>
      <c r="AT2" s="1054"/>
      <c r="AU2" s="1054"/>
      <c r="AV2" s="1054"/>
    </row>
    <row r="3" spans="1:48" x14ac:dyDescent="0.25">
      <c r="A3" s="848">
        <v>1</v>
      </c>
      <c r="B3" s="849"/>
      <c r="C3" s="848">
        <v>13</v>
      </c>
      <c r="D3" s="849"/>
      <c r="E3" s="848">
        <v>25</v>
      </c>
      <c r="F3" s="849"/>
      <c r="G3" s="848">
        <v>37</v>
      </c>
      <c r="H3" s="849"/>
      <c r="I3" s="848">
        <v>49</v>
      </c>
      <c r="J3" s="849"/>
      <c r="K3" s="848">
        <v>61</v>
      </c>
      <c r="L3" s="849"/>
      <c r="M3" s="848">
        <v>73</v>
      </c>
      <c r="N3" s="849"/>
      <c r="O3" s="848">
        <v>85</v>
      </c>
      <c r="P3" s="850"/>
      <c r="Q3" s="848">
        <v>97</v>
      </c>
      <c r="R3" s="850"/>
      <c r="S3" s="848">
        <v>109</v>
      </c>
      <c r="T3" s="850"/>
      <c r="U3" s="848">
        <v>121</v>
      </c>
      <c r="V3" s="850"/>
      <c r="W3" s="848">
        <v>133</v>
      </c>
      <c r="X3" s="850"/>
      <c r="Y3" s="848">
        <v>145</v>
      </c>
      <c r="Z3" s="851"/>
      <c r="AA3" s="848">
        <v>157</v>
      </c>
      <c r="AB3" s="851"/>
      <c r="AC3" s="848">
        <v>169</v>
      </c>
      <c r="AD3" s="851"/>
      <c r="AE3" s="848">
        <v>181</v>
      </c>
      <c r="AF3" s="851"/>
      <c r="AG3" s="848">
        <v>193</v>
      </c>
      <c r="AH3" s="851"/>
      <c r="AI3" s="848">
        <v>205</v>
      </c>
      <c r="AJ3" s="851"/>
      <c r="AK3" s="848">
        <v>217</v>
      </c>
      <c r="AL3" s="851"/>
      <c r="AM3" s="848">
        <v>229</v>
      </c>
      <c r="AN3" s="846"/>
      <c r="AO3" s="848">
        <v>241</v>
      </c>
      <c r="AP3" s="846"/>
      <c r="AQ3" s="848">
        <v>253</v>
      </c>
      <c r="AR3" s="846"/>
      <c r="AS3" s="848">
        <v>265</v>
      </c>
      <c r="AT3" s="846"/>
      <c r="AU3" s="848">
        <v>277</v>
      </c>
      <c r="AV3" s="846"/>
    </row>
    <row r="4" spans="1:48" x14ac:dyDescent="0.25">
      <c r="A4" s="852">
        <v>2</v>
      </c>
      <c r="B4" s="849"/>
      <c r="C4" s="852">
        <v>14</v>
      </c>
      <c r="D4" s="849"/>
      <c r="E4" s="852">
        <v>26</v>
      </c>
      <c r="F4" s="849"/>
      <c r="G4" s="852">
        <v>38</v>
      </c>
      <c r="H4" s="849"/>
      <c r="I4" s="852">
        <v>50</v>
      </c>
      <c r="J4" s="849"/>
      <c r="K4" s="852">
        <v>62</v>
      </c>
      <c r="L4" s="849"/>
      <c r="M4" s="852">
        <v>74</v>
      </c>
      <c r="N4" s="849"/>
      <c r="O4" s="852">
        <v>86</v>
      </c>
      <c r="P4" s="850"/>
      <c r="Q4" s="852">
        <v>98</v>
      </c>
      <c r="R4" s="850"/>
      <c r="S4" s="852">
        <v>110</v>
      </c>
      <c r="T4" s="850"/>
      <c r="U4" s="852">
        <v>122</v>
      </c>
      <c r="V4" s="850"/>
      <c r="W4" s="852">
        <v>134</v>
      </c>
      <c r="X4" s="850"/>
      <c r="Y4" s="852">
        <v>146</v>
      </c>
      <c r="Z4" s="851"/>
      <c r="AA4" s="852">
        <v>158</v>
      </c>
      <c r="AB4" s="851"/>
      <c r="AC4" s="852">
        <v>170</v>
      </c>
      <c r="AD4" s="851"/>
      <c r="AE4" s="852">
        <v>182</v>
      </c>
      <c r="AF4" s="851"/>
      <c r="AG4" s="852">
        <v>194</v>
      </c>
      <c r="AH4" s="851"/>
      <c r="AI4" s="852">
        <v>206</v>
      </c>
      <c r="AJ4" s="851"/>
      <c r="AK4" s="852">
        <v>218</v>
      </c>
      <c r="AL4" s="851"/>
      <c r="AM4" s="852">
        <v>230</v>
      </c>
      <c r="AN4" s="846"/>
      <c r="AO4" s="852">
        <v>242</v>
      </c>
      <c r="AP4" s="846"/>
      <c r="AQ4" s="852">
        <v>254</v>
      </c>
      <c r="AR4" s="846"/>
      <c r="AS4" s="852">
        <v>266</v>
      </c>
      <c r="AT4" s="846"/>
      <c r="AU4" s="852">
        <v>278</v>
      </c>
      <c r="AV4" s="846"/>
    </row>
    <row r="5" spans="1:48" ht="15.75" customHeight="1" x14ac:dyDescent="0.25">
      <c r="A5" s="853">
        <v>3</v>
      </c>
      <c r="B5" s="849"/>
      <c r="C5" s="853">
        <v>15</v>
      </c>
      <c r="D5" s="849"/>
      <c r="E5" s="853">
        <v>27</v>
      </c>
      <c r="F5" s="849"/>
      <c r="G5" s="853">
        <v>39</v>
      </c>
      <c r="H5" s="849"/>
      <c r="I5" s="853">
        <v>51</v>
      </c>
      <c r="J5" s="849"/>
      <c r="K5" s="853">
        <v>63</v>
      </c>
      <c r="L5" s="849"/>
      <c r="M5" s="853">
        <v>75</v>
      </c>
      <c r="N5" s="849"/>
      <c r="O5" s="853">
        <v>87</v>
      </c>
      <c r="P5" s="850"/>
      <c r="Q5" s="853">
        <v>99</v>
      </c>
      <c r="R5" s="850"/>
      <c r="S5" s="853">
        <v>111</v>
      </c>
      <c r="T5" s="850"/>
      <c r="U5" s="853">
        <v>123</v>
      </c>
      <c r="V5" s="850"/>
      <c r="W5" s="853">
        <v>135</v>
      </c>
      <c r="X5" s="850"/>
      <c r="Y5" s="853">
        <v>147</v>
      </c>
      <c r="Z5" s="851"/>
      <c r="AA5" s="853">
        <v>159</v>
      </c>
      <c r="AB5" s="851"/>
      <c r="AC5" s="853">
        <v>171</v>
      </c>
      <c r="AD5" s="851"/>
      <c r="AE5" s="853">
        <v>183</v>
      </c>
      <c r="AF5" s="851"/>
      <c r="AG5" s="853">
        <v>195</v>
      </c>
      <c r="AH5" s="851"/>
      <c r="AI5" s="853">
        <v>207</v>
      </c>
      <c r="AJ5" s="851"/>
      <c r="AK5" s="853">
        <v>219</v>
      </c>
      <c r="AL5" s="851"/>
      <c r="AM5" s="853">
        <v>231</v>
      </c>
      <c r="AN5" s="846"/>
      <c r="AO5" s="853">
        <v>243</v>
      </c>
      <c r="AP5" s="846"/>
      <c r="AQ5" s="853">
        <v>255</v>
      </c>
      <c r="AR5" s="846"/>
      <c r="AS5" s="853">
        <v>267</v>
      </c>
      <c r="AT5" s="846"/>
      <c r="AU5" s="853">
        <v>279</v>
      </c>
      <c r="AV5" s="846"/>
    </row>
    <row r="6" spans="1:48" x14ac:dyDescent="0.25">
      <c r="A6" s="854">
        <v>4</v>
      </c>
      <c r="B6" s="849"/>
      <c r="C6" s="854">
        <v>16</v>
      </c>
      <c r="D6" s="849"/>
      <c r="E6" s="854">
        <v>28</v>
      </c>
      <c r="F6" s="849"/>
      <c r="G6" s="854">
        <v>40</v>
      </c>
      <c r="H6" s="849"/>
      <c r="I6" s="854">
        <v>52</v>
      </c>
      <c r="J6" s="849"/>
      <c r="K6" s="854">
        <v>64</v>
      </c>
      <c r="L6" s="849"/>
      <c r="M6" s="854">
        <v>76</v>
      </c>
      <c r="N6" s="849"/>
      <c r="O6" s="854">
        <v>88</v>
      </c>
      <c r="P6" s="850"/>
      <c r="Q6" s="854">
        <v>100</v>
      </c>
      <c r="R6" s="850"/>
      <c r="S6" s="854">
        <v>112</v>
      </c>
      <c r="T6" s="850"/>
      <c r="U6" s="854">
        <v>124</v>
      </c>
      <c r="V6" s="850"/>
      <c r="W6" s="854">
        <v>136</v>
      </c>
      <c r="X6" s="850"/>
      <c r="Y6" s="854">
        <v>148</v>
      </c>
      <c r="Z6" s="851"/>
      <c r="AA6" s="854">
        <v>160</v>
      </c>
      <c r="AB6" s="851"/>
      <c r="AC6" s="854">
        <v>172</v>
      </c>
      <c r="AD6" s="851"/>
      <c r="AE6" s="854">
        <v>184</v>
      </c>
      <c r="AF6" s="851"/>
      <c r="AG6" s="854">
        <v>196</v>
      </c>
      <c r="AH6" s="851"/>
      <c r="AI6" s="854">
        <v>208</v>
      </c>
      <c r="AJ6" s="851"/>
      <c r="AK6" s="854">
        <v>220</v>
      </c>
      <c r="AL6" s="851"/>
      <c r="AM6" s="854">
        <v>232</v>
      </c>
      <c r="AN6" s="846"/>
      <c r="AO6" s="854">
        <v>244</v>
      </c>
      <c r="AP6" s="846"/>
      <c r="AQ6" s="854">
        <v>256</v>
      </c>
      <c r="AR6" s="846"/>
      <c r="AS6" s="854">
        <v>268</v>
      </c>
      <c r="AT6" s="846"/>
      <c r="AU6" s="854">
        <v>280</v>
      </c>
      <c r="AV6" s="846"/>
    </row>
    <row r="7" spans="1:48" x14ac:dyDescent="0.25">
      <c r="A7" s="855">
        <v>5</v>
      </c>
      <c r="B7" s="849"/>
      <c r="C7" s="855">
        <v>17</v>
      </c>
      <c r="D7" s="849"/>
      <c r="E7" s="855">
        <v>29</v>
      </c>
      <c r="F7" s="849"/>
      <c r="G7" s="855">
        <v>41</v>
      </c>
      <c r="H7" s="849"/>
      <c r="I7" s="855">
        <v>53</v>
      </c>
      <c r="J7" s="849"/>
      <c r="K7" s="855">
        <v>65</v>
      </c>
      <c r="L7" s="849"/>
      <c r="M7" s="855">
        <v>77</v>
      </c>
      <c r="N7" s="849"/>
      <c r="O7" s="855">
        <v>89</v>
      </c>
      <c r="P7" s="850"/>
      <c r="Q7" s="855">
        <v>101</v>
      </c>
      <c r="R7" s="850"/>
      <c r="S7" s="855">
        <v>113</v>
      </c>
      <c r="T7" s="850"/>
      <c r="U7" s="855">
        <v>125</v>
      </c>
      <c r="V7" s="850"/>
      <c r="W7" s="855">
        <v>137</v>
      </c>
      <c r="X7" s="850"/>
      <c r="Y7" s="855">
        <v>149</v>
      </c>
      <c r="Z7" s="851"/>
      <c r="AA7" s="855">
        <v>161</v>
      </c>
      <c r="AB7" s="851"/>
      <c r="AC7" s="855">
        <v>173</v>
      </c>
      <c r="AD7" s="851"/>
      <c r="AE7" s="855">
        <v>185</v>
      </c>
      <c r="AF7" s="851"/>
      <c r="AG7" s="855">
        <v>197</v>
      </c>
      <c r="AH7" s="851"/>
      <c r="AI7" s="855">
        <v>209</v>
      </c>
      <c r="AJ7" s="851"/>
      <c r="AK7" s="855">
        <v>221</v>
      </c>
      <c r="AL7" s="851"/>
      <c r="AM7" s="855">
        <v>233</v>
      </c>
      <c r="AN7" s="846"/>
      <c r="AO7" s="855">
        <v>245</v>
      </c>
      <c r="AP7" s="846"/>
      <c r="AQ7" s="855">
        <v>257</v>
      </c>
      <c r="AR7" s="846"/>
      <c r="AS7" s="855">
        <v>269</v>
      </c>
      <c r="AT7" s="846"/>
      <c r="AU7" s="855">
        <v>281</v>
      </c>
      <c r="AV7" s="846"/>
    </row>
    <row r="8" spans="1:48" x14ac:dyDescent="0.25">
      <c r="A8" s="856">
        <v>6</v>
      </c>
      <c r="B8" s="849"/>
      <c r="C8" s="856">
        <v>18</v>
      </c>
      <c r="D8" s="849"/>
      <c r="E8" s="856">
        <v>30</v>
      </c>
      <c r="F8" s="849"/>
      <c r="G8" s="856">
        <v>42</v>
      </c>
      <c r="H8" s="849"/>
      <c r="I8" s="856">
        <v>54</v>
      </c>
      <c r="J8" s="849"/>
      <c r="K8" s="856">
        <v>66</v>
      </c>
      <c r="L8" s="849"/>
      <c r="M8" s="856">
        <v>78</v>
      </c>
      <c r="N8" s="849"/>
      <c r="O8" s="856">
        <v>90</v>
      </c>
      <c r="P8" s="850"/>
      <c r="Q8" s="856">
        <v>102</v>
      </c>
      <c r="R8" s="850"/>
      <c r="S8" s="856">
        <v>114</v>
      </c>
      <c r="T8" s="850"/>
      <c r="U8" s="856">
        <v>126</v>
      </c>
      <c r="V8" s="850"/>
      <c r="W8" s="856">
        <v>138</v>
      </c>
      <c r="X8" s="850"/>
      <c r="Y8" s="856">
        <v>150</v>
      </c>
      <c r="Z8" s="851"/>
      <c r="AA8" s="856">
        <v>162</v>
      </c>
      <c r="AB8" s="851"/>
      <c r="AC8" s="856">
        <v>174</v>
      </c>
      <c r="AD8" s="851"/>
      <c r="AE8" s="856">
        <v>186</v>
      </c>
      <c r="AF8" s="851"/>
      <c r="AG8" s="856">
        <v>198</v>
      </c>
      <c r="AH8" s="851"/>
      <c r="AI8" s="856">
        <v>210</v>
      </c>
      <c r="AJ8" s="851"/>
      <c r="AK8" s="856">
        <v>222</v>
      </c>
      <c r="AL8" s="851"/>
      <c r="AM8" s="856">
        <v>234</v>
      </c>
      <c r="AN8" s="846"/>
      <c r="AO8" s="856">
        <v>246</v>
      </c>
      <c r="AP8" s="846"/>
      <c r="AQ8" s="856">
        <v>258</v>
      </c>
      <c r="AR8" s="846"/>
      <c r="AS8" s="856">
        <v>270</v>
      </c>
      <c r="AT8" s="846"/>
      <c r="AU8" s="856">
        <v>282</v>
      </c>
      <c r="AV8" s="846"/>
    </row>
    <row r="9" spans="1:48" x14ac:dyDescent="0.25">
      <c r="A9" s="857">
        <v>7</v>
      </c>
      <c r="B9" s="849"/>
      <c r="C9" s="857">
        <v>19</v>
      </c>
      <c r="D9" s="849"/>
      <c r="E9" s="857">
        <v>31</v>
      </c>
      <c r="F9" s="849"/>
      <c r="G9" s="857">
        <v>43</v>
      </c>
      <c r="H9" s="849"/>
      <c r="I9" s="857">
        <v>55</v>
      </c>
      <c r="J9" s="849"/>
      <c r="K9" s="857">
        <v>67</v>
      </c>
      <c r="L9" s="849"/>
      <c r="M9" s="857">
        <v>79</v>
      </c>
      <c r="N9" s="849"/>
      <c r="O9" s="857">
        <v>91</v>
      </c>
      <c r="P9" s="850"/>
      <c r="Q9" s="857">
        <v>103</v>
      </c>
      <c r="R9" s="850"/>
      <c r="S9" s="857">
        <v>115</v>
      </c>
      <c r="T9" s="850"/>
      <c r="U9" s="857">
        <v>127</v>
      </c>
      <c r="V9" s="850"/>
      <c r="W9" s="857">
        <v>139</v>
      </c>
      <c r="X9" s="850"/>
      <c r="Y9" s="857">
        <v>151</v>
      </c>
      <c r="Z9" s="851"/>
      <c r="AA9" s="857">
        <v>163</v>
      </c>
      <c r="AB9" s="851"/>
      <c r="AC9" s="857">
        <v>175</v>
      </c>
      <c r="AD9" s="851"/>
      <c r="AE9" s="857">
        <v>187</v>
      </c>
      <c r="AF9" s="851"/>
      <c r="AG9" s="857">
        <v>199</v>
      </c>
      <c r="AH9" s="851"/>
      <c r="AI9" s="857">
        <v>211</v>
      </c>
      <c r="AJ9" s="851"/>
      <c r="AK9" s="857">
        <v>223</v>
      </c>
      <c r="AL9" s="851"/>
      <c r="AM9" s="857">
        <v>235</v>
      </c>
      <c r="AN9" s="846"/>
      <c r="AO9" s="857">
        <v>247</v>
      </c>
      <c r="AP9" s="846"/>
      <c r="AQ9" s="857">
        <v>259</v>
      </c>
      <c r="AR9" s="846"/>
      <c r="AS9" s="857">
        <v>271</v>
      </c>
      <c r="AT9" s="846"/>
      <c r="AU9" s="857">
        <v>283</v>
      </c>
      <c r="AV9" s="846"/>
    </row>
    <row r="10" spans="1:48" x14ac:dyDescent="0.25">
      <c r="A10" s="858">
        <v>8</v>
      </c>
      <c r="B10" s="849"/>
      <c r="C10" s="858">
        <v>20</v>
      </c>
      <c r="D10" s="849"/>
      <c r="E10" s="858">
        <v>32</v>
      </c>
      <c r="F10" s="849"/>
      <c r="G10" s="858">
        <v>44</v>
      </c>
      <c r="H10" s="849"/>
      <c r="I10" s="858">
        <v>56</v>
      </c>
      <c r="J10" s="849"/>
      <c r="K10" s="858">
        <v>68</v>
      </c>
      <c r="L10" s="849"/>
      <c r="M10" s="858">
        <v>80</v>
      </c>
      <c r="N10" s="849"/>
      <c r="O10" s="858">
        <v>92</v>
      </c>
      <c r="P10" s="850"/>
      <c r="Q10" s="858">
        <v>104</v>
      </c>
      <c r="R10" s="850"/>
      <c r="S10" s="858">
        <v>116</v>
      </c>
      <c r="T10" s="850"/>
      <c r="U10" s="858">
        <v>128</v>
      </c>
      <c r="V10" s="850"/>
      <c r="W10" s="858">
        <v>140</v>
      </c>
      <c r="X10" s="850"/>
      <c r="Y10" s="858">
        <v>152</v>
      </c>
      <c r="Z10" s="851"/>
      <c r="AA10" s="858">
        <v>164</v>
      </c>
      <c r="AB10" s="851"/>
      <c r="AC10" s="858">
        <v>176</v>
      </c>
      <c r="AD10" s="851"/>
      <c r="AE10" s="858">
        <v>188</v>
      </c>
      <c r="AF10" s="851"/>
      <c r="AG10" s="858">
        <v>200</v>
      </c>
      <c r="AH10" s="851"/>
      <c r="AI10" s="858">
        <v>212</v>
      </c>
      <c r="AJ10" s="851"/>
      <c r="AK10" s="858">
        <v>224</v>
      </c>
      <c r="AL10" s="851"/>
      <c r="AM10" s="858">
        <v>236</v>
      </c>
      <c r="AN10" s="846"/>
      <c r="AO10" s="858">
        <v>248</v>
      </c>
      <c r="AP10" s="846"/>
      <c r="AQ10" s="858">
        <v>260</v>
      </c>
      <c r="AR10" s="846"/>
      <c r="AS10" s="858">
        <v>272</v>
      </c>
      <c r="AT10" s="846"/>
      <c r="AU10" s="858">
        <v>284</v>
      </c>
      <c r="AV10" s="846"/>
    </row>
    <row r="11" spans="1:48" x14ac:dyDescent="0.25">
      <c r="A11" s="859">
        <v>9</v>
      </c>
      <c r="B11" s="849"/>
      <c r="C11" s="859">
        <v>21</v>
      </c>
      <c r="D11" s="849"/>
      <c r="E11" s="859">
        <v>33</v>
      </c>
      <c r="F11" s="849"/>
      <c r="G11" s="859">
        <v>45</v>
      </c>
      <c r="H11" s="849"/>
      <c r="I11" s="859">
        <v>57</v>
      </c>
      <c r="J11" s="849"/>
      <c r="K11" s="859">
        <v>69</v>
      </c>
      <c r="L11" s="849"/>
      <c r="M11" s="859">
        <v>81</v>
      </c>
      <c r="N11" s="849"/>
      <c r="O11" s="859">
        <v>93</v>
      </c>
      <c r="P11" s="850"/>
      <c r="Q11" s="859">
        <v>105</v>
      </c>
      <c r="R11" s="850"/>
      <c r="S11" s="859">
        <v>117</v>
      </c>
      <c r="T11" s="850"/>
      <c r="U11" s="859">
        <v>129</v>
      </c>
      <c r="V11" s="850"/>
      <c r="W11" s="859">
        <v>141</v>
      </c>
      <c r="X11" s="850"/>
      <c r="Y11" s="859">
        <v>153</v>
      </c>
      <c r="Z11" s="851"/>
      <c r="AA11" s="859">
        <v>165</v>
      </c>
      <c r="AB11" s="851"/>
      <c r="AC11" s="859">
        <v>177</v>
      </c>
      <c r="AD11" s="851"/>
      <c r="AE11" s="859">
        <v>189</v>
      </c>
      <c r="AF11" s="851"/>
      <c r="AG11" s="859">
        <v>201</v>
      </c>
      <c r="AH11" s="851"/>
      <c r="AI11" s="859">
        <v>213</v>
      </c>
      <c r="AJ11" s="851"/>
      <c r="AK11" s="859">
        <v>225</v>
      </c>
      <c r="AL11" s="851"/>
      <c r="AM11" s="859">
        <v>237</v>
      </c>
      <c r="AN11" s="846"/>
      <c r="AO11" s="859">
        <v>249</v>
      </c>
      <c r="AP11" s="846"/>
      <c r="AQ11" s="859">
        <v>261</v>
      </c>
      <c r="AR11" s="846"/>
      <c r="AS11" s="859">
        <v>273</v>
      </c>
      <c r="AT11" s="846"/>
      <c r="AU11" s="859">
        <v>285</v>
      </c>
      <c r="AV11" s="846"/>
    </row>
    <row r="12" spans="1:48" x14ac:dyDescent="0.25">
      <c r="A12" s="860">
        <v>10</v>
      </c>
      <c r="B12" s="849"/>
      <c r="C12" s="860">
        <v>22</v>
      </c>
      <c r="D12" s="849"/>
      <c r="E12" s="860">
        <v>34</v>
      </c>
      <c r="F12" s="849"/>
      <c r="G12" s="860">
        <v>46</v>
      </c>
      <c r="H12" s="849"/>
      <c r="I12" s="860">
        <v>58</v>
      </c>
      <c r="J12" s="849"/>
      <c r="K12" s="860">
        <v>70</v>
      </c>
      <c r="L12" s="849"/>
      <c r="M12" s="860">
        <v>82</v>
      </c>
      <c r="N12" s="849"/>
      <c r="O12" s="860">
        <v>94</v>
      </c>
      <c r="P12" s="850"/>
      <c r="Q12" s="860">
        <v>106</v>
      </c>
      <c r="R12" s="850"/>
      <c r="S12" s="860">
        <v>118</v>
      </c>
      <c r="T12" s="850"/>
      <c r="U12" s="860">
        <v>130</v>
      </c>
      <c r="V12" s="850"/>
      <c r="W12" s="860">
        <v>142</v>
      </c>
      <c r="X12" s="850"/>
      <c r="Y12" s="860">
        <v>154</v>
      </c>
      <c r="Z12" s="851"/>
      <c r="AA12" s="860">
        <v>166</v>
      </c>
      <c r="AB12" s="851"/>
      <c r="AC12" s="860">
        <v>178</v>
      </c>
      <c r="AD12" s="851"/>
      <c r="AE12" s="860">
        <v>190</v>
      </c>
      <c r="AF12" s="851"/>
      <c r="AG12" s="860">
        <v>202</v>
      </c>
      <c r="AH12" s="851"/>
      <c r="AI12" s="860">
        <v>214</v>
      </c>
      <c r="AJ12" s="851"/>
      <c r="AK12" s="860">
        <v>226</v>
      </c>
      <c r="AL12" s="851"/>
      <c r="AM12" s="860">
        <v>238</v>
      </c>
      <c r="AN12" s="846"/>
      <c r="AO12" s="860">
        <v>250</v>
      </c>
      <c r="AP12" s="846"/>
      <c r="AQ12" s="860">
        <v>262</v>
      </c>
      <c r="AR12" s="846"/>
      <c r="AS12" s="860">
        <v>274</v>
      </c>
      <c r="AT12" s="846"/>
      <c r="AU12" s="860">
        <v>286</v>
      </c>
      <c r="AV12" s="846"/>
    </row>
    <row r="13" spans="1:48" x14ac:dyDescent="0.25">
      <c r="A13" s="861">
        <v>11</v>
      </c>
      <c r="B13" s="849"/>
      <c r="C13" s="861">
        <v>23</v>
      </c>
      <c r="D13" s="849"/>
      <c r="E13" s="861">
        <v>35</v>
      </c>
      <c r="F13" s="849"/>
      <c r="G13" s="861">
        <v>47</v>
      </c>
      <c r="H13" s="849"/>
      <c r="I13" s="861">
        <v>59</v>
      </c>
      <c r="J13" s="849"/>
      <c r="K13" s="861">
        <v>71</v>
      </c>
      <c r="L13" s="849"/>
      <c r="M13" s="861">
        <v>83</v>
      </c>
      <c r="N13" s="849"/>
      <c r="O13" s="861">
        <v>95</v>
      </c>
      <c r="P13" s="850"/>
      <c r="Q13" s="861">
        <v>107</v>
      </c>
      <c r="R13" s="850"/>
      <c r="S13" s="861">
        <v>119</v>
      </c>
      <c r="T13" s="850"/>
      <c r="U13" s="861">
        <v>131</v>
      </c>
      <c r="V13" s="850"/>
      <c r="W13" s="861">
        <v>143</v>
      </c>
      <c r="X13" s="850"/>
      <c r="Y13" s="861">
        <v>155</v>
      </c>
      <c r="Z13" s="851"/>
      <c r="AA13" s="861">
        <v>167</v>
      </c>
      <c r="AB13" s="851"/>
      <c r="AC13" s="861">
        <v>179</v>
      </c>
      <c r="AD13" s="851"/>
      <c r="AE13" s="861">
        <v>191</v>
      </c>
      <c r="AF13" s="851"/>
      <c r="AG13" s="861">
        <v>203</v>
      </c>
      <c r="AH13" s="851"/>
      <c r="AI13" s="861">
        <v>215</v>
      </c>
      <c r="AJ13" s="851"/>
      <c r="AK13" s="861">
        <v>227</v>
      </c>
      <c r="AL13" s="851"/>
      <c r="AM13" s="861">
        <v>239</v>
      </c>
      <c r="AN13" s="846"/>
      <c r="AO13" s="861">
        <v>251</v>
      </c>
      <c r="AP13" s="846"/>
      <c r="AQ13" s="861">
        <v>263</v>
      </c>
      <c r="AR13" s="846"/>
      <c r="AS13" s="861">
        <v>275</v>
      </c>
      <c r="AT13" s="846"/>
      <c r="AU13" s="861">
        <v>287</v>
      </c>
      <c r="AV13" s="846"/>
    </row>
    <row r="14" spans="1:48" x14ac:dyDescent="0.25">
      <c r="A14" s="862">
        <v>12</v>
      </c>
      <c r="B14" s="849"/>
      <c r="C14" s="862">
        <v>24</v>
      </c>
      <c r="D14" s="849"/>
      <c r="E14" s="862">
        <v>36</v>
      </c>
      <c r="F14" s="849"/>
      <c r="G14" s="862">
        <v>48</v>
      </c>
      <c r="H14" s="849"/>
      <c r="I14" s="862">
        <v>60</v>
      </c>
      <c r="J14" s="849"/>
      <c r="K14" s="862">
        <v>72</v>
      </c>
      <c r="L14" s="849"/>
      <c r="M14" s="862">
        <v>84</v>
      </c>
      <c r="N14" s="849"/>
      <c r="O14" s="862">
        <v>96</v>
      </c>
      <c r="P14" s="850"/>
      <c r="Q14" s="862">
        <v>108</v>
      </c>
      <c r="R14" s="850"/>
      <c r="S14" s="862">
        <v>120</v>
      </c>
      <c r="T14" s="850"/>
      <c r="U14" s="862">
        <v>132</v>
      </c>
      <c r="V14" s="850"/>
      <c r="W14" s="862">
        <v>144</v>
      </c>
      <c r="X14" s="850"/>
      <c r="Y14" s="862">
        <v>156</v>
      </c>
      <c r="Z14" s="851"/>
      <c r="AA14" s="862">
        <v>168</v>
      </c>
      <c r="AB14" s="851"/>
      <c r="AC14" s="862">
        <v>180</v>
      </c>
      <c r="AD14" s="851"/>
      <c r="AE14" s="862">
        <v>192</v>
      </c>
      <c r="AF14" s="851"/>
      <c r="AG14" s="862">
        <v>204</v>
      </c>
      <c r="AH14" s="851"/>
      <c r="AI14" s="862">
        <v>216</v>
      </c>
      <c r="AJ14" s="851"/>
      <c r="AK14" s="862">
        <v>228</v>
      </c>
      <c r="AL14" s="851"/>
      <c r="AM14" s="862">
        <v>240</v>
      </c>
      <c r="AN14" s="846"/>
      <c r="AO14" s="862">
        <v>252</v>
      </c>
      <c r="AP14" s="846"/>
      <c r="AQ14" s="862">
        <v>264</v>
      </c>
      <c r="AR14" s="846"/>
      <c r="AS14" s="862">
        <v>276</v>
      </c>
      <c r="AT14" s="846"/>
      <c r="AU14" s="862">
        <v>288</v>
      </c>
      <c r="AV14" s="846"/>
    </row>
    <row r="15" spans="1:48" x14ac:dyDescent="0.25">
      <c r="A15" s="848"/>
      <c r="B15" s="863" t="s">
        <v>1009</v>
      </c>
      <c r="C15" s="852"/>
      <c r="D15" s="852" t="s">
        <v>1009</v>
      </c>
      <c r="E15" s="853"/>
      <c r="F15" s="853" t="s">
        <v>1009</v>
      </c>
      <c r="G15" s="864"/>
      <c r="H15" s="854" t="s">
        <v>1009</v>
      </c>
      <c r="I15" s="855"/>
      <c r="J15" s="855" t="s">
        <v>1009</v>
      </c>
      <c r="K15" s="856"/>
      <c r="L15" s="856" t="s">
        <v>1009</v>
      </c>
      <c r="M15" s="857"/>
      <c r="N15" s="857" t="s">
        <v>1009</v>
      </c>
      <c r="O15" s="865"/>
      <c r="P15" s="858" t="s">
        <v>1009</v>
      </c>
      <c r="Q15" s="859"/>
      <c r="R15" s="859" t="s">
        <v>1009</v>
      </c>
      <c r="S15" s="860"/>
      <c r="T15" s="860" t="s">
        <v>1009</v>
      </c>
      <c r="U15" s="861"/>
      <c r="V15" s="861" t="s">
        <v>1009</v>
      </c>
      <c r="W15" s="862"/>
      <c r="X15" s="862" t="s">
        <v>1009</v>
      </c>
      <c r="Y15" s="848"/>
      <c r="Z15" s="863" t="s">
        <v>1009</v>
      </c>
      <c r="AA15" s="852"/>
      <c r="AB15" s="852" t="s">
        <v>1009</v>
      </c>
      <c r="AC15" s="853"/>
      <c r="AD15" s="853" t="s">
        <v>1009</v>
      </c>
      <c r="AE15" s="864"/>
      <c r="AF15" s="854" t="s">
        <v>1009</v>
      </c>
      <c r="AG15" s="855"/>
      <c r="AH15" s="855" t="s">
        <v>1009</v>
      </c>
      <c r="AI15" s="856"/>
      <c r="AJ15" s="856" t="s">
        <v>1009</v>
      </c>
      <c r="AK15" s="857"/>
      <c r="AL15" s="857" t="s">
        <v>1009</v>
      </c>
      <c r="AM15" s="865"/>
      <c r="AN15" s="858" t="s">
        <v>1009</v>
      </c>
      <c r="AO15" s="859"/>
      <c r="AP15" s="859" t="s">
        <v>1009</v>
      </c>
      <c r="AQ15" s="860"/>
      <c r="AR15" s="860" t="s">
        <v>1009</v>
      </c>
      <c r="AS15" s="861"/>
      <c r="AT15" s="861" t="s">
        <v>1009</v>
      </c>
      <c r="AU15" s="862"/>
      <c r="AV15" s="862" t="s">
        <v>1009</v>
      </c>
    </row>
    <row r="16" spans="1:48" x14ac:dyDescent="0.25">
      <c r="A16" s="866"/>
      <c r="B16" s="866"/>
      <c r="C16" s="866"/>
      <c r="D16" s="866"/>
      <c r="E16" s="866"/>
      <c r="F16" s="866"/>
      <c r="G16" s="866"/>
      <c r="H16" s="866"/>
      <c r="I16" s="866"/>
      <c r="J16" s="866"/>
      <c r="K16" s="866"/>
      <c r="L16" s="866"/>
      <c r="M16" s="866"/>
      <c r="N16" s="866"/>
      <c r="O16" s="866"/>
      <c r="P16" s="867"/>
      <c r="Q16" s="866"/>
      <c r="R16" s="866"/>
      <c r="S16" s="866"/>
      <c r="T16" s="866"/>
      <c r="U16" s="866"/>
      <c r="V16" s="866"/>
      <c r="W16" s="866"/>
      <c r="X16" s="866"/>
      <c r="Y16" s="868"/>
      <c r="Z16" s="868"/>
      <c r="AA16" s="868"/>
      <c r="AB16" s="868"/>
      <c r="AC16" s="868"/>
      <c r="AD16" s="868"/>
      <c r="AE16" s="868"/>
      <c r="AF16" s="868"/>
      <c r="AG16" s="868"/>
      <c r="AH16" s="868"/>
      <c r="AI16" s="868"/>
      <c r="AJ16" s="868"/>
      <c r="AK16" s="868"/>
      <c r="AL16" s="868"/>
      <c r="AM16" s="868"/>
      <c r="AN16" s="868"/>
      <c r="AO16" s="868"/>
      <c r="AP16" s="868"/>
      <c r="AQ16" s="868"/>
      <c r="AR16" s="868"/>
      <c r="AS16" s="868"/>
      <c r="AT16" s="868"/>
      <c r="AU16" s="868"/>
      <c r="AV16" s="868"/>
    </row>
    <row r="17" spans="1:72" ht="15.75" thickBot="1" x14ac:dyDescent="0.3"/>
    <row r="18" spans="1:72" ht="15" customHeight="1" x14ac:dyDescent="0.5">
      <c r="A18" s="1055" t="s">
        <v>1010</v>
      </c>
      <c r="B18" s="1056"/>
      <c r="C18" s="1056"/>
      <c r="D18" s="1056"/>
      <c r="E18" s="1056"/>
      <c r="F18" s="1056"/>
      <c r="G18" s="1056"/>
      <c r="H18" s="1056"/>
      <c r="I18" s="1056"/>
      <c r="J18" s="1056"/>
      <c r="K18" s="1056"/>
      <c r="L18" s="1056"/>
      <c r="M18" s="1056"/>
      <c r="N18" s="1056"/>
      <c r="O18" s="1056"/>
      <c r="P18" s="1056"/>
      <c r="Q18" s="1056"/>
      <c r="R18" s="1056"/>
      <c r="S18" s="1056"/>
      <c r="T18" s="1056"/>
      <c r="U18" s="1056"/>
      <c r="V18" s="1056"/>
      <c r="W18" s="1056"/>
      <c r="X18" s="1056"/>
      <c r="Y18" s="1056"/>
      <c r="Z18" s="1056"/>
      <c r="AA18" s="1056"/>
      <c r="AB18" s="1056"/>
      <c r="AC18" s="1056"/>
      <c r="AD18" s="1056"/>
      <c r="AE18" s="1056"/>
      <c r="AF18" s="1056"/>
      <c r="AG18" s="1056"/>
      <c r="AH18" s="1056"/>
      <c r="AI18" s="1056"/>
      <c r="AJ18" s="1057"/>
      <c r="AK18" s="1055" t="s">
        <v>1011</v>
      </c>
      <c r="AL18" s="1056"/>
      <c r="AM18" s="1056"/>
      <c r="AN18" s="1056"/>
      <c r="AO18" s="1056"/>
      <c r="AP18" s="1056"/>
      <c r="AQ18" s="1056"/>
      <c r="AR18" s="1056"/>
      <c r="AS18" s="1056"/>
      <c r="AT18" s="1056"/>
      <c r="AU18" s="1056"/>
      <c r="AV18" s="1056"/>
      <c r="AW18" s="1056"/>
      <c r="AX18" s="1056"/>
      <c r="AY18" s="1056"/>
      <c r="AZ18" s="1056"/>
      <c r="BA18" s="1056"/>
      <c r="BB18" s="1056"/>
      <c r="BC18" s="1056"/>
      <c r="BD18" s="1056"/>
      <c r="BE18" s="1056"/>
      <c r="BF18" s="1056"/>
      <c r="BG18" s="1056"/>
      <c r="BH18" s="1056"/>
      <c r="BI18" s="1056"/>
      <c r="BJ18" s="1056"/>
      <c r="BK18" s="1056"/>
      <c r="BL18" s="1056"/>
      <c r="BM18" s="1056"/>
      <c r="BN18" s="1056"/>
      <c r="BO18" s="1056"/>
      <c r="BP18" s="1057"/>
      <c r="BQ18" s="869"/>
      <c r="BR18" s="869"/>
      <c r="BS18" s="869"/>
      <c r="BT18" s="870"/>
    </row>
    <row r="19" spans="1:72" ht="15" customHeight="1" thickBot="1" x14ac:dyDescent="0.55000000000000004">
      <c r="A19" s="1058"/>
      <c r="B19" s="1059"/>
      <c r="C19" s="1059"/>
      <c r="D19" s="1059"/>
      <c r="E19" s="1059"/>
      <c r="F19" s="1059"/>
      <c r="G19" s="1059"/>
      <c r="H19" s="1059"/>
      <c r="I19" s="1059"/>
      <c r="J19" s="1059"/>
      <c r="K19" s="1059"/>
      <c r="L19" s="1059"/>
      <c r="M19" s="1059"/>
      <c r="N19" s="1059"/>
      <c r="O19" s="1059"/>
      <c r="P19" s="1059"/>
      <c r="Q19" s="1059"/>
      <c r="R19" s="1059"/>
      <c r="S19" s="1059"/>
      <c r="T19" s="1059"/>
      <c r="U19" s="1059"/>
      <c r="V19" s="1059"/>
      <c r="W19" s="1059"/>
      <c r="X19" s="1059"/>
      <c r="Y19" s="1059"/>
      <c r="Z19" s="1059"/>
      <c r="AA19" s="1059"/>
      <c r="AB19" s="1059"/>
      <c r="AC19" s="1059"/>
      <c r="AD19" s="1059"/>
      <c r="AE19" s="1059"/>
      <c r="AF19" s="1059"/>
      <c r="AG19" s="1059"/>
      <c r="AH19" s="1059"/>
      <c r="AI19" s="1059"/>
      <c r="AJ19" s="1060"/>
      <c r="AK19" s="1058"/>
      <c r="AL19" s="1059"/>
      <c r="AM19" s="1059"/>
      <c r="AN19" s="1059"/>
      <c r="AO19" s="1059"/>
      <c r="AP19" s="1059"/>
      <c r="AQ19" s="1059"/>
      <c r="AR19" s="1059"/>
      <c r="AS19" s="1059"/>
      <c r="AT19" s="1059"/>
      <c r="AU19" s="1059"/>
      <c r="AV19" s="1059"/>
      <c r="AW19" s="1059"/>
      <c r="AX19" s="1059"/>
      <c r="AY19" s="1059"/>
      <c r="AZ19" s="1059"/>
      <c r="BA19" s="1059"/>
      <c r="BB19" s="1059"/>
      <c r="BC19" s="1059"/>
      <c r="BD19" s="1059"/>
      <c r="BE19" s="1059"/>
      <c r="BF19" s="1059"/>
      <c r="BG19" s="1059"/>
      <c r="BH19" s="1059"/>
      <c r="BI19" s="1059"/>
      <c r="BJ19" s="1059"/>
      <c r="BK19" s="1059"/>
      <c r="BL19" s="1059"/>
      <c r="BM19" s="1059"/>
      <c r="BN19" s="1059"/>
      <c r="BO19" s="1059"/>
      <c r="BP19" s="1060"/>
      <c r="BQ19" s="871"/>
      <c r="BR19" s="871"/>
      <c r="BS19" s="871"/>
      <c r="BT19" s="872"/>
    </row>
    <row r="20" spans="1:72" x14ac:dyDescent="0.25">
      <c r="A20" s="873">
        <v>1</v>
      </c>
      <c r="B20" s="874"/>
      <c r="C20" s="873">
        <v>13</v>
      </c>
      <c r="D20" s="874"/>
      <c r="E20" s="873">
        <v>25</v>
      </c>
      <c r="F20" s="874"/>
      <c r="G20" s="873">
        <v>37</v>
      </c>
      <c r="H20" s="874"/>
      <c r="I20" s="873">
        <v>49</v>
      </c>
      <c r="J20" s="874"/>
      <c r="K20" s="873">
        <v>61</v>
      </c>
      <c r="L20" s="874"/>
      <c r="M20" s="873">
        <v>73</v>
      </c>
      <c r="N20" s="874"/>
      <c r="O20" s="873">
        <v>85</v>
      </c>
      <c r="P20" s="874"/>
      <c r="Q20" s="873">
        <v>97</v>
      </c>
      <c r="R20" s="874"/>
      <c r="S20" s="873">
        <v>109</v>
      </c>
      <c r="T20" s="874"/>
      <c r="U20" s="873">
        <v>121</v>
      </c>
      <c r="V20" s="874"/>
      <c r="W20" s="873">
        <v>133</v>
      </c>
      <c r="X20" s="874"/>
      <c r="Y20" s="875">
        <v>145</v>
      </c>
      <c r="Z20" s="874"/>
      <c r="AA20" s="875">
        <v>157</v>
      </c>
      <c r="AB20" s="874"/>
      <c r="AC20" s="875">
        <v>169</v>
      </c>
      <c r="AD20" s="874"/>
      <c r="AE20" s="875">
        <v>181</v>
      </c>
      <c r="AF20" s="874"/>
      <c r="AG20" s="875">
        <v>193</v>
      </c>
      <c r="AH20" s="874"/>
      <c r="AI20" s="875">
        <v>205</v>
      </c>
      <c r="AJ20" s="874"/>
      <c r="AK20" s="875">
        <v>217</v>
      </c>
      <c r="AL20" s="874"/>
      <c r="AM20" s="875">
        <v>229</v>
      </c>
      <c r="AN20" s="874"/>
      <c r="AO20" s="875">
        <v>241</v>
      </c>
      <c r="AP20" s="874"/>
      <c r="AQ20" s="875">
        <v>253</v>
      </c>
      <c r="AR20" s="874"/>
      <c r="AS20" s="875">
        <v>265</v>
      </c>
      <c r="AT20" s="874"/>
      <c r="AU20" s="875">
        <v>277</v>
      </c>
      <c r="AV20" s="874"/>
      <c r="AW20" s="875">
        <v>289</v>
      </c>
      <c r="AX20" s="874"/>
      <c r="AY20" s="875">
        <v>301</v>
      </c>
      <c r="AZ20" s="874"/>
      <c r="BA20" s="875">
        <v>313</v>
      </c>
      <c r="BB20" s="874"/>
      <c r="BC20" s="875">
        <v>325</v>
      </c>
      <c r="BD20" s="874"/>
      <c r="BE20" s="875">
        <v>337</v>
      </c>
      <c r="BF20" s="874"/>
      <c r="BG20" s="875">
        <v>349</v>
      </c>
      <c r="BH20" s="874"/>
      <c r="BI20" s="875">
        <v>361</v>
      </c>
      <c r="BJ20" s="874"/>
      <c r="BK20" s="875">
        <v>373</v>
      </c>
      <c r="BL20" s="874"/>
      <c r="BM20" s="875">
        <v>385</v>
      </c>
      <c r="BN20" s="874"/>
      <c r="BO20" s="875">
        <v>397</v>
      </c>
      <c r="BP20" s="874"/>
      <c r="BQ20" s="875">
        <v>409</v>
      </c>
      <c r="BR20" s="874"/>
      <c r="BS20" s="875">
        <v>421</v>
      </c>
      <c r="BT20" s="874"/>
    </row>
    <row r="21" spans="1:72" x14ac:dyDescent="0.25">
      <c r="A21" s="852">
        <v>2</v>
      </c>
      <c r="B21" s="849"/>
      <c r="C21" s="852">
        <v>14</v>
      </c>
      <c r="D21" s="849"/>
      <c r="E21" s="852">
        <v>26</v>
      </c>
      <c r="F21" s="849"/>
      <c r="G21" s="852">
        <v>38</v>
      </c>
      <c r="H21" s="849"/>
      <c r="I21" s="852">
        <v>50</v>
      </c>
      <c r="J21" s="849"/>
      <c r="K21" s="852">
        <v>62</v>
      </c>
      <c r="L21" s="849"/>
      <c r="M21" s="852">
        <v>74</v>
      </c>
      <c r="N21" s="849"/>
      <c r="O21" s="852">
        <v>86</v>
      </c>
      <c r="P21" s="849"/>
      <c r="Q21" s="852">
        <v>98</v>
      </c>
      <c r="R21" s="849"/>
      <c r="S21" s="852">
        <v>110</v>
      </c>
      <c r="T21" s="849"/>
      <c r="U21" s="852">
        <v>122</v>
      </c>
      <c r="V21" s="849"/>
      <c r="W21" s="852">
        <v>134</v>
      </c>
      <c r="X21" s="849"/>
      <c r="Y21" s="876">
        <v>146</v>
      </c>
      <c r="Z21" s="849"/>
      <c r="AA21" s="876">
        <v>158</v>
      </c>
      <c r="AB21" s="849"/>
      <c r="AC21" s="876">
        <v>170</v>
      </c>
      <c r="AD21" s="849"/>
      <c r="AE21" s="876">
        <v>182</v>
      </c>
      <c r="AF21" s="849"/>
      <c r="AG21" s="876">
        <v>194</v>
      </c>
      <c r="AH21" s="849"/>
      <c r="AI21" s="876">
        <v>206</v>
      </c>
      <c r="AJ21" s="849"/>
      <c r="AK21" s="876">
        <v>218</v>
      </c>
      <c r="AL21" s="874"/>
      <c r="AM21" s="876">
        <v>230</v>
      </c>
      <c r="AN21" s="874"/>
      <c r="AO21" s="876">
        <v>242</v>
      </c>
      <c r="AP21" s="874"/>
      <c r="AQ21" s="876">
        <v>254</v>
      </c>
      <c r="AR21" s="874"/>
      <c r="AS21" s="876">
        <v>266</v>
      </c>
      <c r="AT21" s="874"/>
      <c r="AU21" s="876">
        <v>278</v>
      </c>
      <c r="AV21" s="874"/>
      <c r="AW21" s="876">
        <v>290</v>
      </c>
      <c r="AX21" s="874"/>
      <c r="AY21" s="876">
        <v>302</v>
      </c>
      <c r="AZ21" s="874"/>
      <c r="BA21" s="876">
        <v>314</v>
      </c>
      <c r="BB21" s="874"/>
      <c r="BC21" s="876">
        <v>326</v>
      </c>
      <c r="BD21" s="874"/>
      <c r="BE21" s="876">
        <v>338</v>
      </c>
      <c r="BF21" s="874"/>
      <c r="BG21" s="876">
        <v>350</v>
      </c>
      <c r="BH21" s="874"/>
      <c r="BI21" s="876">
        <v>362</v>
      </c>
      <c r="BJ21" s="874"/>
      <c r="BK21" s="876">
        <v>374</v>
      </c>
      <c r="BL21" s="874"/>
      <c r="BM21" s="876">
        <v>386</v>
      </c>
      <c r="BN21" s="874"/>
      <c r="BO21" s="876">
        <v>398</v>
      </c>
      <c r="BP21" s="874"/>
      <c r="BQ21" s="876">
        <v>410</v>
      </c>
      <c r="BR21" s="849"/>
      <c r="BS21" s="876">
        <v>422</v>
      </c>
      <c r="BT21" s="849"/>
    </row>
    <row r="22" spans="1:72" x14ac:dyDescent="0.25">
      <c r="A22" s="853">
        <v>3</v>
      </c>
      <c r="B22" s="849"/>
      <c r="C22" s="853">
        <v>15</v>
      </c>
      <c r="D22" s="849"/>
      <c r="E22" s="853">
        <v>27</v>
      </c>
      <c r="F22" s="849"/>
      <c r="G22" s="853">
        <v>39</v>
      </c>
      <c r="H22" s="849"/>
      <c r="I22" s="853">
        <v>51</v>
      </c>
      <c r="J22" s="849"/>
      <c r="K22" s="853">
        <v>63</v>
      </c>
      <c r="L22" s="849"/>
      <c r="M22" s="853">
        <v>75</v>
      </c>
      <c r="N22" s="849"/>
      <c r="O22" s="853">
        <v>87</v>
      </c>
      <c r="P22" s="849"/>
      <c r="Q22" s="853">
        <v>99</v>
      </c>
      <c r="R22" s="849"/>
      <c r="S22" s="853">
        <v>111</v>
      </c>
      <c r="T22" s="849"/>
      <c r="U22" s="853">
        <v>123</v>
      </c>
      <c r="V22" s="849"/>
      <c r="W22" s="853">
        <v>135</v>
      </c>
      <c r="X22" s="849"/>
      <c r="Y22" s="877">
        <v>147</v>
      </c>
      <c r="Z22" s="849"/>
      <c r="AA22" s="877">
        <v>159</v>
      </c>
      <c r="AB22" s="849"/>
      <c r="AC22" s="877">
        <v>171</v>
      </c>
      <c r="AD22" s="849"/>
      <c r="AE22" s="877">
        <v>183</v>
      </c>
      <c r="AF22" s="849"/>
      <c r="AG22" s="877">
        <v>195</v>
      </c>
      <c r="AH22" s="849"/>
      <c r="AI22" s="877">
        <v>207</v>
      </c>
      <c r="AJ22" s="849"/>
      <c r="AK22" s="877">
        <v>219</v>
      </c>
      <c r="AL22" s="874"/>
      <c r="AM22" s="877">
        <v>231</v>
      </c>
      <c r="AN22" s="874"/>
      <c r="AO22" s="877">
        <v>243</v>
      </c>
      <c r="AP22" s="874"/>
      <c r="AQ22" s="877">
        <v>255</v>
      </c>
      <c r="AR22" s="874"/>
      <c r="AS22" s="877">
        <v>267</v>
      </c>
      <c r="AT22" s="874"/>
      <c r="AU22" s="877">
        <v>279</v>
      </c>
      <c r="AV22" s="874"/>
      <c r="AW22" s="877">
        <v>291</v>
      </c>
      <c r="AX22" s="874"/>
      <c r="AY22" s="877">
        <v>303</v>
      </c>
      <c r="AZ22" s="874"/>
      <c r="BA22" s="877">
        <v>315</v>
      </c>
      <c r="BB22" s="874"/>
      <c r="BC22" s="877">
        <v>327</v>
      </c>
      <c r="BD22" s="874"/>
      <c r="BE22" s="877">
        <v>339</v>
      </c>
      <c r="BF22" s="874"/>
      <c r="BG22" s="877">
        <v>351</v>
      </c>
      <c r="BH22" s="874"/>
      <c r="BI22" s="877">
        <v>363</v>
      </c>
      <c r="BJ22" s="874"/>
      <c r="BK22" s="877">
        <v>375</v>
      </c>
      <c r="BL22" s="874"/>
      <c r="BM22" s="877">
        <v>387</v>
      </c>
      <c r="BN22" s="874"/>
      <c r="BO22" s="877">
        <v>399</v>
      </c>
      <c r="BP22" s="874"/>
      <c r="BQ22" s="877">
        <v>411</v>
      </c>
      <c r="BR22" s="849"/>
      <c r="BS22" s="877">
        <v>423</v>
      </c>
      <c r="BT22" s="849"/>
    </row>
    <row r="23" spans="1:72" x14ac:dyDescent="0.25">
      <c r="A23" s="854">
        <v>4</v>
      </c>
      <c r="B23" s="849"/>
      <c r="C23" s="854">
        <v>16</v>
      </c>
      <c r="D23" s="849"/>
      <c r="E23" s="854">
        <v>28</v>
      </c>
      <c r="F23" s="849"/>
      <c r="G23" s="854">
        <v>40</v>
      </c>
      <c r="H23" s="849"/>
      <c r="I23" s="854">
        <v>52</v>
      </c>
      <c r="J23" s="849"/>
      <c r="K23" s="854">
        <v>64</v>
      </c>
      <c r="L23" s="849"/>
      <c r="M23" s="854">
        <v>76</v>
      </c>
      <c r="N23" s="849"/>
      <c r="O23" s="854">
        <v>88</v>
      </c>
      <c r="P23" s="849"/>
      <c r="Q23" s="854">
        <v>100</v>
      </c>
      <c r="R23" s="849"/>
      <c r="S23" s="854">
        <v>112</v>
      </c>
      <c r="T23" s="849"/>
      <c r="U23" s="854">
        <v>124</v>
      </c>
      <c r="V23" s="849"/>
      <c r="W23" s="854">
        <v>136</v>
      </c>
      <c r="X23" s="849"/>
      <c r="Y23" s="878">
        <v>148</v>
      </c>
      <c r="Z23" s="849"/>
      <c r="AA23" s="878">
        <v>160</v>
      </c>
      <c r="AB23" s="849"/>
      <c r="AC23" s="878">
        <v>172</v>
      </c>
      <c r="AD23" s="849"/>
      <c r="AE23" s="878">
        <v>184</v>
      </c>
      <c r="AF23" s="849"/>
      <c r="AG23" s="878">
        <v>196</v>
      </c>
      <c r="AH23" s="849"/>
      <c r="AI23" s="878">
        <v>208</v>
      </c>
      <c r="AJ23" s="849"/>
      <c r="AK23" s="878">
        <v>220</v>
      </c>
      <c r="AL23" s="874"/>
      <c r="AM23" s="878">
        <v>232</v>
      </c>
      <c r="AN23" s="874"/>
      <c r="AO23" s="878">
        <v>244</v>
      </c>
      <c r="AP23" s="874"/>
      <c r="AQ23" s="878">
        <v>256</v>
      </c>
      <c r="AR23" s="874"/>
      <c r="AS23" s="878">
        <v>268</v>
      </c>
      <c r="AT23" s="874"/>
      <c r="AU23" s="878">
        <v>280</v>
      </c>
      <c r="AV23" s="874"/>
      <c r="AW23" s="878">
        <v>292</v>
      </c>
      <c r="AX23" s="874"/>
      <c r="AY23" s="878">
        <v>304</v>
      </c>
      <c r="AZ23" s="874"/>
      <c r="BA23" s="878">
        <v>316</v>
      </c>
      <c r="BB23" s="874"/>
      <c r="BC23" s="878">
        <v>328</v>
      </c>
      <c r="BD23" s="874"/>
      <c r="BE23" s="878">
        <v>340</v>
      </c>
      <c r="BF23" s="874"/>
      <c r="BG23" s="878">
        <v>352</v>
      </c>
      <c r="BH23" s="874"/>
      <c r="BI23" s="878">
        <v>364</v>
      </c>
      <c r="BJ23" s="874"/>
      <c r="BK23" s="878">
        <v>376</v>
      </c>
      <c r="BL23" s="874"/>
      <c r="BM23" s="878">
        <v>388</v>
      </c>
      <c r="BN23" s="874"/>
      <c r="BO23" s="878">
        <v>400</v>
      </c>
      <c r="BP23" s="874"/>
      <c r="BQ23" s="878">
        <v>412</v>
      </c>
      <c r="BR23" s="849"/>
      <c r="BS23" s="878">
        <v>424</v>
      </c>
      <c r="BT23" s="849"/>
    </row>
    <row r="24" spans="1:72" x14ac:dyDescent="0.25">
      <c r="A24" s="855">
        <v>5</v>
      </c>
      <c r="B24" s="849"/>
      <c r="C24" s="855">
        <v>17</v>
      </c>
      <c r="D24" s="849"/>
      <c r="E24" s="855">
        <v>29</v>
      </c>
      <c r="F24" s="849"/>
      <c r="G24" s="855">
        <v>41</v>
      </c>
      <c r="H24" s="849"/>
      <c r="I24" s="855">
        <v>53</v>
      </c>
      <c r="J24" s="849"/>
      <c r="K24" s="855">
        <v>65</v>
      </c>
      <c r="L24" s="849"/>
      <c r="M24" s="855">
        <v>77</v>
      </c>
      <c r="N24" s="849"/>
      <c r="O24" s="855">
        <v>89</v>
      </c>
      <c r="P24" s="849"/>
      <c r="Q24" s="855">
        <v>101</v>
      </c>
      <c r="R24" s="849"/>
      <c r="S24" s="855">
        <v>113</v>
      </c>
      <c r="T24" s="849"/>
      <c r="U24" s="855">
        <v>125</v>
      </c>
      <c r="V24" s="849"/>
      <c r="W24" s="855">
        <v>137</v>
      </c>
      <c r="X24" s="849"/>
      <c r="Y24" s="879">
        <v>149</v>
      </c>
      <c r="Z24" s="849"/>
      <c r="AA24" s="879">
        <v>161</v>
      </c>
      <c r="AB24" s="849"/>
      <c r="AC24" s="879">
        <v>173</v>
      </c>
      <c r="AD24" s="849"/>
      <c r="AE24" s="879">
        <v>185</v>
      </c>
      <c r="AF24" s="849"/>
      <c r="AG24" s="879">
        <v>197</v>
      </c>
      <c r="AH24" s="849"/>
      <c r="AI24" s="879">
        <v>209</v>
      </c>
      <c r="AJ24" s="849"/>
      <c r="AK24" s="879">
        <v>221</v>
      </c>
      <c r="AL24" s="874"/>
      <c r="AM24" s="879">
        <v>233</v>
      </c>
      <c r="AN24" s="874"/>
      <c r="AO24" s="879">
        <v>245</v>
      </c>
      <c r="AP24" s="874"/>
      <c r="AQ24" s="879">
        <v>257</v>
      </c>
      <c r="AR24" s="874"/>
      <c r="AS24" s="879">
        <v>269</v>
      </c>
      <c r="AT24" s="874"/>
      <c r="AU24" s="879">
        <v>281</v>
      </c>
      <c r="AV24" s="874"/>
      <c r="AW24" s="879">
        <v>293</v>
      </c>
      <c r="AX24" s="874"/>
      <c r="AY24" s="879">
        <v>305</v>
      </c>
      <c r="AZ24" s="874"/>
      <c r="BA24" s="879">
        <v>317</v>
      </c>
      <c r="BB24" s="874"/>
      <c r="BC24" s="879">
        <v>329</v>
      </c>
      <c r="BD24" s="874"/>
      <c r="BE24" s="879">
        <v>341</v>
      </c>
      <c r="BF24" s="874"/>
      <c r="BG24" s="879">
        <v>353</v>
      </c>
      <c r="BH24" s="874"/>
      <c r="BI24" s="879">
        <v>365</v>
      </c>
      <c r="BJ24" s="874"/>
      <c r="BK24" s="879">
        <v>377</v>
      </c>
      <c r="BL24" s="874"/>
      <c r="BM24" s="879">
        <v>389</v>
      </c>
      <c r="BN24" s="874"/>
      <c r="BO24" s="879">
        <v>401</v>
      </c>
      <c r="BP24" s="874"/>
      <c r="BQ24" s="879">
        <v>413</v>
      </c>
      <c r="BR24" s="849"/>
      <c r="BS24" s="879">
        <v>425</v>
      </c>
      <c r="BT24" s="849"/>
    </row>
    <row r="25" spans="1:72" x14ac:dyDescent="0.25">
      <c r="A25" s="856">
        <v>6</v>
      </c>
      <c r="B25" s="849"/>
      <c r="C25" s="856">
        <v>18</v>
      </c>
      <c r="D25" s="849"/>
      <c r="E25" s="856">
        <v>30</v>
      </c>
      <c r="F25" s="849"/>
      <c r="G25" s="856">
        <v>42</v>
      </c>
      <c r="H25" s="849"/>
      <c r="I25" s="856">
        <v>54</v>
      </c>
      <c r="J25" s="849"/>
      <c r="K25" s="856">
        <v>66</v>
      </c>
      <c r="L25" s="849"/>
      <c r="M25" s="856">
        <v>78</v>
      </c>
      <c r="N25" s="849"/>
      <c r="O25" s="856">
        <v>90</v>
      </c>
      <c r="P25" s="849"/>
      <c r="Q25" s="856">
        <v>102</v>
      </c>
      <c r="R25" s="849"/>
      <c r="S25" s="856">
        <v>114</v>
      </c>
      <c r="T25" s="849"/>
      <c r="U25" s="856">
        <v>126</v>
      </c>
      <c r="V25" s="849"/>
      <c r="W25" s="856">
        <v>138</v>
      </c>
      <c r="X25" s="849"/>
      <c r="Y25" s="880">
        <v>150</v>
      </c>
      <c r="Z25" s="849"/>
      <c r="AA25" s="880">
        <v>162</v>
      </c>
      <c r="AB25" s="849"/>
      <c r="AC25" s="880">
        <v>174</v>
      </c>
      <c r="AD25" s="849"/>
      <c r="AE25" s="880">
        <v>186</v>
      </c>
      <c r="AF25" s="849"/>
      <c r="AG25" s="880">
        <v>198</v>
      </c>
      <c r="AH25" s="849"/>
      <c r="AI25" s="880">
        <v>210</v>
      </c>
      <c r="AJ25" s="849"/>
      <c r="AK25" s="880">
        <v>222</v>
      </c>
      <c r="AL25" s="874"/>
      <c r="AM25" s="880">
        <v>234</v>
      </c>
      <c r="AN25" s="874"/>
      <c r="AO25" s="880">
        <v>246</v>
      </c>
      <c r="AP25" s="874"/>
      <c r="AQ25" s="880">
        <v>258</v>
      </c>
      <c r="AR25" s="874"/>
      <c r="AS25" s="880">
        <v>270</v>
      </c>
      <c r="AT25" s="874"/>
      <c r="AU25" s="880">
        <v>282</v>
      </c>
      <c r="AV25" s="874"/>
      <c r="AW25" s="880">
        <v>294</v>
      </c>
      <c r="AX25" s="874"/>
      <c r="AY25" s="880">
        <v>306</v>
      </c>
      <c r="AZ25" s="874"/>
      <c r="BA25" s="880">
        <v>318</v>
      </c>
      <c r="BB25" s="874"/>
      <c r="BC25" s="880">
        <v>330</v>
      </c>
      <c r="BD25" s="874"/>
      <c r="BE25" s="880">
        <v>342</v>
      </c>
      <c r="BF25" s="874"/>
      <c r="BG25" s="880">
        <v>354</v>
      </c>
      <c r="BH25" s="874"/>
      <c r="BI25" s="880">
        <v>366</v>
      </c>
      <c r="BJ25" s="874"/>
      <c r="BK25" s="880">
        <v>378</v>
      </c>
      <c r="BL25" s="874"/>
      <c r="BM25" s="880">
        <v>390</v>
      </c>
      <c r="BN25" s="874"/>
      <c r="BO25" s="880">
        <v>402</v>
      </c>
      <c r="BP25" s="874"/>
      <c r="BQ25" s="880">
        <v>414</v>
      </c>
      <c r="BR25" s="849"/>
      <c r="BS25" s="880">
        <v>426</v>
      </c>
      <c r="BT25" s="849"/>
    </row>
    <row r="26" spans="1:72" x14ac:dyDescent="0.25">
      <c r="A26" s="857">
        <v>7</v>
      </c>
      <c r="B26" s="849"/>
      <c r="C26" s="857">
        <v>19</v>
      </c>
      <c r="D26" s="849"/>
      <c r="E26" s="857">
        <v>31</v>
      </c>
      <c r="F26" s="849"/>
      <c r="G26" s="857">
        <v>43</v>
      </c>
      <c r="H26" s="849"/>
      <c r="I26" s="857">
        <v>55</v>
      </c>
      <c r="J26" s="849"/>
      <c r="K26" s="857">
        <v>67</v>
      </c>
      <c r="L26" s="849"/>
      <c r="M26" s="857">
        <v>79</v>
      </c>
      <c r="N26" s="849"/>
      <c r="O26" s="857">
        <v>91</v>
      </c>
      <c r="P26" s="849"/>
      <c r="Q26" s="857">
        <v>103</v>
      </c>
      <c r="R26" s="849"/>
      <c r="S26" s="857">
        <v>115</v>
      </c>
      <c r="T26" s="849"/>
      <c r="U26" s="857">
        <v>127</v>
      </c>
      <c r="V26" s="849"/>
      <c r="W26" s="857">
        <v>139</v>
      </c>
      <c r="X26" s="849"/>
      <c r="Y26" s="881">
        <v>151</v>
      </c>
      <c r="Z26" s="849"/>
      <c r="AA26" s="881">
        <v>163</v>
      </c>
      <c r="AB26" s="849"/>
      <c r="AC26" s="881">
        <v>175</v>
      </c>
      <c r="AD26" s="849"/>
      <c r="AE26" s="881">
        <v>187</v>
      </c>
      <c r="AF26" s="849"/>
      <c r="AG26" s="881">
        <v>199</v>
      </c>
      <c r="AH26" s="849"/>
      <c r="AI26" s="881">
        <v>211</v>
      </c>
      <c r="AJ26" s="849"/>
      <c r="AK26" s="881">
        <v>223</v>
      </c>
      <c r="AL26" s="874"/>
      <c r="AM26" s="881">
        <v>235</v>
      </c>
      <c r="AN26" s="874"/>
      <c r="AO26" s="881">
        <v>247</v>
      </c>
      <c r="AP26" s="874"/>
      <c r="AQ26" s="881">
        <v>259</v>
      </c>
      <c r="AR26" s="874"/>
      <c r="AS26" s="881">
        <v>271</v>
      </c>
      <c r="AT26" s="874"/>
      <c r="AU26" s="881">
        <v>283</v>
      </c>
      <c r="AV26" s="874"/>
      <c r="AW26" s="881">
        <v>295</v>
      </c>
      <c r="AX26" s="874"/>
      <c r="AY26" s="881">
        <v>307</v>
      </c>
      <c r="AZ26" s="874"/>
      <c r="BA26" s="881">
        <v>319</v>
      </c>
      <c r="BB26" s="874"/>
      <c r="BC26" s="881">
        <v>331</v>
      </c>
      <c r="BD26" s="874"/>
      <c r="BE26" s="881">
        <v>343</v>
      </c>
      <c r="BF26" s="874"/>
      <c r="BG26" s="881">
        <v>355</v>
      </c>
      <c r="BH26" s="874"/>
      <c r="BI26" s="881">
        <v>367</v>
      </c>
      <c r="BJ26" s="874"/>
      <c r="BK26" s="881">
        <v>379</v>
      </c>
      <c r="BL26" s="874"/>
      <c r="BM26" s="881">
        <v>391</v>
      </c>
      <c r="BN26" s="874"/>
      <c r="BO26" s="881">
        <v>403</v>
      </c>
      <c r="BP26" s="874"/>
      <c r="BQ26" s="881">
        <v>415</v>
      </c>
      <c r="BR26" s="849"/>
      <c r="BS26" s="881">
        <v>427</v>
      </c>
      <c r="BT26" s="849"/>
    </row>
    <row r="27" spans="1:72" x14ac:dyDescent="0.25">
      <c r="A27" s="858">
        <v>8</v>
      </c>
      <c r="B27" s="849"/>
      <c r="C27" s="858">
        <v>20</v>
      </c>
      <c r="D27" s="849"/>
      <c r="E27" s="858">
        <v>32</v>
      </c>
      <c r="F27" s="849"/>
      <c r="G27" s="858">
        <v>44</v>
      </c>
      <c r="H27" s="849"/>
      <c r="I27" s="858">
        <v>56</v>
      </c>
      <c r="J27" s="849"/>
      <c r="K27" s="858">
        <v>68</v>
      </c>
      <c r="L27" s="849"/>
      <c r="M27" s="858">
        <v>80</v>
      </c>
      <c r="N27" s="849"/>
      <c r="O27" s="858">
        <v>92</v>
      </c>
      <c r="P27" s="849"/>
      <c r="Q27" s="858">
        <v>104</v>
      </c>
      <c r="R27" s="849"/>
      <c r="S27" s="858">
        <v>116</v>
      </c>
      <c r="T27" s="849"/>
      <c r="U27" s="858">
        <v>128</v>
      </c>
      <c r="V27" s="849"/>
      <c r="W27" s="858">
        <v>140</v>
      </c>
      <c r="X27" s="849"/>
      <c r="Y27" s="882">
        <v>152</v>
      </c>
      <c r="Z27" s="849"/>
      <c r="AA27" s="882">
        <v>164</v>
      </c>
      <c r="AB27" s="849"/>
      <c r="AC27" s="882">
        <v>176</v>
      </c>
      <c r="AD27" s="849"/>
      <c r="AE27" s="882">
        <v>188</v>
      </c>
      <c r="AF27" s="849"/>
      <c r="AG27" s="882">
        <v>200</v>
      </c>
      <c r="AH27" s="849"/>
      <c r="AI27" s="882">
        <v>212</v>
      </c>
      <c r="AJ27" s="849"/>
      <c r="AK27" s="882">
        <v>224</v>
      </c>
      <c r="AL27" s="874"/>
      <c r="AM27" s="882">
        <v>236</v>
      </c>
      <c r="AN27" s="874"/>
      <c r="AO27" s="882">
        <v>248</v>
      </c>
      <c r="AP27" s="874"/>
      <c r="AQ27" s="882">
        <v>260</v>
      </c>
      <c r="AR27" s="874"/>
      <c r="AS27" s="882">
        <v>272</v>
      </c>
      <c r="AT27" s="874"/>
      <c r="AU27" s="882">
        <v>284</v>
      </c>
      <c r="AV27" s="874"/>
      <c r="AW27" s="882">
        <v>296</v>
      </c>
      <c r="AX27" s="874"/>
      <c r="AY27" s="882">
        <v>308</v>
      </c>
      <c r="AZ27" s="874"/>
      <c r="BA27" s="882">
        <v>320</v>
      </c>
      <c r="BB27" s="874"/>
      <c r="BC27" s="882">
        <v>332</v>
      </c>
      <c r="BD27" s="874"/>
      <c r="BE27" s="882">
        <v>344</v>
      </c>
      <c r="BF27" s="874"/>
      <c r="BG27" s="882">
        <v>356</v>
      </c>
      <c r="BH27" s="874"/>
      <c r="BI27" s="882">
        <v>368</v>
      </c>
      <c r="BJ27" s="874"/>
      <c r="BK27" s="882">
        <v>380</v>
      </c>
      <c r="BL27" s="874"/>
      <c r="BM27" s="882">
        <v>392</v>
      </c>
      <c r="BN27" s="874"/>
      <c r="BO27" s="882">
        <v>404</v>
      </c>
      <c r="BP27" s="874"/>
      <c r="BQ27" s="882">
        <v>416</v>
      </c>
      <c r="BR27" s="849"/>
      <c r="BS27" s="882">
        <v>428</v>
      </c>
      <c r="BT27" s="849"/>
    </row>
    <row r="28" spans="1:72" x14ac:dyDescent="0.25">
      <c r="A28" s="859">
        <v>9</v>
      </c>
      <c r="B28" s="849"/>
      <c r="C28" s="859">
        <v>21</v>
      </c>
      <c r="D28" s="849"/>
      <c r="E28" s="859">
        <v>33</v>
      </c>
      <c r="F28" s="849"/>
      <c r="G28" s="859">
        <v>45</v>
      </c>
      <c r="H28" s="849"/>
      <c r="I28" s="859">
        <v>57</v>
      </c>
      <c r="J28" s="849"/>
      <c r="K28" s="859">
        <v>69</v>
      </c>
      <c r="L28" s="849"/>
      <c r="M28" s="859">
        <v>81</v>
      </c>
      <c r="N28" s="849"/>
      <c r="O28" s="859">
        <v>93</v>
      </c>
      <c r="P28" s="849"/>
      <c r="Q28" s="859">
        <v>105</v>
      </c>
      <c r="R28" s="849"/>
      <c r="S28" s="859">
        <v>117</v>
      </c>
      <c r="T28" s="849"/>
      <c r="U28" s="859">
        <v>129</v>
      </c>
      <c r="V28" s="849"/>
      <c r="W28" s="859">
        <v>141</v>
      </c>
      <c r="X28" s="849"/>
      <c r="Y28" s="883">
        <v>153</v>
      </c>
      <c r="Z28" s="849"/>
      <c r="AA28" s="883">
        <v>165</v>
      </c>
      <c r="AB28" s="849"/>
      <c r="AC28" s="883">
        <v>177</v>
      </c>
      <c r="AD28" s="849"/>
      <c r="AE28" s="883">
        <v>189</v>
      </c>
      <c r="AF28" s="849"/>
      <c r="AG28" s="883">
        <v>201</v>
      </c>
      <c r="AH28" s="849"/>
      <c r="AI28" s="883">
        <v>213</v>
      </c>
      <c r="AJ28" s="849"/>
      <c r="AK28" s="883">
        <v>225</v>
      </c>
      <c r="AL28" s="874"/>
      <c r="AM28" s="883">
        <v>237</v>
      </c>
      <c r="AN28" s="874"/>
      <c r="AO28" s="883">
        <v>249</v>
      </c>
      <c r="AP28" s="874"/>
      <c r="AQ28" s="883">
        <v>261</v>
      </c>
      <c r="AR28" s="874"/>
      <c r="AS28" s="883">
        <v>273</v>
      </c>
      <c r="AT28" s="874"/>
      <c r="AU28" s="883">
        <v>285</v>
      </c>
      <c r="AV28" s="874"/>
      <c r="AW28" s="883">
        <v>297</v>
      </c>
      <c r="AX28" s="874"/>
      <c r="AY28" s="883">
        <v>309</v>
      </c>
      <c r="AZ28" s="874"/>
      <c r="BA28" s="883">
        <v>321</v>
      </c>
      <c r="BB28" s="874"/>
      <c r="BC28" s="883">
        <v>333</v>
      </c>
      <c r="BD28" s="874"/>
      <c r="BE28" s="883">
        <v>345</v>
      </c>
      <c r="BF28" s="874"/>
      <c r="BG28" s="883">
        <v>357</v>
      </c>
      <c r="BH28" s="874"/>
      <c r="BI28" s="883">
        <v>369</v>
      </c>
      <c r="BJ28" s="874"/>
      <c r="BK28" s="883">
        <v>381</v>
      </c>
      <c r="BL28" s="874"/>
      <c r="BM28" s="883">
        <v>393</v>
      </c>
      <c r="BN28" s="874"/>
      <c r="BO28" s="883">
        <v>405</v>
      </c>
      <c r="BP28" s="874"/>
      <c r="BQ28" s="883">
        <v>417</v>
      </c>
      <c r="BR28" s="849"/>
      <c r="BS28" s="883">
        <v>429</v>
      </c>
      <c r="BT28" s="849"/>
    </row>
    <row r="29" spans="1:72" x14ac:dyDescent="0.25">
      <c r="A29" s="860">
        <v>10</v>
      </c>
      <c r="B29" s="849"/>
      <c r="C29" s="860">
        <v>22</v>
      </c>
      <c r="D29" s="849"/>
      <c r="E29" s="860">
        <v>34</v>
      </c>
      <c r="F29" s="849"/>
      <c r="G29" s="860">
        <v>46</v>
      </c>
      <c r="H29" s="849"/>
      <c r="I29" s="860">
        <v>58</v>
      </c>
      <c r="J29" s="849"/>
      <c r="K29" s="860">
        <v>70</v>
      </c>
      <c r="L29" s="849"/>
      <c r="M29" s="860">
        <v>82</v>
      </c>
      <c r="N29" s="849"/>
      <c r="O29" s="860">
        <v>94</v>
      </c>
      <c r="P29" s="849"/>
      <c r="Q29" s="860">
        <v>106</v>
      </c>
      <c r="R29" s="849"/>
      <c r="S29" s="860">
        <v>118</v>
      </c>
      <c r="T29" s="849"/>
      <c r="U29" s="860">
        <v>130</v>
      </c>
      <c r="V29" s="849"/>
      <c r="W29" s="860">
        <v>142</v>
      </c>
      <c r="X29" s="849"/>
      <c r="Y29" s="884">
        <v>154</v>
      </c>
      <c r="Z29" s="849"/>
      <c r="AA29" s="884">
        <v>166</v>
      </c>
      <c r="AB29" s="849"/>
      <c r="AC29" s="884">
        <v>178</v>
      </c>
      <c r="AD29" s="849"/>
      <c r="AE29" s="884">
        <v>190</v>
      </c>
      <c r="AF29" s="849"/>
      <c r="AG29" s="884">
        <v>202</v>
      </c>
      <c r="AH29" s="849"/>
      <c r="AI29" s="884">
        <v>214</v>
      </c>
      <c r="AJ29" s="849"/>
      <c r="AK29" s="884">
        <v>226</v>
      </c>
      <c r="AL29" s="874"/>
      <c r="AM29" s="884">
        <v>238</v>
      </c>
      <c r="AN29" s="874"/>
      <c r="AO29" s="884">
        <v>250</v>
      </c>
      <c r="AP29" s="874"/>
      <c r="AQ29" s="884">
        <v>262</v>
      </c>
      <c r="AR29" s="874"/>
      <c r="AS29" s="884">
        <v>274</v>
      </c>
      <c r="AT29" s="874"/>
      <c r="AU29" s="884">
        <v>286</v>
      </c>
      <c r="AV29" s="874"/>
      <c r="AW29" s="884">
        <v>298</v>
      </c>
      <c r="AX29" s="874"/>
      <c r="AY29" s="884">
        <v>310</v>
      </c>
      <c r="AZ29" s="874"/>
      <c r="BA29" s="884">
        <v>322</v>
      </c>
      <c r="BB29" s="874"/>
      <c r="BC29" s="884">
        <v>334</v>
      </c>
      <c r="BD29" s="874"/>
      <c r="BE29" s="884">
        <v>346</v>
      </c>
      <c r="BF29" s="874"/>
      <c r="BG29" s="884">
        <v>358</v>
      </c>
      <c r="BH29" s="874"/>
      <c r="BI29" s="884">
        <v>370</v>
      </c>
      <c r="BJ29" s="874"/>
      <c r="BK29" s="884">
        <v>382</v>
      </c>
      <c r="BL29" s="874"/>
      <c r="BM29" s="884">
        <v>394</v>
      </c>
      <c r="BN29" s="874"/>
      <c r="BO29" s="884">
        <v>406</v>
      </c>
      <c r="BP29" s="874"/>
      <c r="BQ29" s="884">
        <v>418</v>
      </c>
      <c r="BR29" s="849"/>
      <c r="BS29" s="884">
        <v>430</v>
      </c>
      <c r="BT29" s="849"/>
    </row>
    <row r="30" spans="1:72" x14ac:dyDescent="0.25">
      <c r="A30" s="861">
        <v>11</v>
      </c>
      <c r="B30" s="849"/>
      <c r="C30" s="861">
        <v>23</v>
      </c>
      <c r="D30" s="849"/>
      <c r="E30" s="861">
        <v>35</v>
      </c>
      <c r="F30" s="849"/>
      <c r="G30" s="861">
        <v>47</v>
      </c>
      <c r="H30" s="849"/>
      <c r="I30" s="861">
        <v>59</v>
      </c>
      <c r="J30" s="849"/>
      <c r="K30" s="861">
        <v>71</v>
      </c>
      <c r="L30" s="849"/>
      <c r="M30" s="861">
        <v>83</v>
      </c>
      <c r="N30" s="849"/>
      <c r="O30" s="861">
        <v>95</v>
      </c>
      <c r="P30" s="849"/>
      <c r="Q30" s="861">
        <v>107</v>
      </c>
      <c r="R30" s="849"/>
      <c r="S30" s="861">
        <v>119</v>
      </c>
      <c r="T30" s="849"/>
      <c r="U30" s="861">
        <v>131</v>
      </c>
      <c r="V30" s="849"/>
      <c r="W30" s="861">
        <v>143</v>
      </c>
      <c r="X30" s="849"/>
      <c r="Y30" s="885">
        <v>155</v>
      </c>
      <c r="Z30" s="849"/>
      <c r="AA30" s="885">
        <v>167</v>
      </c>
      <c r="AB30" s="849"/>
      <c r="AC30" s="885">
        <v>179</v>
      </c>
      <c r="AD30" s="849"/>
      <c r="AE30" s="885">
        <v>191</v>
      </c>
      <c r="AF30" s="849"/>
      <c r="AG30" s="885">
        <v>203</v>
      </c>
      <c r="AH30" s="849"/>
      <c r="AI30" s="885">
        <v>215</v>
      </c>
      <c r="AJ30" s="849"/>
      <c r="AK30" s="885">
        <v>227</v>
      </c>
      <c r="AL30" s="874"/>
      <c r="AM30" s="885">
        <v>239</v>
      </c>
      <c r="AN30" s="874"/>
      <c r="AO30" s="885">
        <v>251</v>
      </c>
      <c r="AP30" s="874"/>
      <c r="AQ30" s="885">
        <v>263</v>
      </c>
      <c r="AR30" s="874"/>
      <c r="AS30" s="885">
        <v>275</v>
      </c>
      <c r="AT30" s="874"/>
      <c r="AU30" s="885">
        <v>287</v>
      </c>
      <c r="AV30" s="874"/>
      <c r="AW30" s="885">
        <v>299</v>
      </c>
      <c r="AX30" s="874"/>
      <c r="AY30" s="885">
        <v>311</v>
      </c>
      <c r="AZ30" s="874"/>
      <c r="BA30" s="885">
        <v>323</v>
      </c>
      <c r="BB30" s="874"/>
      <c r="BC30" s="885">
        <v>335</v>
      </c>
      <c r="BD30" s="874"/>
      <c r="BE30" s="885">
        <v>347</v>
      </c>
      <c r="BF30" s="874"/>
      <c r="BG30" s="885">
        <v>359</v>
      </c>
      <c r="BH30" s="874"/>
      <c r="BI30" s="885">
        <v>371</v>
      </c>
      <c r="BJ30" s="874"/>
      <c r="BK30" s="885">
        <v>383</v>
      </c>
      <c r="BL30" s="874"/>
      <c r="BM30" s="885">
        <v>395</v>
      </c>
      <c r="BN30" s="874"/>
      <c r="BO30" s="885">
        <v>407</v>
      </c>
      <c r="BP30" s="874"/>
      <c r="BQ30" s="885">
        <v>419</v>
      </c>
      <c r="BR30" s="849"/>
      <c r="BS30" s="885">
        <v>431</v>
      </c>
      <c r="BT30" s="849"/>
    </row>
    <row r="31" spans="1:72" x14ac:dyDescent="0.25">
      <c r="A31" s="862">
        <v>12</v>
      </c>
      <c r="B31" s="849"/>
      <c r="C31" s="862">
        <v>24</v>
      </c>
      <c r="D31" s="849"/>
      <c r="E31" s="862">
        <v>36</v>
      </c>
      <c r="F31" s="849"/>
      <c r="G31" s="862">
        <v>48</v>
      </c>
      <c r="H31" s="849"/>
      <c r="I31" s="862">
        <v>60</v>
      </c>
      <c r="J31" s="849"/>
      <c r="K31" s="862">
        <v>72</v>
      </c>
      <c r="L31" s="849"/>
      <c r="M31" s="862">
        <v>84</v>
      </c>
      <c r="N31" s="849"/>
      <c r="O31" s="862">
        <v>96</v>
      </c>
      <c r="P31" s="849"/>
      <c r="Q31" s="862">
        <v>108</v>
      </c>
      <c r="R31" s="849"/>
      <c r="S31" s="862">
        <v>120</v>
      </c>
      <c r="T31" s="849"/>
      <c r="U31" s="862">
        <v>132</v>
      </c>
      <c r="V31" s="849"/>
      <c r="W31" s="862">
        <v>144</v>
      </c>
      <c r="X31" s="849"/>
      <c r="Y31" s="886">
        <v>156</v>
      </c>
      <c r="Z31" s="849"/>
      <c r="AA31" s="886">
        <v>168</v>
      </c>
      <c r="AB31" s="849"/>
      <c r="AC31" s="886">
        <v>180</v>
      </c>
      <c r="AD31" s="849"/>
      <c r="AE31" s="886">
        <v>192</v>
      </c>
      <c r="AF31" s="849"/>
      <c r="AG31" s="886">
        <v>204</v>
      </c>
      <c r="AH31" s="849"/>
      <c r="AI31" s="886">
        <v>216</v>
      </c>
      <c r="AJ31" s="849"/>
      <c r="AK31" s="886">
        <v>228</v>
      </c>
      <c r="AL31" s="874"/>
      <c r="AM31" s="886">
        <v>240</v>
      </c>
      <c r="AN31" s="874"/>
      <c r="AO31" s="886">
        <v>252</v>
      </c>
      <c r="AP31" s="874"/>
      <c r="AQ31" s="886">
        <v>264</v>
      </c>
      <c r="AR31" s="874"/>
      <c r="AS31" s="886">
        <v>276</v>
      </c>
      <c r="AT31" s="874"/>
      <c r="AU31" s="886">
        <v>288</v>
      </c>
      <c r="AV31" s="874"/>
      <c r="AW31" s="886">
        <v>300</v>
      </c>
      <c r="AX31" s="874"/>
      <c r="AY31" s="886">
        <v>312</v>
      </c>
      <c r="AZ31" s="874"/>
      <c r="BA31" s="886">
        <v>324</v>
      </c>
      <c r="BB31" s="874"/>
      <c r="BC31" s="886">
        <v>336</v>
      </c>
      <c r="BD31" s="874"/>
      <c r="BE31" s="886">
        <v>348</v>
      </c>
      <c r="BF31" s="874"/>
      <c r="BG31" s="886">
        <v>360</v>
      </c>
      <c r="BH31" s="874"/>
      <c r="BI31" s="886">
        <v>372</v>
      </c>
      <c r="BJ31" s="874"/>
      <c r="BK31" s="886">
        <v>384</v>
      </c>
      <c r="BL31" s="874"/>
      <c r="BM31" s="886">
        <v>396</v>
      </c>
      <c r="BN31" s="874"/>
      <c r="BO31" s="886">
        <v>408</v>
      </c>
      <c r="BP31" s="874"/>
      <c r="BQ31" s="886">
        <v>420</v>
      </c>
      <c r="BR31" s="849"/>
      <c r="BS31" s="886">
        <v>432</v>
      </c>
      <c r="BT31" s="849"/>
    </row>
    <row r="32" spans="1:72" x14ac:dyDescent="0.25">
      <c r="A32" s="848"/>
      <c r="B32" s="848" t="s">
        <v>1012</v>
      </c>
      <c r="C32" s="852"/>
      <c r="D32" s="852" t="s">
        <v>1012</v>
      </c>
      <c r="E32" s="853"/>
      <c r="F32" s="853" t="s">
        <v>1012</v>
      </c>
      <c r="G32" s="864"/>
      <c r="H32" s="864" t="s">
        <v>1012</v>
      </c>
      <c r="I32" s="855"/>
      <c r="J32" s="855" t="s">
        <v>1012</v>
      </c>
      <c r="K32" s="856"/>
      <c r="L32" s="856" t="s">
        <v>1012</v>
      </c>
      <c r="M32" s="857"/>
      <c r="N32" s="857" t="s">
        <v>1012</v>
      </c>
      <c r="O32" s="865"/>
      <c r="P32" s="858" t="s">
        <v>1012</v>
      </c>
      <c r="Q32" s="859"/>
      <c r="R32" s="859" t="s">
        <v>1012</v>
      </c>
      <c r="S32" s="860"/>
      <c r="T32" s="860" t="s">
        <v>1012</v>
      </c>
      <c r="U32" s="861"/>
      <c r="V32" s="861" t="s">
        <v>1012</v>
      </c>
      <c r="W32" s="862"/>
      <c r="X32" s="862" t="s">
        <v>1012</v>
      </c>
      <c r="Y32" s="848"/>
      <c r="Z32" s="848" t="s">
        <v>1012</v>
      </c>
      <c r="AA32" s="876"/>
      <c r="AB32" s="852" t="s">
        <v>1012</v>
      </c>
      <c r="AC32" s="853"/>
      <c r="AD32" s="853" t="s">
        <v>1012</v>
      </c>
      <c r="AE32" s="864"/>
      <c r="AF32" s="864" t="s">
        <v>1012</v>
      </c>
      <c r="AG32" s="855"/>
      <c r="AH32" s="855" t="s">
        <v>1012</v>
      </c>
      <c r="AI32" s="856"/>
      <c r="AJ32" s="856" t="s">
        <v>1012</v>
      </c>
      <c r="AK32" s="857"/>
      <c r="AL32" s="857" t="s">
        <v>1012</v>
      </c>
      <c r="AM32" s="865"/>
      <c r="AN32" s="858" t="s">
        <v>1012</v>
      </c>
      <c r="AO32" s="859"/>
      <c r="AP32" s="859" t="s">
        <v>1012</v>
      </c>
      <c r="AQ32" s="860"/>
      <c r="AR32" s="860" t="s">
        <v>1012</v>
      </c>
      <c r="AS32" s="861"/>
      <c r="AT32" s="861" t="s">
        <v>1012</v>
      </c>
      <c r="AU32" s="862"/>
      <c r="AV32" s="862" t="s">
        <v>1012</v>
      </c>
      <c r="AW32" s="848"/>
      <c r="AX32" s="848" t="s">
        <v>1012</v>
      </c>
      <c r="AY32" s="876"/>
      <c r="AZ32" s="852" t="s">
        <v>1012</v>
      </c>
      <c r="BA32" s="853"/>
      <c r="BB32" s="853" t="s">
        <v>1012</v>
      </c>
      <c r="BC32" s="864"/>
      <c r="BD32" s="864" t="s">
        <v>1012</v>
      </c>
      <c r="BE32" s="855"/>
      <c r="BF32" s="855" t="s">
        <v>1012</v>
      </c>
      <c r="BG32" s="856"/>
      <c r="BH32" s="856" t="s">
        <v>1012</v>
      </c>
      <c r="BI32" s="857"/>
      <c r="BJ32" s="857" t="s">
        <v>1012</v>
      </c>
      <c r="BK32" s="865"/>
      <c r="BL32" s="858" t="s">
        <v>1012</v>
      </c>
      <c r="BM32" s="859"/>
      <c r="BN32" s="859" t="s">
        <v>1012</v>
      </c>
      <c r="BO32" s="860"/>
      <c r="BP32" s="860" t="s">
        <v>1012</v>
      </c>
      <c r="BQ32" s="861"/>
      <c r="BR32" s="861" t="s">
        <v>1012</v>
      </c>
      <c r="BS32" s="862"/>
      <c r="BT32" s="862" t="s">
        <v>1012</v>
      </c>
    </row>
  </sheetData>
  <mergeCells count="3">
    <mergeCell ref="A1:AV2"/>
    <mergeCell ref="A18:AJ19"/>
    <mergeCell ref="AK18:BP19"/>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5e60786-5ecf-429d-a8ba-2707bed904cb" xsi:nil="true"/>
    <lcf76f155ced4ddcb4097134ff3c332f xmlns="0a6bae20-2c59-4038-bbcd-cb82f9c5f72e">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62D17B227679044B73CF71B1D7CEBCC" ma:contentTypeVersion="15" ma:contentTypeDescription="Create a new document." ma:contentTypeScope="" ma:versionID="786c3ddbc08577d143770ea35c9dfc44">
  <xsd:schema xmlns:xsd="http://www.w3.org/2001/XMLSchema" xmlns:xs="http://www.w3.org/2001/XMLSchema" xmlns:p="http://schemas.microsoft.com/office/2006/metadata/properties" xmlns:ns1="http://schemas.microsoft.com/sharepoint/v3" xmlns:ns2="0a6bae20-2c59-4038-bbcd-cb82f9c5f72e" xmlns:ns3="55e60786-5ecf-429d-a8ba-2707bed904cb" targetNamespace="http://schemas.microsoft.com/office/2006/metadata/properties" ma:root="true" ma:fieldsID="610a56a35a008a4fc79f0c4607e23361" ns1:_="" ns2:_="" ns3:_="">
    <xsd:import namespace="http://schemas.microsoft.com/sharepoint/v3"/>
    <xsd:import namespace="0a6bae20-2c59-4038-bbcd-cb82f9c5f72e"/>
    <xsd:import namespace="55e60786-5ecf-429d-a8ba-2707bed904cb"/>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element ref="ns2:MediaServiceLocation" minOccurs="0"/>
                <xsd:element ref="ns1:_ip_UnifiedCompliancePolicyProperties" minOccurs="0"/>
                <xsd:element ref="ns1:_ip_UnifiedCompliancePolicyUIAc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a6bae20-2c59-4038-bbcd-cb82f9c5f72e"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28cdf080-d72f-468c-b7ac-6d47f93ca22f"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5e60786-5ecf-429d-a8ba-2707bed904cb"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6fe282fd-e052-47b9-939b-3f0b4918ecaf}" ma:internalName="TaxCatchAll" ma:showField="CatchAllData" ma:web="55e60786-5ecf-429d-a8ba-2707bed904c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CEC31A-6A90-41E8-B986-0143E6A09CCC}">
  <ds:schemaRefs>
    <ds:schemaRef ds:uri="http://schemas.microsoft.com/office/2006/metadata/properties"/>
    <ds:schemaRef ds:uri="http://schemas.microsoft.com/office/infopath/2007/PartnerControls"/>
    <ds:schemaRef ds:uri="e0edf00b-3720-45ad-bed8-2fab10517eb9"/>
    <ds:schemaRef ds:uri="78e6cea8-5c49-4b8b-81b6-27fafe38e894"/>
    <ds:schemaRef ds:uri="55e60786-5ecf-429d-a8ba-2707bed904cb"/>
    <ds:schemaRef ds:uri="0a6bae20-2c59-4038-bbcd-cb82f9c5f72e"/>
    <ds:schemaRef ds:uri="http://schemas.microsoft.com/sharepoint/v3"/>
  </ds:schemaRefs>
</ds:datastoreItem>
</file>

<file path=customXml/itemProps2.xml><?xml version="1.0" encoding="utf-8"?>
<ds:datastoreItem xmlns:ds="http://schemas.openxmlformats.org/officeDocument/2006/customXml" ds:itemID="{2D5E616D-911C-43FE-8EF5-B4820AD232F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a6bae20-2c59-4038-bbcd-cb82f9c5f72e"/>
    <ds:schemaRef ds:uri="55e60786-5ecf-429d-a8ba-2707bed904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9E5B517-6474-4447-B0BB-E79009D94C4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COVER SHEET</vt:lpstr>
      <vt:lpstr>MAP</vt:lpstr>
      <vt:lpstr>MATERIAL</vt:lpstr>
      <vt:lpstr>LABOR</vt:lpstr>
      <vt:lpstr>TOTALS</vt:lpstr>
      <vt:lpstr>CABLE SHEET</vt:lpstr>
      <vt:lpstr>LABOR SPAN SHEET</vt:lpstr>
      <vt:lpstr>House Count</vt:lpstr>
      <vt:lpstr>MEW</vt:lpstr>
      <vt:lpstr>CABLE TO 1X8 SPLICING</vt:lpstr>
      <vt:lpstr>SPLICING 1X8 TO 1X4 SPLITS</vt:lpstr>
      <vt:lpstr>FINAL ADDRESS LIST</vt:lpstr>
      <vt:lpstr>PERMITS</vt:lpstr>
      <vt:lpstr>Ring splicing</vt:lpstr>
    </vt:vector>
  </TitlesOfParts>
  <Manager/>
  <Company>Lumos Networks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Strock, Terry</dc:creator>
  <cp:keywords/>
  <dc:description/>
  <cp:lastModifiedBy>Hija Tovi</cp:lastModifiedBy>
  <cp:revision/>
  <dcterms:created xsi:type="dcterms:W3CDTF">2017-04-13T18:56:52Z</dcterms:created>
  <dcterms:modified xsi:type="dcterms:W3CDTF">2026-03-30T04:40:25Z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0x010100A62D17B227679044B73CF71B1D7CEBCC</vt:lpwstr>
  </property>
  <property fmtid="{D5CDD505-2E9C-101B-9397-08002B2CF9AE}" pid="3" name="MSIP_Label_defa4170-0d19-0005-0004-bc88714345d2_Enabled">
    <vt:lpwstr>true</vt:lpwstr>
  </property>
  <property fmtid="{D5CDD505-2E9C-101B-9397-08002B2CF9AE}" pid="4" name="MSIP_Label_defa4170-0d19-0005-0004-bc88714345d2_SetDate">
    <vt:lpwstr>2022-11-11T19:34:15Z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7ac4673d-34ba-4d30-b57d-b0122357cee9</vt:lpwstr>
  </property>
  <property fmtid="{D5CDD505-2E9C-101B-9397-08002B2CF9AE}" pid="8" name="MSIP_Label_defa4170-0d19-0005-0004-bc88714345d2_ActionId">
    <vt:lpwstr>54a31fac-b388-411f-83b7-93ecc3c7e33f</vt:lpwstr>
  </property>
  <property fmtid="{D5CDD505-2E9C-101B-9397-08002B2CF9AE}" pid="9" name="MSIP_Label_defa4170-0d19-0005-0004-bc88714345d2_ContentBits">
    <vt:lpwstr>0</vt:lpwstr>
  </property>
  <property fmtid="{D5CDD505-2E9C-101B-9397-08002B2CF9AE}" pid="10" name="Order">
    <vt:r8>19000</vt:r8>
  </property>
  <property fmtid="{D5CDD505-2E9C-101B-9397-08002B2CF9AE}" pid="11" name="_ExtendedDescription">
    <vt:lpwstr/>
  </property>
  <property fmtid="{D5CDD505-2E9C-101B-9397-08002B2CF9AE}" pid="12" name="TriggerFlowInfo">
    <vt:lpwstr/>
  </property>
  <property fmtid="{D5CDD505-2E9C-101B-9397-08002B2CF9AE}" pid="13" name="ComplianceAssetId">
    <vt:lpwstr/>
  </property>
  <property fmtid="{D5CDD505-2E9C-101B-9397-08002B2CF9AE}" pid="14" name="MediaServiceImageTags">
    <vt:lpwstr/>
  </property>
</Properties>
</file>